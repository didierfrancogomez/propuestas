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6"/>
  </bookViews>
  <sheets>
    <sheet name="Parametros" sheetId="1" r:id="rId1"/>
    <sheet name="Tareas" sheetId="2" r:id="rId2"/>
    <sheet name="Septiembre" sheetId="3" r:id="rId3"/>
    <sheet name="Planes" sheetId="4" r:id="rId4"/>
    <sheet name="Mezclas" sheetId="5" r:id="rId5"/>
    <sheet name="Equipo" sheetId="6" r:id="rId6"/>
    <sheet name="Verificacion" sheetId="7" r:id="rId7"/>
  </sheets>
  <calcPr calcId="124519" fullCalcOnLoad="1"/>
</workbook>
</file>

<file path=xl/sharedStrings.xml><?xml version="1.0" encoding="utf-8"?>
<sst xmlns="http://schemas.openxmlformats.org/spreadsheetml/2006/main" count="513" uniqueCount="203">
  <si>
    <t>Parámetros de la escala de tallas</t>
  </si>
  <si>
    <t>Azul = dato de entrada · gris violeta = fórmula. Fuente de las horas: informe de septiembre de 2026 (Viva Aerobus), hoja «Seguimiento Mes».</t>
  </si>
  <si>
    <t>Parámetro</t>
  </si>
  <si>
    <t>Valor</t>
  </si>
  <si>
    <t>Fundamento</t>
  </si>
  <si>
    <t>Margen de desviación</t>
  </si>
  <si>
    <t>Regla: tiempo real + 30 %</t>
  </si>
  <si>
    <t>Horas de trabajo de una característica XL</t>
  </si>
  <si>
    <t>Tope por característica</t>
  </si>
  <si>
    <t>Tope de una característica (h con margen)</t>
  </si>
  <si>
    <t>30 h + 30 % = 39 h</t>
  </si>
  <si>
    <t>Puntos por persona al mes</t>
  </si>
  <si>
    <t>Puntos de septiembre (tareas terminadas) / personas</t>
  </si>
  <si>
    <t>Personas del equipo de referencia</t>
  </si>
  <si>
    <t>Informe de septiembre</t>
  </si>
  <si>
    <t>Jornada semanal por persona (h)</t>
  </si>
  <si>
    <t>Lunes a viernes</t>
  </si>
  <si>
    <t>Semanas por mes</t>
  </si>
  <si>
    <t>42 x 4</t>
  </si>
  <si>
    <t>Horas disponibles por persona al mes</t>
  </si>
  <si>
    <t>Talla</t>
  </si>
  <si>
    <t>Puntos</t>
  </si>
  <si>
    <t>Tope (h con margen)</t>
  </si>
  <si>
    <t>Tope (h de trabajo)</t>
  </si>
  <si>
    <t>Qué es</t>
  </si>
  <si>
    <t>Desde (h de trabajo)</t>
  </si>
  <si>
    <t>Punto medio (h de trabajo)</t>
  </si>
  <si>
    <t>XS</t>
  </si>
  <si>
    <t>Ajuste puntual: un cambio menor o una corrección acotada</t>
  </si>
  <si>
    <t>S</t>
  </si>
  <si>
    <t>Cambio acotado sobre un componente existente</t>
  </si>
  <si>
    <t>M</t>
  </si>
  <si>
    <t>Funcionalidad estándar con sus pruebas</t>
  </si>
  <si>
    <t>L</t>
  </si>
  <si>
    <t>Funcionalidad con varias reglas o integraciones</t>
  </si>
  <si>
    <t>XL</t>
  </si>
  <si>
    <t>La mayor permitida; lo que la supere se divide</t>
  </si>
  <si>
    <t>Punto medio = esfuerzo típico de una característica de esa talla; sirve para comprobar que las mezclas piden un esfuerzo parecido al del plan.</t>
  </si>
  <si>
    <t>Una característica que pasa de XL se divide: bloques XL completos de 39 h (30 h de trabajo) más el resto con la talla que lo cubre.</t>
  </si>
  <si>
    <t>Conversión de horas a tallas, tarea por tarea</t>
  </si>
  <si>
    <t>Completa = horas totales de la tarea (H + I del informe), es el tamaño de la característica. Septiembre = solo las horas del mes (columna I), es la capacidad que el equipo dedicó.</t>
  </si>
  <si>
    <t>Tarea</t>
  </si>
  <si>
    <t>Estado</t>
  </si>
  <si>
    <t>Integrante</t>
  </si>
  <si>
    <t>Grupo</t>
  </si>
  <si>
    <t>Horas completas (H+I)</t>
  </si>
  <si>
    <t>Horas septiembre (I)</t>
  </si>
  <si>
    <t>Completa: h con margen</t>
  </si>
  <si>
    <t>bloques XL</t>
  </si>
  <si>
    <t>resto (h)</t>
  </si>
  <si>
    <t>talla del resto</t>
  </si>
  <si>
    <t>PUNTOS completa</t>
  </si>
  <si>
    <t>Sept.: h con margen</t>
  </si>
  <si>
    <t>PUNTOS sept.</t>
  </si>
  <si>
    <t>Control sept.</t>
  </si>
  <si>
    <t>Control compl.</t>
  </si>
  <si>
    <t>Septiembre: cantidad por talla</t>
  </si>
  <si>
    <t>Completa: cantidad por talla</t>
  </si>
  <si>
    <t>API-1663</t>
  </si>
  <si>
    <t>Ready for prod</t>
  </si>
  <si>
    <t>Terminada</t>
  </si>
  <si>
    <t>API-1834</t>
  </si>
  <si>
    <t>Finalizada</t>
  </si>
  <si>
    <t>API-1738</t>
  </si>
  <si>
    <t>Finalizado</t>
  </si>
  <si>
    <t>API-1693</t>
  </si>
  <si>
    <t>API-1427</t>
  </si>
  <si>
    <t>API-1832</t>
  </si>
  <si>
    <t>API-1877</t>
  </si>
  <si>
    <t>API-1839</t>
  </si>
  <si>
    <t>API-1867</t>
  </si>
  <si>
    <t>API-1901</t>
  </si>
  <si>
    <t>API-1764</t>
  </si>
  <si>
    <t>API-1822</t>
  </si>
  <si>
    <t>API-1908</t>
  </si>
  <si>
    <t>API-1859</t>
  </si>
  <si>
    <t>API-1858</t>
  </si>
  <si>
    <t>API-1851</t>
  </si>
  <si>
    <t>API-1872</t>
  </si>
  <si>
    <t>API-1871</t>
  </si>
  <si>
    <t>API-1682</t>
  </si>
  <si>
    <t>API-724</t>
  </si>
  <si>
    <t>Feedback</t>
  </si>
  <si>
    <t>Otra</t>
  </si>
  <si>
    <t>API-1529</t>
  </si>
  <si>
    <t>En curso</t>
  </si>
  <si>
    <t>API-1854</t>
  </si>
  <si>
    <t>API-1696</t>
  </si>
  <si>
    <t>Pausado</t>
  </si>
  <si>
    <t>API-1925</t>
  </si>
  <si>
    <t>API-1860</t>
  </si>
  <si>
    <t>Finalizada (la implementó un revisor)</t>
  </si>
  <si>
    <t>API-1920</t>
  </si>
  <si>
    <t>Septiembre de 2026 en tallas: la base del plan Inicial</t>
  </si>
  <si>
    <t>Equipo de referencia: Generic API (Viva Aerobus). Tareas terminadas = «Finalizada»/«Finalizado» o «Ready for prod» en el informe, solo horas del equipo.</t>
  </si>
  <si>
    <t>Cifra</t>
  </si>
  <si>
    <t>Tareas terminadas</t>
  </si>
  <si>
    <t>Horas completas de las terminadas (H+I)</t>
  </si>
  <si>
    <t>Horas de septiembre de las terminadas (I)</t>
  </si>
  <si>
    <t>Horas de septiembre de otras tareas (en curso, feedback, pausadas)</t>
  </si>
  <si>
    <t>Horas totales reportadas en septiembre</t>
  </si>
  <si>
    <t>Puntos, valor completo de las terminadas</t>
  </si>
  <si>
    <t>Puntos de septiembre de las terminadas = base del plan Inicial</t>
  </si>
  <si>
    <t>Puntos de septiembre de otras tareas</t>
  </si>
  <si>
    <t>Capacidad real del mes (puntos de todas las horas)</t>
  </si>
  <si>
    <t>Horas de trabajo por punto (terminadas)</t>
  </si>
  <si>
    <t>Control: capacidad real x 3 de 4 semanas</t>
  </si>
  <si>
    <t>Diferencia contra la base del plan (117 - control)</t>
  </si>
  <si>
    <t>Cantidad en septiembre</t>
  </si>
  <si>
    <t>% de los puntos</t>
  </si>
  <si>
    <t>Total</t>
  </si>
  <si>
    <t>Control: puntos por talla = puntos de septiembre de las terminadas</t>
  </si>
  <si>
    <t>Por integrante (anónimo)</t>
  </si>
  <si>
    <t>Terminadas</t>
  </si>
  <si>
    <t>Otras</t>
  </si>
  <si>
    <t>Total puntos</t>
  </si>
  <si>
    <t>Horas sept.</t>
  </si>
  <si>
    <t>Integrante 1</t>
  </si>
  <si>
    <t>Integrante 2</t>
  </si>
  <si>
    <t>Integrante 3</t>
  </si>
  <si>
    <t>El reparto real fue desigual en las tareas terminadas; con todo el esfuerzo del mes quedó parejo. El plan reparte 39 puntos por persona como objetivo.</t>
  </si>
  <si>
    <t>Capacidad de cada plan</t>
  </si>
  <si>
    <t>Plan = personas x puntos por persona. Se sube o baja de plan sumando o quitando una persona.</t>
  </si>
  <si>
    <t>Plan</t>
  </si>
  <si>
    <t>Personas</t>
  </si>
  <si>
    <t>Puntos por persona</t>
  </si>
  <si>
    <t>Capacidad (pts)</t>
  </si>
  <si>
    <t>Inicial</t>
  </si>
  <si>
    <t>Profesional</t>
  </si>
  <si>
    <t>Alta velocidad</t>
  </si>
  <si>
    <t>Máximo de características si todo el mes fuera de una sola talla</t>
  </si>
  <si>
    <t>Puntos que ocupa ese máximo</t>
  </si>
  <si>
    <t>Puntos que sobran (la capacidad no divide exacto)</t>
  </si>
  <si>
    <t>Se dice «M» como referencia porque divide exacto en los tres planes.</t>
  </si>
  <si>
    <t>Horas de trabajo equivalentes</t>
  </si>
  <si>
    <t>Horas de trabajo del plan</t>
  </si>
  <si>
    <t>Horas disponibles</t>
  </si>
  <si>
    <t>% de la jornada</t>
  </si>
  <si>
    <t>Horas del plan = puntos x horas por punto de septiembre (394 h / 117 pts). Cuadra con que solo cuenten 3 de las 4 semanas.</t>
  </si>
  <si>
    <t>Mezclas posibles por plan</t>
  </si>
  <si>
    <t>Cada mezcla (azul = entrada) debe sumar exactamente la capacidad del plan. Los % muestran qué parte de los puntos ocupa cada talla. Horas: con el punto medio de cada talla, toda mezcla debe pedir un esfuerzo parecido al del plan (±5 %) y caber en el mes. Las horas máximas son el caso extremo (todas en el tope de su talla): solo informativas.</t>
  </si>
  <si>
    <t>1. Perfil de septiembre: Como trabajó el equipo de referencia: pocas características grandes.</t>
  </si>
  <si>
    <t>% pts Inicial</t>
  </si>
  <si>
    <t>% pts Profesional</t>
  </si>
  <si>
    <t>% pts Alta velocidad</t>
  </si>
  <si>
    <t>% pts septiembre</t>
  </si>
  <si>
    <t>Total características</t>
  </si>
  <si>
    <t>Capacidad del plan</t>
  </si>
  <si>
    <t>¿Cuadra?</t>
  </si>
  <si>
    <t>Horas de trabajo estimadas (punto medio de cada talla)</t>
  </si>
  <si>
    <t>Horas máximas (todas en el tope de su talla)</t>
  </si>
  <si>
    <t>Horas equivalentes del plan (pts x h por punto de septiembre)</t>
  </si>
  <si>
    <t>Diferencia: estimadas vs equivalentes</t>
  </si>
  <si>
    <t>Horas disponibles del mes (personas x 168)</t>
  </si>
  <si>
    <t>¿Esfuerzo parecido (±5 %) y cabe en el mes?</t>
  </si>
  <si>
    <t>2. Balanceada: Evolución normal del producto: de todo un poco.</t>
  </si>
  <si>
    <t>3. Muchas y pequeñas: Mantenimiento, ajustes y mejoras puntuales.</t>
  </si>
  <si>
    <t>Cómo toma cada persona su parte de la mezcla</t>
  </si>
  <si>
    <t>Cada persona toma exactamente los puntos por persona (39). La suma del equipo debe ser igual a la mezcla. Horas estimadas = punto medio de cada talla; deben caber en el mes de la persona (42 h x 4).</t>
  </si>
  <si>
    <t>1. Perfil de septiembre · Inicial (3 personas)</t>
  </si>
  <si>
    <t>Horas estimadas</t>
  </si>
  <si>
    <t>Horas máximas</t>
  </si>
  <si>
    <t>¿Cabe en el mes?</t>
  </si>
  <si>
    <t>Persona 1</t>
  </si>
  <si>
    <t>Persona 2</t>
  </si>
  <si>
    <t>Persona 3</t>
  </si>
  <si>
    <t>Suma del equipo</t>
  </si>
  <si>
    <t>Mezcla (hoja Mezclas)</t>
  </si>
  <si>
    <t>1. Perfil de septiembre · Profesional (4 personas)</t>
  </si>
  <si>
    <t>Persona 4</t>
  </si>
  <si>
    <t>1. Perfil de septiembre · Alta velocidad (5 personas)</t>
  </si>
  <si>
    <t>Persona 5</t>
  </si>
  <si>
    <t>2. Balanceada · Inicial (3 personas)</t>
  </si>
  <si>
    <t>2. Balanceada · Profesional (4 personas)</t>
  </si>
  <si>
    <t>2. Balanceada · Alta velocidad (5 personas)</t>
  </si>
  <si>
    <t>3. Muchas y pequeñas · Inicial (3 personas)</t>
  </si>
  <si>
    <t>3. Muchas y pequeñas · Profesional (4 personas)</t>
  </si>
  <si>
    <t>3. Muchas y pequeñas · Alta velocidad (5 personas)</t>
  </si>
  <si>
    <t>Verificación de todos los cálculos</t>
  </si>
  <si>
    <t>Esperado = valor del informe de septiembre de 2026 o de la regla acordada. Todo debe decir OK.</t>
  </si>
  <si>
    <t>Control</t>
  </si>
  <si>
    <t>Calculado</t>
  </si>
  <si>
    <t>Esperado</t>
  </si>
  <si>
    <t>Tareas terminadas del equipo</t>
  </si>
  <si>
    <t>Horas completas de las terminadas</t>
  </si>
  <si>
    <t>Horas de septiembre de las terminadas</t>
  </si>
  <si>
    <t>Horas de septiembre de otras tareas</t>
  </si>
  <si>
    <t>Puntos de septiembre de las terminadas</t>
  </si>
  <si>
    <t>Capacidad real del mes (puntos)</t>
  </si>
  <si>
    <t>Capacidad Inicial</t>
  </si>
  <si>
    <t>Capacidad Profesional</t>
  </si>
  <si>
    <t>Capacidad Alta velocidad</t>
  </si>
  <si>
    <t>Características de septiembre por talla: XL</t>
  </si>
  <si>
    <t>Características de septiembre por talla: L</t>
  </si>
  <si>
    <t>Características de septiembre por talla: M</t>
  </si>
  <si>
    <t>Características de septiembre por talla: S</t>
  </si>
  <si>
    <t>Características de septiembre por talla: XS</t>
  </si>
  <si>
    <t>Controles de cada tarea (sept. y completa): 26 tareas x 2</t>
  </si>
  <si>
    <t>Mezclas que llenan su plan (3 mezclas x 3 planes)</t>
  </si>
  <si>
    <t>Controles del reparto por persona y por talla</t>
  </si>
  <si>
    <t>Mezclas con esfuerzo parecido al del plan (±5 %) que caben en el mes</t>
  </si>
  <si>
    <t>Personas cuyo esfuerzo estimado cabe en su mes (42 h x 4)</t>
  </si>
  <si>
    <t>RESULTADO GENERAL</t>
  </si>
</sst>
</file>

<file path=xl/styles.xml><?xml version="1.0" encoding="utf-8"?>
<styleSheet xmlns="http://schemas.openxmlformats.org/spreadsheetml/2006/main">
  <numFmts count="3">
    <numFmt numFmtId="164" formatCode="0%"/>
    <numFmt numFmtId="165" formatCode="0.00"/>
    <numFmt numFmtId="166" formatCode="0.0%"/>
  </numFmts>
  <fonts count="7">
    <font>
      <sz val="11"/>
      <color theme="1"/>
      <name val="Calibri"/>
      <family val="2"/>
      <scheme val="minor"/>
    </font>
    <font>
      <b/>
      <sz val="15"/>
      <color rgb="FF280265"/>
      <name val="Calibri"/>
      <family val="2"/>
      <scheme val="minor"/>
    </font>
    <font>
      <i/>
      <sz val="11"/>
      <color rgb="FF5B5A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B6B4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0265"/>
        <bgColor indexed="64"/>
      </patternFill>
    </fill>
    <fill>
      <patternFill patternType="solid">
        <fgColor rgb="FFEBE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164" fontId="4" fillId="0" borderId="1" xfId="0" applyNumberFormat="1" applyFont="1" applyBorder="1"/>
    <xf numFmtId="0" fontId="4" fillId="0" borderId="1" xfId="0" applyFont="1" applyBorder="1"/>
    <xf numFmtId="0" fontId="0" fillId="3" borderId="1" xfId="0" applyFill="1" applyBorder="1"/>
    <xf numFmtId="165" fontId="0" fillId="3" borderId="1" xfId="0" applyNumberFormat="1" applyFill="1" applyBorder="1"/>
    <xf numFmtId="0" fontId="5" fillId="0" borderId="0" xfId="0" applyFont="1"/>
    <xf numFmtId="0" fontId="5" fillId="3" borderId="1" xfId="0" applyFont="1" applyFill="1" applyBorder="1"/>
    <xf numFmtId="0" fontId="6" fillId="0" borderId="1" xfId="0" applyFont="1" applyBorder="1"/>
    <xf numFmtId="166" fontId="0" fillId="3" borderId="1" xfId="0" applyNumberFormat="1" applyFill="1" applyBorder="1"/>
  </cellXfs>
  <cellStyles count="1">
    <cellStyle name="Normal" xfId="0" builtinId="0"/>
  </cellStyles>
  <dxfs count="1">
    <dxf>
      <font>
        <b/>
        <color rgb="FFFFFFFF"/>
      </font>
      <fill>
        <patternFill>
          <bgColor rgb="FFC0392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/>
  </sheetViews>
  <sheetFormatPr defaultRowHeight="15"/>
  <cols>
    <col min="1" max="1" width="46.7109375" customWidth="1"/>
    <col min="2" max="2" width="14.7109375" customWidth="1"/>
    <col min="3" max="4" width="22.7109375" customWidth="1"/>
    <col min="5" max="5" width="58.7109375" customWidth="1"/>
    <col min="6" max="7" width="16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s="3" t="s">
        <v>2</v>
      </c>
      <c r="B3" s="3" t="s">
        <v>3</v>
      </c>
      <c r="C3" s="3" t="s">
        <v>4</v>
      </c>
    </row>
    <row r="4" spans="1:7">
      <c r="A4" s="4" t="s">
        <v>5</v>
      </c>
      <c r="B4" s="5">
        <v>0.3</v>
      </c>
      <c r="C4" s="4" t="s">
        <v>6</v>
      </c>
    </row>
    <row r="5" spans="1:7">
      <c r="A5" s="4" t="s">
        <v>7</v>
      </c>
      <c r="B5" s="6">
        <v>30</v>
      </c>
      <c r="C5" s="4" t="s">
        <v>8</v>
      </c>
    </row>
    <row r="6" spans="1:7">
      <c r="A6" s="4" t="s">
        <v>9</v>
      </c>
      <c r="B6" s="7">
        <f>B5*(1+B4)</f>
        <v>39.0</v>
      </c>
      <c r="C6" s="4" t="s">
        <v>10</v>
      </c>
    </row>
    <row r="7" spans="1:7">
      <c r="A7" s="4" t="s">
        <v>11</v>
      </c>
      <c r="B7" s="7">
        <f>Septiembre!B10/B8</f>
        <v>39.0</v>
      </c>
      <c r="C7" s="4" t="s">
        <v>12</v>
      </c>
    </row>
    <row r="8" spans="1:7">
      <c r="A8" s="4" t="s">
        <v>13</v>
      </c>
      <c r="B8" s="6">
        <v>3</v>
      </c>
      <c r="C8" s="4" t="s">
        <v>14</v>
      </c>
    </row>
    <row r="9" spans="1:7">
      <c r="A9" s="4" t="s">
        <v>15</v>
      </c>
      <c r="B9" s="6">
        <v>42</v>
      </c>
      <c r="C9" s="4" t="s">
        <v>16</v>
      </c>
    </row>
    <row r="10" spans="1:7">
      <c r="A10" s="4" t="s">
        <v>17</v>
      </c>
      <c r="B10" s="6">
        <v>4</v>
      </c>
      <c r="C10" s="4" t="s">
        <v>18</v>
      </c>
    </row>
    <row r="11" spans="1:7">
      <c r="A11" s="4" t="s">
        <v>19</v>
      </c>
      <c r="B11" s="7">
        <f>B9*B10</f>
        <v>168.0</v>
      </c>
    </row>
    <row r="14" spans="1:7" ht="30" customHeight="1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</row>
    <row r="15" spans="1:7">
      <c r="A15" s="4" t="s">
        <v>27</v>
      </c>
      <c r="B15" s="6">
        <v>1</v>
      </c>
      <c r="C15" s="6">
        <v>6</v>
      </c>
      <c r="D15" s="8">
        <f>C15/(1+$B$4)</f>
        <v>4.615384615384615</v>
      </c>
      <c r="E15" s="4" t="s">
        <v>28</v>
      </c>
      <c r="F15" s="6">
        <v>0</v>
      </c>
      <c r="G15" s="8">
        <f>(F15+D15)/2</f>
        <v>2.3076923076923075</v>
      </c>
    </row>
    <row r="16" spans="1:7">
      <c r="A16" s="4" t="s">
        <v>29</v>
      </c>
      <c r="B16" s="6">
        <v>2</v>
      </c>
      <c r="C16" s="6">
        <v>11</v>
      </c>
      <c r="D16" s="8">
        <f>C16/(1+$B$4)</f>
        <v>8.461538461538462</v>
      </c>
      <c r="E16" s="4" t="s">
        <v>30</v>
      </c>
      <c r="F16" s="8">
        <f>D15</f>
        <v>4.615384615384615</v>
      </c>
      <c r="G16" s="8">
        <f>(F16+D16)/2</f>
        <v>6.538461538461538</v>
      </c>
    </row>
    <row r="17" spans="1:7">
      <c r="A17" s="4" t="s">
        <v>31</v>
      </c>
      <c r="B17" s="6">
        <v>3</v>
      </c>
      <c r="C17" s="6">
        <v>17</v>
      </c>
      <c r="D17" s="8">
        <f>C17/(1+$B$4)</f>
        <v>13.076923076923077</v>
      </c>
      <c r="E17" s="4" t="s">
        <v>32</v>
      </c>
      <c r="F17" s="8">
        <f>D16</f>
        <v>8.461538461538462</v>
      </c>
      <c r="G17" s="8">
        <f>(F17+D17)/2</f>
        <v>10.76923076923077</v>
      </c>
    </row>
    <row r="18" spans="1:7">
      <c r="A18" s="4" t="s">
        <v>33</v>
      </c>
      <c r="B18" s="6">
        <v>5</v>
      </c>
      <c r="C18" s="6">
        <v>28</v>
      </c>
      <c r="D18" s="8">
        <f>C18/(1+$B$4)</f>
        <v>21.538461538461537</v>
      </c>
      <c r="E18" s="4" t="s">
        <v>34</v>
      </c>
      <c r="F18" s="8">
        <f>D17</f>
        <v>13.076923076923077</v>
      </c>
      <c r="G18" s="8">
        <f>(F18+D18)/2</f>
        <v>17.307692307692307</v>
      </c>
    </row>
    <row r="19" spans="1:7">
      <c r="A19" s="4" t="s">
        <v>35</v>
      </c>
      <c r="B19" s="6">
        <v>8</v>
      </c>
      <c r="C19" s="7">
        <f>B6</f>
        <v>39.0</v>
      </c>
      <c r="D19" s="8">
        <f>C19/(1+$B$4)</f>
        <v>30.0</v>
      </c>
      <c r="E19" s="4" t="s">
        <v>36</v>
      </c>
      <c r="F19" s="8">
        <f>D18</f>
        <v>21.538461538461537</v>
      </c>
      <c r="G19" s="8">
        <f>(F19+D19)/2</f>
        <v>25.769230769230766</v>
      </c>
    </row>
    <row r="21" spans="1:7">
      <c r="A21" s="2" t="s">
        <v>38</v>
      </c>
    </row>
    <row r="22" spans="1:7">
      <c r="A22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0"/>
  <sheetViews>
    <sheetView showGridLines="0" workbookViewId="0"/>
  </sheetViews>
  <sheetFormatPr defaultRowHeight="15"/>
  <cols>
    <col min="1" max="1" width="11.7109375" customWidth="1"/>
    <col min="2" max="2" width="30.7109375" customWidth="1"/>
    <col min="3" max="6" width="12.7109375" customWidth="1"/>
    <col min="7" max="28" width="10.140625" customWidth="1"/>
  </cols>
  <sheetData>
    <row r="1" spans="1:28">
      <c r="A1" s="1" t="s">
        <v>39</v>
      </c>
    </row>
    <row r="2" spans="1:28">
      <c r="A2" s="2" t="s">
        <v>40</v>
      </c>
    </row>
    <row r="3" spans="1:28">
      <c r="Q3" s="9" t="s">
        <v>56</v>
      </c>
      <c r="W3" s="9" t="s">
        <v>57</v>
      </c>
    </row>
    <row r="4" spans="1:28" ht="42" customHeight="1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48</v>
      </c>
      <c r="N4" s="3" t="s">
        <v>49</v>
      </c>
      <c r="O4" s="3" t="s">
        <v>50</v>
      </c>
      <c r="P4" s="3" t="s">
        <v>53</v>
      </c>
      <c r="Q4" s="3" t="s">
        <v>35</v>
      </c>
      <c r="R4" s="3" t="s">
        <v>33</v>
      </c>
      <c r="S4" s="3" t="s">
        <v>31</v>
      </c>
      <c r="T4" s="3" t="s">
        <v>29</v>
      </c>
      <c r="U4" s="3" t="s">
        <v>27</v>
      </c>
      <c r="V4" s="3" t="s">
        <v>54</v>
      </c>
      <c r="W4" s="3" t="s">
        <v>35</v>
      </c>
      <c r="X4" s="3" t="s">
        <v>33</v>
      </c>
      <c r="Y4" s="3" t="s">
        <v>31</v>
      </c>
      <c r="Z4" s="3" t="s">
        <v>29</v>
      </c>
      <c r="AA4" s="3" t="s">
        <v>27</v>
      </c>
      <c r="AB4" s="3" t="s">
        <v>55</v>
      </c>
    </row>
    <row r="5" spans="1:28">
      <c r="A5" s="4" t="s">
        <v>58</v>
      </c>
      <c r="B5" s="4" t="s">
        <v>59</v>
      </c>
      <c r="C5" s="4">
        <v>1</v>
      </c>
      <c r="D5" s="4" t="s">
        <v>60</v>
      </c>
      <c r="E5" s="6">
        <v>60</v>
      </c>
      <c r="F5" s="6">
        <v>20</v>
      </c>
      <c r="G5" s="7">
        <f>ROUND(E5*(1+Parametros!$B$4),6)</f>
        <v>78.0</v>
      </c>
      <c r="H5" s="7">
        <f>INT(G5/Parametros!$B$6)</f>
        <v>2</v>
      </c>
      <c r="I5" s="7">
        <f>ROUND(G5-H5*Parametros!$B$6,6)</f>
        <v>0.0</v>
      </c>
      <c r="J5" s="7">
        <f>IF(I5&gt;0,COUNTIF(Parametros!$C$15:$C$19,"&lt;"&amp;I5)+1,0)</f>
        <v>0</v>
      </c>
      <c r="K5" s="10">
        <f>H5*Parametros!$B$19+IF(J5&gt;0,INDEX(Parametros!$B$15:$B$19,J5),0)</f>
        <v>16.0</v>
      </c>
      <c r="L5" s="7">
        <f>ROUND(F5*(1+Parametros!$B$4),6)</f>
        <v>26.0</v>
      </c>
      <c r="M5" s="7">
        <f>INT(L5/Parametros!$B$6)</f>
        <v>0</v>
      </c>
      <c r="N5" s="7">
        <f>ROUND(L5-M5*Parametros!$B$6,6)</f>
        <v>26.0</v>
      </c>
      <c r="O5" s="7">
        <f>IF(N5&gt;0,COUNTIF(Parametros!$C$15:$C$19,"&lt;"&amp;N5)+1,0)</f>
        <v>4.0</v>
      </c>
      <c r="P5" s="10">
        <f>M5*Parametros!$B$19+IF(O5&gt;0,INDEX(Parametros!$B$15:$B$19,O5),0)</f>
        <v>5.0</v>
      </c>
      <c r="Q5" s="7">
        <f>M5+IF(O5=5,1,0)</f>
        <v>0.0</v>
      </c>
      <c r="R5" s="7">
        <f>IF(O5=4,1,0)</f>
        <v>1</v>
      </c>
      <c r="S5" s="7">
        <f>IF(O5=3,1,0)</f>
        <v>0</v>
      </c>
      <c r="T5" s="7">
        <f>IF(O5=2,1,0)</f>
        <v>0</v>
      </c>
      <c r="U5" s="7">
        <f>IF(O5=1,1,0)</f>
        <v>0</v>
      </c>
      <c r="V5" s="11" t="str">
        <f>IF(Q5*Parametros!$B$19+R5*Parametros!$B$18+S5*Parametros!$B$17+T5*Parametros!$B$16+U5*Parametros!$B$15=P5,"OK","ERROR")</f>
        <v>OK</v>
      </c>
      <c r="W5" s="7">
        <f>H5+IF(J5=5,1,0)</f>
        <v>2.0</v>
      </c>
      <c r="X5" s="7">
        <f>IF(J5=4,1,0)</f>
        <v>0</v>
      </c>
      <c r="Y5" s="7">
        <f>IF(J5=3,1,0)</f>
        <v>0</v>
      </c>
      <c r="Z5" s="7">
        <f>IF(J5=2,1,0)</f>
        <v>0</v>
      </c>
      <c r="AA5" s="7">
        <f>IF(J5=1,1,0)</f>
        <v>0</v>
      </c>
      <c r="AB5" s="11" t="str">
        <f>IF(W5*Parametros!$B$19+X5*Parametros!$B$18+Y5*Parametros!$B$17+Z5*Parametros!$B$16+AA5*Parametros!$B$15=K5,"OK","ERROR")</f>
        <v>OK</v>
      </c>
    </row>
    <row r="6" spans="1:28">
      <c r="A6" s="4" t="s">
        <v>61</v>
      </c>
      <c r="B6" s="4" t="s">
        <v>62</v>
      </c>
      <c r="C6" s="4">
        <v>1</v>
      </c>
      <c r="D6" s="4" t="s">
        <v>60</v>
      </c>
      <c r="E6" s="6">
        <v>57</v>
      </c>
      <c r="F6" s="6">
        <v>33</v>
      </c>
      <c r="G6" s="7">
        <f>ROUND(E6*(1+Parametros!$B$4),6)</f>
        <v>74.1</v>
      </c>
      <c r="H6" s="7">
        <f>INT(G6/Parametros!$B$6)</f>
        <v>1</v>
      </c>
      <c r="I6" s="7">
        <f>ROUND(G6-H6*Parametros!$B$6,6)</f>
        <v>35.1</v>
      </c>
      <c r="J6" s="7">
        <f>IF(I6&gt;0,COUNTIF(Parametros!$C$15:$C$19,"&lt;"&amp;I6)+1,0)</f>
        <v>5.0</v>
      </c>
      <c r="K6" s="10">
        <f>H6*Parametros!$B$19+IF(J6&gt;0,INDEX(Parametros!$B$15:$B$19,J6),0)</f>
        <v>16.0</v>
      </c>
      <c r="L6" s="7">
        <f>ROUND(F6*(1+Parametros!$B$4),6)</f>
        <v>42.9</v>
      </c>
      <c r="M6" s="7">
        <f>INT(L6/Parametros!$B$6)</f>
        <v>1</v>
      </c>
      <c r="N6" s="7">
        <f>ROUND(L6-M6*Parametros!$B$6,6)</f>
        <v>3.9</v>
      </c>
      <c r="O6" s="7">
        <f>IF(N6&gt;0,COUNTIF(Parametros!$C$15:$C$19,"&lt;"&amp;N6)+1,0)</f>
        <v>1.0</v>
      </c>
      <c r="P6" s="10">
        <f>M6*Parametros!$B$19+IF(O6&gt;0,INDEX(Parametros!$B$15:$B$19,O6),0)</f>
        <v>9.0</v>
      </c>
      <c r="Q6" s="7">
        <f>M6+IF(O6=5,1,0)</f>
        <v>1.0</v>
      </c>
      <c r="R6" s="7">
        <f>IF(O6=4,1,0)</f>
        <v>0</v>
      </c>
      <c r="S6" s="7">
        <f>IF(O6=3,1,0)</f>
        <v>0</v>
      </c>
      <c r="T6" s="7">
        <f>IF(O6=2,1,0)</f>
        <v>0</v>
      </c>
      <c r="U6" s="7">
        <f>IF(O6=1,1,0)</f>
        <v>1</v>
      </c>
      <c r="V6" s="11" t="str">
        <f>IF(Q6*Parametros!$B$19+R6*Parametros!$B$18+S6*Parametros!$B$17+T6*Parametros!$B$16+U6*Parametros!$B$15=P6,"OK","ERROR")</f>
        <v>OK</v>
      </c>
      <c r="W6" s="7">
        <f>H6+IF(J6=5,1,0)</f>
        <v>2.0</v>
      </c>
      <c r="X6" s="7">
        <f>IF(J6=4,1,0)</f>
        <v>0</v>
      </c>
      <c r="Y6" s="7">
        <f>IF(J6=3,1,0)</f>
        <v>0</v>
      </c>
      <c r="Z6" s="7">
        <f>IF(J6=2,1,0)</f>
        <v>0</v>
      </c>
      <c r="AA6" s="7">
        <f>IF(J6=1,1,0)</f>
        <v>0</v>
      </c>
      <c r="AB6" s="11" t="str">
        <f>IF(W6*Parametros!$B$19+X6*Parametros!$B$18+Y6*Parametros!$B$17+Z6*Parametros!$B$16+AA6*Parametros!$B$15=K6,"OK","ERROR")</f>
        <v>OK</v>
      </c>
    </row>
    <row r="7" spans="1:28">
      <c r="A7" s="4" t="s">
        <v>63</v>
      </c>
      <c r="B7" s="4" t="s">
        <v>64</v>
      </c>
      <c r="C7" s="4">
        <v>1</v>
      </c>
      <c r="D7" s="4" t="s">
        <v>60</v>
      </c>
      <c r="E7" s="6">
        <v>53</v>
      </c>
      <c r="F7" s="6">
        <v>27</v>
      </c>
      <c r="G7" s="7">
        <f>ROUND(E7*(1+Parametros!$B$4),6)</f>
        <v>68.9</v>
      </c>
      <c r="H7" s="7">
        <f>INT(G7/Parametros!$B$6)</f>
        <v>1</v>
      </c>
      <c r="I7" s="7">
        <f>ROUND(G7-H7*Parametros!$B$6,6)</f>
        <v>29.9</v>
      </c>
      <c r="J7" s="7">
        <f>IF(I7&gt;0,COUNTIF(Parametros!$C$15:$C$19,"&lt;"&amp;I7)+1,0)</f>
        <v>5.0</v>
      </c>
      <c r="K7" s="10">
        <f>H7*Parametros!$B$19+IF(J7&gt;0,INDEX(Parametros!$B$15:$B$19,J7),0)</f>
        <v>16.0</v>
      </c>
      <c r="L7" s="7">
        <f>ROUND(F7*(1+Parametros!$B$4),6)</f>
        <v>35.1</v>
      </c>
      <c r="M7" s="7">
        <f>INT(L7/Parametros!$B$6)</f>
        <v>0</v>
      </c>
      <c r="N7" s="7">
        <f>ROUND(L7-M7*Parametros!$B$6,6)</f>
        <v>35.1</v>
      </c>
      <c r="O7" s="7">
        <f>IF(N7&gt;0,COUNTIF(Parametros!$C$15:$C$19,"&lt;"&amp;N7)+1,0)</f>
        <v>5.0</v>
      </c>
      <c r="P7" s="10">
        <f>M7*Parametros!$B$19+IF(O7&gt;0,INDEX(Parametros!$B$15:$B$19,O7),0)</f>
        <v>8.0</v>
      </c>
      <c r="Q7" s="7">
        <f>M7+IF(O7=5,1,0)</f>
        <v>1.0</v>
      </c>
      <c r="R7" s="7">
        <f>IF(O7=4,1,0)</f>
        <v>0</v>
      </c>
      <c r="S7" s="7">
        <f>IF(O7=3,1,0)</f>
        <v>0</v>
      </c>
      <c r="T7" s="7">
        <f>IF(O7=2,1,0)</f>
        <v>0</v>
      </c>
      <c r="U7" s="7">
        <f>IF(O7=1,1,0)</f>
        <v>0</v>
      </c>
      <c r="V7" s="11" t="str">
        <f>IF(Q7*Parametros!$B$19+R7*Parametros!$B$18+S7*Parametros!$B$17+T7*Parametros!$B$16+U7*Parametros!$B$15=P7,"OK","ERROR")</f>
        <v>OK</v>
      </c>
      <c r="W7" s="7">
        <f>H7+IF(J7=5,1,0)</f>
        <v>2.0</v>
      </c>
      <c r="X7" s="7">
        <f>IF(J7=4,1,0)</f>
        <v>0</v>
      </c>
      <c r="Y7" s="7">
        <f>IF(J7=3,1,0)</f>
        <v>0</v>
      </c>
      <c r="Z7" s="7">
        <f>IF(J7=2,1,0)</f>
        <v>0</v>
      </c>
      <c r="AA7" s="7">
        <f>IF(J7=1,1,0)</f>
        <v>0</v>
      </c>
      <c r="AB7" s="11" t="str">
        <f>IF(W7*Parametros!$B$19+X7*Parametros!$B$18+Y7*Parametros!$B$17+Z7*Parametros!$B$16+AA7*Parametros!$B$15=K7,"OK","ERROR")</f>
        <v>OK</v>
      </c>
    </row>
    <row r="8" spans="1:28">
      <c r="A8" s="4" t="s">
        <v>65</v>
      </c>
      <c r="B8" s="4" t="s">
        <v>59</v>
      </c>
      <c r="C8" s="4">
        <v>2</v>
      </c>
      <c r="D8" s="4" t="s">
        <v>60</v>
      </c>
      <c r="E8" s="6">
        <v>45</v>
      </c>
      <c r="F8" s="6">
        <v>6</v>
      </c>
      <c r="G8" s="7">
        <f>ROUND(E8*(1+Parametros!$B$4),6)</f>
        <v>58.5</v>
      </c>
      <c r="H8" s="7">
        <f>INT(G8/Parametros!$B$6)</f>
        <v>1</v>
      </c>
      <c r="I8" s="7">
        <f>ROUND(G8-H8*Parametros!$B$6,6)</f>
        <v>19.5</v>
      </c>
      <c r="J8" s="7">
        <f>IF(I8&gt;0,COUNTIF(Parametros!$C$15:$C$19,"&lt;"&amp;I8)+1,0)</f>
        <v>4.0</v>
      </c>
      <c r="K8" s="10">
        <f>H8*Parametros!$B$19+IF(J8&gt;0,INDEX(Parametros!$B$15:$B$19,J8),0)</f>
        <v>13.0</v>
      </c>
      <c r="L8" s="7">
        <f>ROUND(F8*(1+Parametros!$B$4),6)</f>
        <v>7.8</v>
      </c>
      <c r="M8" s="7">
        <f>INT(L8/Parametros!$B$6)</f>
        <v>0</v>
      </c>
      <c r="N8" s="7">
        <f>ROUND(L8-M8*Parametros!$B$6,6)</f>
        <v>7.8</v>
      </c>
      <c r="O8" s="7">
        <f>IF(N8&gt;0,COUNTIF(Parametros!$C$15:$C$19,"&lt;"&amp;N8)+1,0)</f>
        <v>2.0</v>
      </c>
      <c r="P8" s="10">
        <f>M8*Parametros!$B$19+IF(O8&gt;0,INDEX(Parametros!$B$15:$B$19,O8),0)</f>
        <v>2.0</v>
      </c>
      <c r="Q8" s="7">
        <f>M8+IF(O8=5,1,0)</f>
        <v>0.0</v>
      </c>
      <c r="R8" s="7">
        <f>IF(O8=4,1,0)</f>
        <v>0</v>
      </c>
      <c r="S8" s="7">
        <f>IF(O8=3,1,0)</f>
        <v>0</v>
      </c>
      <c r="T8" s="7">
        <f>IF(O8=2,1,0)</f>
        <v>1</v>
      </c>
      <c r="U8" s="7">
        <f>IF(O8=1,1,0)</f>
        <v>0</v>
      </c>
      <c r="V8" s="11" t="str">
        <f>IF(Q8*Parametros!$B$19+R8*Parametros!$B$18+S8*Parametros!$B$17+T8*Parametros!$B$16+U8*Parametros!$B$15=P8,"OK","ERROR")</f>
        <v>OK</v>
      </c>
      <c r="W8" s="7">
        <f>H8+IF(J8=5,1,0)</f>
        <v>1.0</v>
      </c>
      <c r="X8" s="7">
        <f>IF(J8=4,1,0)</f>
        <v>1</v>
      </c>
      <c r="Y8" s="7">
        <f>IF(J8=3,1,0)</f>
        <v>0</v>
      </c>
      <c r="Z8" s="7">
        <f>IF(J8=2,1,0)</f>
        <v>0</v>
      </c>
      <c r="AA8" s="7">
        <f>IF(J8=1,1,0)</f>
        <v>0</v>
      </c>
      <c r="AB8" s="11" t="str">
        <f>IF(W8*Parametros!$B$19+X8*Parametros!$B$18+Y8*Parametros!$B$17+Z8*Parametros!$B$16+AA8*Parametros!$B$15=K8,"OK","ERROR")</f>
        <v>OK</v>
      </c>
    </row>
    <row r="9" spans="1:28">
      <c r="A9" s="4" t="s">
        <v>66</v>
      </c>
      <c r="B9" s="4" t="s">
        <v>62</v>
      </c>
      <c r="C9" s="4">
        <v>2</v>
      </c>
      <c r="D9" s="4" t="s">
        <v>60</v>
      </c>
      <c r="E9" s="6">
        <v>43</v>
      </c>
      <c r="F9" s="6">
        <v>2</v>
      </c>
      <c r="G9" s="7">
        <f>ROUND(E9*(1+Parametros!$B$4),6)</f>
        <v>55.9</v>
      </c>
      <c r="H9" s="7">
        <f>INT(G9/Parametros!$B$6)</f>
        <v>1</v>
      </c>
      <c r="I9" s="7">
        <f>ROUND(G9-H9*Parametros!$B$6,6)</f>
        <v>16.9</v>
      </c>
      <c r="J9" s="7">
        <f>IF(I9&gt;0,COUNTIF(Parametros!$C$15:$C$19,"&lt;"&amp;I9)+1,0)</f>
        <v>3.0</v>
      </c>
      <c r="K9" s="10">
        <f>H9*Parametros!$B$19+IF(J9&gt;0,INDEX(Parametros!$B$15:$B$19,J9),0)</f>
        <v>11.0</v>
      </c>
      <c r="L9" s="7">
        <f>ROUND(F9*(1+Parametros!$B$4),6)</f>
        <v>2.6</v>
      </c>
      <c r="M9" s="7">
        <f>INT(L9/Parametros!$B$6)</f>
        <v>0</v>
      </c>
      <c r="N9" s="7">
        <f>ROUND(L9-M9*Parametros!$B$6,6)</f>
        <v>2.6</v>
      </c>
      <c r="O9" s="7">
        <f>IF(N9&gt;0,COUNTIF(Parametros!$C$15:$C$19,"&lt;"&amp;N9)+1,0)</f>
        <v>1.0</v>
      </c>
      <c r="P9" s="10">
        <f>M9*Parametros!$B$19+IF(O9&gt;0,INDEX(Parametros!$B$15:$B$19,O9),0)</f>
        <v>1.0</v>
      </c>
      <c r="Q9" s="7">
        <f>M9+IF(O9=5,1,0)</f>
        <v>0.0</v>
      </c>
      <c r="R9" s="7">
        <f>IF(O9=4,1,0)</f>
        <v>0</v>
      </c>
      <c r="S9" s="7">
        <f>IF(O9=3,1,0)</f>
        <v>0</v>
      </c>
      <c r="T9" s="7">
        <f>IF(O9=2,1,0)</f>
        <v>0</v>
      </c>
      <c r="U9" s="7">
        <f>IF(O9=1,1,0)</f>
        <v>1</v>
      </c>
      <c r="V9" s="11" t="str">
        <f>IF(Q9*Parametros!$B$19+R9*Parametros!$B$18+S9*Parametros!$B$17+T9*Parametros!$B$16+U9*Parametros!$B$15=P9,"OK","ERROR")</f>
        <v>OK</v>
      </c>
      <c r="W9" s="7">
        <f>H9+IF(J9=5,1,0)</f>
        <v>1.0</v>
      </c>
      <c r="X9" s="7">
        <f>IF(J9=4,1,0)</f>
        <v>0</v>
      </c>
      <c r="Y9" s="7">
        <f>IF(J9=3,1,0)</f>
        <v>1</v>
      </c>
      <c r="Z9" s="7">
        <f>IF(J9=2,1,0)</f>
        <v>0</v>
      </c>
      <c r="AA9" s="7">
        <f>IF(J9=1,1,0)</f>
        <v>0</v>
      </c>
      <c r="AB9" s="11" t="str">
        <f>IF(W9*Parametros!$B$19+X9*Parametros!$B$18+Y9*Parametros!$B$17+Z9*Parametros!$B$16+AA9*Parametros!$B$15=K9,"OK","ERROR")</f>
        <v>OK</v>
      </c>
    </row>
    <row r="10" spans="1:28">
      <c r="A10" s="4" t="s">
        <v>67</v>
      </c>
      <c r="B10" s="4" t="s">
        <v>59</v>
      </c>
      <c r="C10" s="4">
        <v>1</v>
      </c>
      <c r="D10" s="4" t="s">
        <v>60</v>
      </c>
      <c r="E10" s="6">
        <v>40</v>
      </c>
      <c r="F10" s="6">
        <v>40</v>
      </c>
      <c r="G10" s="7">
        <f>ROUND(E10*(1+Parametros!$B$4),6)</f>
        <v>52.0</v>
      </c>
      <c r="H10" s="7">
        <f>INT(G10/Parametros!$B$6)</f>
        <v>1</v>
      </c>
      <c r="I10" s="7">
        <f>ROUND(G10-H10*Parametros!$B$6,6)</f>
        <v>13.0</v>
      </c>
      <c r="J10" s="7">
        <f>IF(I10&gt;0,COUNTIF(Parametros!$C$15:$C$19,"&lt;"&amp;I10)+1,0)</f>
        <v>3.0</v>
      </c>
      <c r="K10" s="10">
        <f>H10*Parametros!$B$19+IF(J10&gt;0,INDEX(Parametros!$B$15:$B$19,J10),0)</f>
        <v>11.0</v>
      </c>
      <c r="L10" s="7">
        <f>ROUND(F10*(1+Parametros!$B$4),6)</f>
        <v>52.0</v>
      </c>
      <c r="M10" s="7">
        <f>INT(L10/Parametros!$B$6)</f>
        <v>1</v>
      </c>
      <c r="N10" s="7">
        <f>ROUND(L10-M10*Parametros!$B$6,6)</f>
        <v>13.0</v>
      </c>
      <c r="O10" s="7">
        <f>IF(N10&gt;0,COUNTIF(Parametros!$C$15:$C$19,"&lt;"&amp;N10)+1,0)</f>
        <v>3.0</v>
      </c>
      <c r="P10" s="10">
        <f>M10*Parametros!$B$19+IF(O10&gt;0,INDEX(Parametros!$B$15:$B$19,O10),0)</f>
        <v>11.0</v>
      </c>
      <c r="Q10" s="7">
        <f>M10+IF(O10=5,1,0)</f>
        <v>1.0</v>
      </c>
      <c r="R10" s="7">
        <f>IF(O10=4,1,0)</f>
        <v>0</v>
      </c>
      <c r="S10" s="7">
        <f>IF(O10=3,1,0)</f>
        <v>1</v>
      </c>
      <c r="T10" s="7">
        <f>IF(O10=2,1,0)</f>
        <v>0</v>
      </c>
      <c r="U10" s="7">
        <f>IF(O10=1,1,0)</f>
        <v>0</v>
      </c>
      <c r="V10" s="11" t="str">
        <f>IF(Q10*Parametros!$B$19+R10*Parametros!$B$18+S10*Parametros!$B$17+T10*Parametros!$B$16+U10*Parametros!$B$15=P10,"OK","ERROR")</f>
        <v>OK</v>
      </c>
      <c r="W10" s="7">
        <f>H10+IF(J10=5,1,0)</f>
        <v>1.0</v>
      </c>
      <c r="X10" s="7">
        <f>IF(J10=4,1,0)</f>
        <v>0</v>
      </c>
      <c r="Y10" s="7">
        <f>IF(J10=3,1,0)</f>
        <v>1</v>
      </c>
      <c r="Z10" s="7">
        <f>IF(J10=2,1,0)</f>
        <v>0</v>
      </c>
      <c r="AA10" s="7">
        <f>IF(J10=1,1,0)</f>
        <v>0</v>
      </c>
      <c r="AB10" s="11" t="str">
        <f>IF(W10*Parametros!$B$19+X10*Parametros!$B$18+Y10*Parametros!$B$17+Z10*Parametros!$B$16+AA10*Parametros!$B$15=K10,"OK","ERROR")</f>
        <v>OK</v>
      </c>
    </row>
    <row r="11" spans="1:28">
      <c r="A11" s="4" t="s">
        <v>68</v>
      </c>
      <c r="B11" s="4" t="s">
        <v>62</v>
      </c>
      <c r="C11" s="4">
        <v>3</v>
      </c>
      <c r="D11" s="4" t="s">
        <v>60</v>
      </c>
      <c r="E11" s="6">
        <v>36</v>
      </c>
      <c r="F11" s="6">
        <v>36</v>
      </c>
      <c r="G11" s="7">
        <f>ROUND(E11*(1+Parametros!$B$4),6)</f>
        <v>46.8</v>
      </c>
      <c r="H11" s="7">
        <f>INT(G11/Parametros!$B$6)</f>
        <v>1</v>
      </c>
      <c r="I11" s="7">
        <f>ROUND(G11-H11*Parametros!$B$6,6)</f>
        <v>7.8</v>
      </c>
      <c r="J11" s="7">
        <f>IF(I11&gt;0,COUNTIF(Parametros!$C$15:$C$19,"&lt;"&amp;I11)+1,0)</f>
        <v>2.0</v>
      </c>
      <c r="K11" s="10">
        <f>H11*Parametros!$B$19+IF(J11&gt;0,INDEX(Parametros!$B$15:$B$19,J11),0)</f>
        <v>10.0</v>
      </c>
      <c r="L11" s="7">
        <f>ROUND(F11*(1+Parametros!$B$4),6)</f>
        <v>46.8</v>
      </c>
      <c r="M11" s="7">
        <f>INT(L11/Parametros!$B$6)</f>
        <v>1</v>
      </c>
      <c r="N11" s="7">
        <f>ROUND(L11-M11*Parametros!$B$6,6)</f>
        <v>7.8</v>
      </c>
      <c r="O11" s="7">
        <f>IF(N11&gt;0,COUNTIF(Parametros!$C$15:$C$19,"&lt;"&amp;N11)+1,0)</f>
        <v>2.0</v>
      </c>
      <c r="P11" s="10">
        <f>M11*Parametros!$B$19+IF(O11&gt;0,INDEX(Parametros!$B$15:$B$19,O11),0)</f>
        <v>10.0</v>
      </c>
      <c r="Q11" s="7">
        <f>M11+IF(O11=5,1,0)</f>
        <v>1.0</v>
      </c>
      <c r="R11" s="7">
        <f>IF(O11=4,1,0)</f>
        <v>0</v>
      </c>
      <c r="S11" s="7">
        <f>IF(O11=3,1,0)</f>
        <v>0</v>
      </c>
      <c r="T11" s="7">
        <f>IF(O11=2,1,0)</f>
        <v>1</v>
      </c>
      <c r="U11" s="7">
        <f>IF(O11=1,1,0)</f>
        <v>0</v>
      </c>
      <c r="V11" s="11" t="str">
        <f>IF(Q11*Parametros!$B$19+R11*Parametros!$B$18+S11*Parametros!$B$17+T11*Parametros!$B$16+U11*Parametros!$B$15=P11,"OK","ERROR")</f>
        <v>OK</v>
      </c>
      <c r="W11" s="7">
        <f>H11+IF(J11=5,1,0)</f>
        <v>1.0</v>
      </c>
      <c r="X11" s="7">
        <f>IF(J11=4,1,0)</f>
        <v>0</v>
      </c>
      <c r="Y11" s="7">
        <f>IF(J11=3,1,0)</f>
        <v>0</v>
      </c>
      <c r="Z11" s="7">
        <f>IF(J11=2,1,0)</f>
        <v>1</v>
      </c>
      <c r="AA11" s="7">
        <f>IF(J11=1,1,0)</f>
        <v>0</v>
      </c>
      <c r="AB11" s="11" t="str">
        <f>IF(W11*Parametros!$B$19+X11*Parametros!$B$18+Y11*Parametros!$B$17+Z11*Parametros!$B$16+AA11*Parametros!$B$15=K11,"OK","ERROR")</f>
        <v>OK</v>
      </c>
    </row>
    <row r="12" spans="1:28">
      <c r="A12" s="4" t="s">
        <v>69</v>
      </c>
      <c r="B12" s="4" t="s">
        <v>64</v>
      </c>
      <c r="C12" s="4">
        <v>3</v>
      </c>
      <c r="D12" s="4" t="s">
        <v>60</v>
      </c>
      <c r="E12" s="6">
        <v>32</v>
      </c>
      <c r="F12" s="6">
        <v>32</v>
      </c>
      <c r="G12" s="7">
        <f>ROUND(E12*(1+Parametros!$B$4),6)</f>
        <v>41.6</v>
      </c>
      <c r="H12" s="7">
        <f>INT(G12/Parametros!$B$6)</f>
        <v>1</v>
      </c>
      <c r="I12" s="7">
        <f>ROUND(G12-H12*Parametros!$B$6,6)</f>
        <v>2.6</v>
      </c>
      <c r="J12" s="7">
        <f>IF(I12&gt;0,COUNTIF(Parametros!$C$15:$C$19,"&lt;"&amp;I12)+1,0)</f>
        <v>1.0</v>
      </c>
      <c r="K12" s="10">
        <f>H12*Parametros!$B$19+IF(J12&gt;0,INDEX(Parametros!$B$15:$B$19,J12),0)</f>
        <v>9.0</v>
      </c>
      <c r="L12" s="7">
        <f>ROUND(F12*(1+Parametros!$B$4),6)</f>
        <v>41.6</v>
      </c>
      <c r="M12" s="7">
        <f>INT(L12/Parametros!$B$6)</f>
        <v>1</v>
      </c>
      <c r="N12" s="7">
        <f>ROUND(L12-M12*Parametros!$B$6,6)</f>
        <v>2.6</v>
      </c>
      <c r="O12" s="7">
        <f>IF(N12&gt;0,COUNTIF(Parametros!$C$15:$C$19,"&lt;"&amp;N12)+1,0)</f>
        <v>1.0</v>
      </c>
      <c r="P12" s="10">
        <f>M12*Parametros!$B$19+IF(O12&gt;0,INDEX(Parametros!$B$15:$B$19,O12),0)</f>
        <v>9.0</v>
      </c>
      <c r="Q12" s="7">
        <f>M12+IF(O12=5,1,0)</f>
        <v>1.0</v>
      </c>
      <c r="R12" s="7">
        <f>IF(O12=4,1,0)</f>
        <v>0</v>
      </c>
      <c r="S12" s="7">
        <f>IF(O12=3,1,0)</f>
        <v>0</v>
      </c>
      <c r="T12" s="7">
        <f>IF(O12=2,1,0)</f>
        <v>0</v>
      </c>
      <c r="U12" s="7">
        <f>IF(O12=1,1,0)</f>
        <v>1</v>
      </c>
      <c r="V12" s="11" t="str">
        <f>IF(Q12*Parametros!$B$19+R12*Parametros!$B$18+S12*Parametros!$B$17+T12*Parametros!$B$16+U12*Parametros!$B$15=P12,"OK","ERROR")</f>
        <v>OK</v>
      </c>
      <c r="W12" s="7">
        <f>H12+IF(J12=5,1,0)</f>
        <v>1.0</v>
      </c>
      <c r="X12" s="7">
        <f>IF(J12=4,1,0)</f>
        <v>0</v>
      </c>
      <c r="Y12" s="7">
        <f>IF(J12=3,1,0)</f>
        <v>0</v>
      </c>
      <c r="Z12" s="7">
        <f>IF(J12=2,1,0)</f>
        <v>0</v>
      </c>
      <c r="AA12" s="7">
        <f>IF(J12=1,1,0)</f>
        <v>1</v>
      </c>
      <c r="AB12" s="11" t="str">
        <f>IF(W12*Parametros!$B$19+X12*Parametros!$B$18+Y12*Parametros!$B$17+Z12*Parametros!$B$16+AA12*Parametros!$B$15=K12,"OK","ERROR")</f>
        <v>OK</v>
      </c>
    </row>
    <row r="13" spans="1:28">
      <c r="A13" s="4" t="s">
        <v>70</v>
      </c>
      <c r="B13" s="4" t="s">
        <v>62</v>
      </c>
      <c r="C13" s="4">
        <v>2</v>
      </c>
      <c r="D13" s="4" t="s">
        <v>60</v>
      </c>
      <c r="E13" s="6">
        <v>31</v>
      </c>
      <c r="F13" s="6">
        <v>31</v>
      </c>
      <c r="G13" s="7">
        <f>ROUND(E13*(1+Parametros!$B$4),6)</f>
        <v>40.3</v>
      </c>
      <c r="H13" s="7">
        <f>INT(G13/Parametros!$B$6)</f>
        <v>1</v>
      </c>
      <c r="I13" s="7">
        <f>ROUND(G13-H13*Parametros!$B$6,6)</f>
        <v>1.3</v>
      </c>
      <c r="J13" s="7">
        <f>IF(I13&gt;0,COUNTIF(Parametros!$C$15:$C$19,"&lt;"&amp;I13)+1,0)</f>
        <v>1.0</v>
      </c>
      <c r="K13" s="10">
        <f>H13*Parametros!$B$19+IF(J13&gt;0,INDEX(Parametros!$B$15:$B$19,J13),0)</f>
        <v>9.0</v>
      </c>
      <c r="L13" s="7">
        <f>ROUND(F13*(1+Parametros!$B$4),6)</f>
        <v>40.3</v>
      </c>
      <c r="M13" s="7">
        <f>INT(L13/Parametros!$B$6)</f>
        <v>1</v>
      </c>
      <c r="N13" s="7">
        <f>ROUND(L13-M13*Parametros!$B$6,6)</f>
        <v>1.3</v>
      </c>
      <c r="O13" s="7">
        <f>IF(N13&gt;0,COUNTIF(Parametros!$C$15:$C$19,"&lt;"&amp;N13)+1,0)</f>
        <v>1.0</v>
      </c>
      <c r="P13" s="10">
        <f>M13*Parametros!$B$19+IF(O13&gt;0,INDEX(Parametros!$B$15:$B$19,O13),0)</f>
        <v>9.0</v>
      </c>
      <c r="Q13" s="7">
        <f>M13+IF(O13=5,1,0)</f>
        <v>1.0</v>
      </c>
      <c r="R13" s="7">
        <f>IF(O13=4,1,0)</f>
        <v>0</v>
      </c>
      <c r="S13" s="7">
        <f>IF(O13=3,1,0)</f>
        <v>0</v>
      </c>
      <c r="T13" s="7">
        <f>IF(O13=2,1,0)</f>
        <v>0</v>
      </c>
      <c r="U13" s="7">
        <f>IF(O13=1,1,0)</f>
        <v>1</v>
      </c>
      <c r="V13" s="11" t="str">
        <f>IF(Q13*Parametros!$B$19+R13*Parametros!$B$18+S13*Parametros!$B$17+T13*Parametros!$B$16+U13*Parametros!$B$15=P13,"OK","ERROR")</f>
        <v>OK</v>
      </c>
      <c r="W13" s="7">
        <f>H13+IF(J13=5,1,0)</f>
        <v>1.0</v>
      </c>
      <c r="X13" s="7">
        <f>IF(J13=4,1,0)</f>
        <v>0</v>
      </c>
      <c r="Y13" s="7">
        <f>IF(J13=3,1,0)</f>
        <v>0</v>
      </c>
      <c r="Z13" s="7">
        <f>IF(J13=2,1,0)</f>
        <v>0</v>
      </c>
      <c r="AA13" s="7">
        <f>IF(J13=1,1,0)</f>
        <v>1</v>
      </c>
      <c r="AB13" s="11" t="str">
        <f>IF(W13*Parametros!$B$19+X13*Parametros!$B$18+Y13*Parametros!$B$17+Z13*Parametros!$B$16+AA13*Parametros!$B$15=K13,"OK","ERROR")</f>
        <v>OK</v>
      </c>
    </row>
    <row r="14" spans="1:28">
      <c r="A14" s="4" t="s">
        <v>71</v>
      </c>
      <c r="B14" s="4" t="s">
        <v>59</v>
      </c>
      <c r="C14" s="4">
        <v>2</v>
      </c>
      <c r="D14" s="4" t="s">
        <v>60</v>
      </c>
      <c r="E14" s="6">
        <v>25</v>
      </c>
      <c r="F14" s="6">
        <v>25</v>
      </c>
      <c r="G14" s="7">
        <f>ROUND(E14*(1+Parametros!$B$4),6)</f>
        <v>32.5</v>
      </c>
      <c r="H14" s="7">
        <f>INT(G14/Parametros!$B$6)</f>
        <v>0</v>
      </c>
      <c r="I14" s="7">
        <f>ROUND(G14-H14*Parametros!$B$6,6)</f>
        <v>32.5</v>
      </c>
      <c r="J14" s="7">
        <f>IF(I14&gt;0,COUNTIF(Parametros!$C$15:$C$19,"&lt;"&amp;I14)+1,0)</f>
        <v>5.0</v>
      </c>
      <c r="K14" s="10">
        <f>H14*Parametros!$B$19+IF(J14&gt;0,INDEX(Parametros!$B$15:$B$19,J14),0)</f>
        <v>8.0</v>
      </c>
      <c r="L14" s="7">
        <f>ROUND(F14*(1+Parametros!$B$4),6)</f>
        <v>32.5</v>
      </c>
      <c r="M14" s="7">
        <f>INT(L14/Parametros!$B$6)</f>
        <v>0</v>
      </c>
      <c r="N14" s="7">
        <f>ROUND(L14-M14*Parametros!$B$6,6)</f>
        <v>32.5</v>
      </c>
      <c r="O14" s="7">
        <f>IF(N14&gt;0,COUNTIF(Parametros!$C$15:$C$19,"&lt;"&amp;N14)+1,0)</f>
        <v>5.0</v>
      </c>
      <c r="P14" s="10">
        <f>M14*Parametros!$B$19+IF(O14&gt;0,INDEX(Parametros!$B$15:$B$19,O14),0)</f>
        <v>8.0</v>
      </c>
      <c r="Q14" s="7">
        <f>M14+IF(O14=5,1,0)</f>
        <v>1.0</v>
      </c>
      <c r="R14" s="7">
        <f>IF(O14=4,1,0)</f>
        <v>0</v>
      </c>
      <c r="S14" s="7">
        <f>IF(O14=3,1,0)</f>
        <v>0</v>
      </c>
      <c r="T14" s="7">
        <f>IF(O14=2,1,0)</f>
        <v>0</v>
      </c>
      <c r="U14" s="7">
        <f>IF(O14=1,1,0)</f>
        <v>0</v>
      </c>
      <c r="V14" s="11" t="str">
        <f>IF(Q14*Parametros!$B$19+R14*Parametros!$B$18+S14*Parametros!$B$17+T14*Parametros!$B$16+U14*Parametros!$B$15=P14,"OK","ERROR")</f>
        <v>OK</v>
      </c>
      <c r="W14" s="7">
        <f>H14+IF(J14=5,1,0)</f>
        <v>1.0</v>
      </c>
      <c r="X14" s="7">
        <f>IF(J14=4,1,0)</f>
        <v>0</v>
      </c>
      <c r="Y14" s="7">
        <f>IF(J14=3,1,0)</f>
        <v>0</v>
      </c>
      <c r="Z14" s="7">
        <f>IF(J14=2,1,0)</f>
        <v>0</v>
      </c>
      <c r="AA14" s="7">
        <f>IF(J14=1,1,0)</f>
        <v>0</v>
      </c>
      <c r="AB14" s="11" t="str">
        <f>IF(W14*Parametros!$B$19+X14*Parametros!$B$18+Y14*Parametros!$B$17+Z14*Parametros!$B$16+AA14*Parametros!$B$15=K14,"OK","ERROR")</f>
        <v>OK</v>
      </c>
    </row>
    <row r="15" spans="1:28">
      <c r="A15" s="4" t="s">
        <v>72</v>
      </c>
      <c r="B15" s="4" t="s">
        <v>59</v>
      </c>
      <c r="C15" s="4">
        <v>1</v>
      </c>
      <c r="D15" s="4" t="s">
        <v>60</v>
      </c>
      <c r="E15" s="6">
        <v>24</v>
      </c>
      <c r="F15" s="6">
        <v>24</v>
      </c>
      <c r="G15" s="7">
        <f>ROUND(E15*(1+Parametros!$B$4),6)</f>
        <v>31.2</v>
      </c>
      <c r="H15" s="7">
        <f>INT(G15/Parametros!$B$6)</f>
        <v>0</v>
      </c>
      <c r="I15" s="7">
        <f>ROUND(G15-H15*Parametros!$B$6,6)</f>
        <v>31.2</v>
      </c>
      <c r="J15" s="7">
        <f>IF(I15&gt;0,COUNTIF(Parametros!$C$15:$C$19,"&lt;"&amp;I15)+1,0)</f>
        <v>5.0</v>
      </c>
      <c r="K15" s="10">
        <f>H15*Parametros!$B$19+IF(J15&gt;0,INDEX(Parametros!$B$15:$B$19,J15),0)</f>
        <v>8.0</v>
      </c>
      <c r="L15" s="7">
        <f>ROUND(F15*(1+Parametros!$B$4),6)</f>
        <v>31.2</v>
      </c>
      <c r="M15" s="7">
        <f>INT(L15/Parametros!$B$6)</f>
        <v>0</v>
      </c>
      <c r="N15" s="7">
        <f>ROUND(L15-M15*Parametros!$B$6,6)</f>
        <v>31.2</v>
      </c>
      <c r="O15" s="7">
        <f>IF(N15&gt;0,COUNTIF(Parametros!$C$15:$C$19,"&lt;"&amp;N15)+1,0)</f>
        <v>5.0</v>
      </c>
      <c r="P15" s="10">
        <f>M15*Parametros!$B$19+IF(O15&gt;0,INDEX(Parametros!$B$15:$B$19,O15),0)</f>
        <v>8.0</v>
      </c>
      <c r="Q15" s="7">
        <f>M15+IF(O15=5,1,0)</f>
        <v>1.0</v>
      </c>
      <c r="R15" s="7">
        <f>IF(O15=4,1,0)</f>
        <v>0</v>
      </c>
      <c r="S15" s="7">
        <f>IF(O15=3,1,0)</f>
        <v>0</v>
      </c>
      <c r="T15" s="7">
        <f>IF(O15=2,1,0)</f>
        <v>0</v>
      </c>
      <c r="U15" s="7">
        <f>IF(O15=1,1,0)</f>
        <v>0</v>
      </c>
      <c r="V15" s="11" t="str">
        <f>IF(Q15*Parametros!$B$19+R15*Parametros!$B$18+S15*Parametros!$B$17+T15*Parametros!$B$16+U15*Parametros!$B$15=P15,"OK","ERROR")</f>
        <v>OK</v>
      </c>
      <c r="W15" s="7">
        <f>H15+IF(J15=5,1,0)</f>
        <v>1.0</v>
      </c>
      <c r="X15" s="7">
        <f>IF(J15=4,1,0)</f>
        <v>0</v>
      </c>
      <c r="Y15" s="7">
        <f>IF(J15=3,1,0)</f>
        <v>0</v>
      </c>
      <c r="Z15" s="7">
        <f>IF(J15=2,1,0)</f>
        <v>0</v>
      </c>
      <c r="AA15" s="7">
        <f>IF(J15=1,1,0)</f>
        <v>0</v>
      </c>
      <c r="AB15" s="11" t="str">
        <f>IF(W15*Parametros!$B$19+X15*Parametros!$B$18+Y15*Parametros!$B$17+Z15*Parametros!$B$16+AA15*Parametros!$B$15=K15,"OK","ERROR")</f>
        <v>OK</v>
      </c>
    </row>
    <row r="16" spans="1:28">
      <c r="A16" s="4" t="s">
        <v>73</v>
      </c>
      <c r="B16" s="4" t="s">
        <v>59</v>
      </c>
      <c r="C16" s="4">
        <v>2</v>
      </c>
      <c r="D16" s="4" t="s">
        <v>60</v>
      </c>
      <c r="E16" s="6">
        <v>24</v>
      </c>
      <c r="F16" s="6">
        <v>24</v>
      </c>
      <c r="G16" s="7">
        <f>ROUND(E16*(1+Parametros!$B$4),6)</f>
        <v>31.2</v>
      </c>
      <c r="H16" s="7">
        <f>INT(G16/Parametros!$B$6)</f>
        <v>0</v>
      </c>
      <c r="I16" s="7">
        <f>ROUND(G16-H16*Parametros!$B$6,6)</f>
        <v>31.2</v>
      </c>
      <c r="J16" s="7">
        <f>IF(I16&gt;0,COUNTIF(Parametros!$C$15:$C$19,"&lt;"&amp;I16)+1,0)</f>
        <v>5.0</v>
      </c>
      <c r="K16" s="10">
        <f>H16*Parametros!$B$19+IF(J16&gt;0,INDEX(Parametros!$B$15:$B$19,J16),0)</f>
        <v>8.0</v>
      </c>
      <c r="L16" s="7">
        <f>ROUND(F16*(1+Parametros!$B$4),6)</f>
        <v>31.2</v>
      </c>
      <c r="M16" s="7">
        <f>INT(L16/Parametros!$B$6)</f>
        <v>0</v>
      </c>
      <c r="N16" s="7">
        <f>ROUND(L16-M16*Parametros!$B$6,6)</f>
        <v>31.2</v>
      </c>
      <c r="O16" s="7">
        <f>IF(N16&gt;0,COUNTIF(Parametros!$C$15:$C$19,"&lt;"&amp;N16)+1,0)</f>
        <v>5.0</v>
      </c>
      <c r="P16" s="10">
        <f>M16*Parametros!$B$19+IF(O16&gt;0,INDEX(Parametros!$B$15:$B$19,O16),0)</f>
        <v>8.0</v>
      </c>
      <c r="Q16" s="7">
        <f>M16+IF(O16=5,1,0)</f>
        <v>1.0</v>
      </c>
      <c r="R16" s="7">
        <f>IF(O16=4,1,0)</f>
        <v>0</v>
      </c>
      <c r="S16" s="7">
        <f>IF(O16=3,1,0)</f>
        <v>0</v>
      </c>
      <c r="T16" s="7">
        <f>IF(O16=2,1,0)</f>
        <v>0</v>
      </c>
      <c r="U16" s="7">
        <f>IF(O16=1,1,0)</f>
        <v>0</v>
      </c>
      <c r="V16" s="11" t="str">
        <f>IF(Q16*Parametros!$B$19+R16*Parametros!$B$18+S16*Parametros!$B$17+T16*Parametros!$B$16+U16*Parametros!$B$15=P16,"OK","ERROR")</f>
        <v>OK</v>
      </c>
      <c r="W16" s="7">
        <f>H16+IF(J16=5,1,0)</f>
        <v>1.0</v>
      </c>
      <c r="X16" s="7">
        <f>IF(J16=4,1,0)</f>
        <v>0</v>
      </c>
      <c r="Y16" s="7">
        <f>IF(J16=3,1,0)</f>
        <v>0</v>
      </c>
      <c r="Z16" s="7">
        <f>IF(J16=2,1,0)</f>
        <v>0</v>
      </c>
      <c r="AA16" s="7">
        <f>IF(J16=1,1,0)</f>
        <v>0</v>
      </c>
      <c r="AB16" s="11" t="str">
        <f>IF(W16*Parametros!$B$19+X16*Parametros!$B$18+Y16*Parametros!$B$17+Z16*Parametros!$B$16+AA16*Parametros!$B$15=K16,"OK","ERROR")</f>
        <v>OK</v>
      </c>
    </row>
    <row r="17" spans="1:28">
      <c r="A17" s="4" t="s">
        <v>74</v>
      </c>
      <c r="B17" s="4" t="s">
        <v>59</v>
      </c>
      <c r="C17" s="4">
        <v>3</v>
      </c>
      <c r="D17" s="4" t="s">
        <v>60</v>
      </c>
      <c r="E17" s="6">
        <v>22</v>
      </c>
      <c r="F17" s="6">
        <v>22</v>
      </c>
      <c r="G17" s="7">
        <f>ROUND(E17*(1+Parametros!$B$4),6)</f>
        <v>28.6</v>
      </c>
      <c r="H17" s="7">
        <f>INT(G17/Parametros!$B$6)</f>
        <v>0</v>
      </c>
      <c r="I17" s="7">
        <f>ROUND(G17-H17*Parametros!$B$6,6)</f>
        <v>28.6</v>
      </c>
      <c r="J17" s="7">
        <f>IF(I17&gt;0,COUNTIF(Parametros!$C$15:$C$19,"&lt;"&amp;I17)+1,0)</f>
        <v>5.0</v>
      </c>
      <c r="K17" s="10">
        <f>H17*Parametros!$B$19+IF(J17&gt;0,INDEX(Parametros!$B$15:$B$19,J17),0)</f>
        <v>8.0</v>
      </c>
      <c r="L17" s="7">
        <f>ROUND(F17*(1+Parametros!$B$4),6)</f>
        <v>28.6</v>
      </c>
      <c r="M17" s="7">
        <f>INT(L17/Parametros!$B$6)</f>
        <v>0</v>
      </c>
      <c r="N17" s="7">
        <f>ROUND(L17-M17*Parametros!$B$6,6)</f>
        <v>28.6</v>
      </c>
      <c r="O17" s="7">
        <f>IF(N17&gt;0,COUNTIF(Parametros!$C$15:$C$19,"&lt;"&amp;N17)+1,0)</f>
        <v>5.0</v>
      </c>
      <c r="P17" s="10">
        <f>M17*Parametros!$B$19+IF(O17&gt;0,INDEX(Parametros!$B$15:$B$19,O17),0)</f>
        <v>8.0</v>
      </c>
      <c r="Q17" s="7">
        <f>M17+IF(O17=5,1,0)</f>
        <v>1.0</v>
      </c>
      <c r="R17" s="7">
        <f>IF(O17=4,1,0)</f>
        <v>0</v>
      </c>
      <c r="S17" s="7">
        <f>IF(O17=3,1,0)</f>
        <v>0</v>
      </c>
      <c r="T17" s="7">
        <f>IF(O17=2,1,0)</f>
        <v>0</v>
      </c>
      <c r="U17" s="7">
        <f>IF(O17=1,1,0)</f>
        <v>0</v>
      </c>
      <c r="V17" s="11" t="str">
        <f>IF(Q17*Parametros!$B$19+R17*Parametros!$B$18+S17*Parametros!$B$17+T17*Parametros!$B$16+U17*Parametros!$B$15=P17,"OK","ERROR")</f>
        <v>OK</v>
      </c>
      <c r="W17" s="7">
        <f>H17+IF(J17=5,1,0)</f>
        <v>1.0</v>
      </c>
      <c r="X17" s="7">
        <f>IF(J17=4,1,0)</f>
        <v>0</v>
      </c>
      <c r="Y17" s="7">
        <f>IF(J17=3,1,0)</f>
        <v>0</v>
      </c>
      <c r="Z17" s="7">
        <f>IF(J17=2,1,0)</f>
        <v>0</v>
      </c>
      <c r="AA17" s="7">
        <f>IF(J17=1,1,0)</f>
        <v>0</v>
      </c>
      <c r="AB17" s="11" t="str">
        <f>IF(W17*Parametros!$B$19+X17*Parametros!$B$18+Y17*Parametros!$B$17+Z17*Parametros!$B$16+AA17*Parametros!$B$15=K17,"OK","ERROR")</f>
        <v>OK</v>
      </c>
    </row>
    <row r="18" spans="1:28">
      <c r="A18" s="4" t="s">
        <v>75</v>
      </c>
      <c r="B18" s="4" t="s">
        <v>59</v>
      </c>
      <c r="C18" s="4">
        <v>2</v>
      </c>
      <c r="D18" s="4" t="s">
        <v>60</v>
      </c>
      <c r="E18" s="6">
        <v>20</v>
      </c>
      <c r="F18" s="6">
        <v>20</v>
      </c>
      <c r="G18" s="7">
        <f>ROUND(E18*(1+Parametros!$B$4),6)</f>
        <v>26.0</v>
      </c>
      <c r="H18" s="7">
        <f>INT(G18/Parametros!$B$6)</f>
        <v>0</v>
      </c>
      <c r="I18" s="7">
        <f>ROUND(G18-H18*Parametros!$B$6,6)</f>
        <v>26.0</v>
      </c>
      <c r="J18" s="7">
        <f>IF(I18&gt;0,COUNTIF(Parametros!$C$15:$C$19,"&lt;"&amp;I18)+1,0)</f>
        <v>4.0</v>
      </c>
      <c r="K18" s="10">
        <f>H18*Parametros!$B$19+IF(J18&gt;0,INDEX(Parametros!$B$15:$B$19,J18),0)</f>
        <v>5.0</v>
      </c>
      <c r="L18" s="7">
        <f>ROUND(F18*(1+Parametros!$B$4),6)</f>
        <v>26.0</v>
      </c>
      <c r="M18" s="7">
        <f>INT(L18/Parametros!$B$6)</f>
        <v>0</v>
      </c>
      <c r="N18" s="7">
        <f>ROUND(L18-M18*Parametros!$B$6,6)</f>
        <v>26.0</v>
      </c>
      <c r="O18" s="7">
        <f>IF(N18&gt;0,COUNTIF(Parametros!$C$15:$C$19,"&lt;"&amp;N18)+1,0)</f>
        <v>4.0</v>
      </c>
      <c r="P18" s="10">
        <f>M18*Parametros!$B$19+IF(O18&gt;0,INDEX(Parametros!$B$15:$B$19,O18),0)</f>
        <v>5.0</v>
      </c>
      <c r="Q18" s="7">
        <f>M18+IF(O18=5,1,0)</f>
        <v>0.0</v>
      </c>
      <c r="R18" s="7">
        <f>IF(O18=4,1,0)</f>
        <v>1</v>
      </c>
      <c r="S18" s="7">
        <f>IF(O18=3,1,0)</f>
        <v>0</v>
      </c>
      <c r="T18" s="7">
        <f>IF(O18=2,1,0)</f>
        <v>0</v>
      </c>
      <c r="U18" s="7">
        <f>IF(O18=1,1,0)</f>
        <v>0</v>
      </c>
      <c r="V18" s="11" t="str">
        <f>IF(Q18*Parametros!$B$19+R18*Parametros!$B$18+S18*Parametros!$B$17+T18*Parametros!$B$16+U18*Parametros!$B$15=P18,"OK","ERROR")</f>
        <v>OK</v>
      </c>
      <c r="W18" s="7">
        <f>H18+IF(J18=5,1,0)</f>
        <v>0.0</v>
      </c>
      <c r="X18" s="7">
        <f>IF(J18=4,1,0)</f>
        <v>1</v>
      </c>
      <c r="Y18" s="7">
        <f>IF(J18=3,1,0)</f>
        <v>0</v>
      </c>
      <c r="Z18" s="7">
        <f>IF(J18=2,1,0)</f>
        <v>0</v>
      </c>
      <c r="AA18" s="7">
        <f>IF(J18=1,1,0)</f>
        <v>0</v>
      </c>
      <c r="AB18" s="11" t="str">
        <f>IF(W18*Parametros!$B$19+X18*Parametros!$B$18+Y18*Parametros!$B$17+Z18*Parametros!$B$16+AA18*Parametros!$B$15=K18,"OK","ERROR")</f>
        <v>OK</v>
      </c>
    </row>
    <row r="19" spans="1:28">
      <c r="A19" s="4" t="s">
        <v>76</v>
      </c>
      <c r="B19" s="4" t="s">
        <v>59</v>
      </c>
      <c r="C19" s="4">
        <v>1</v>
      </c>
      <c r="D19" s="4" t="s">
        <v>60</v>
      </c>
      <c r="E19" s="6">
        <v>16</v>
      </c>
      <c r="F19" s="6">
        <v>16</v>
      </c>
      <c r="G19" s="7">
        <f>ROUND(E19*(1+Parametros!$B$4),6)</f>
        <v>20.8</v>
      </c>
      <c r="H19" s="7">
        <f>INT(G19/Parametros!$B$6)</f>
        <v>0</v>
      </c>
      <c r="I19" s="7">
        <f>ROUND(G19-H19*Parametros!$B$6,6)</f>
        <v>20.8</v>
      </c>
      <c r="J19" s="7">
        <f>IF(I19&gt;0,COUNTIF(Parametros!$C$15:$C$19,"&lt;"&amp;I19)+1,0)</f>
        <v>4.0</v>
      </c>
      <c r="K19" s="10">
        <f>H19*Parametros!$B$19+IF(J19&gt;0,INDEX(Parametros!$B$15:$B$19,J19),0)</f>
        <v>5.0</v>
      </c>
      <c r="L19" s="7">
        <f>ROUND(F19*(1+Parametros!$B$4),6)</f>
        <v>20.8</v>
      </c>
      <c r="M19" s="7">
        <f>INT(L19/Parametros!$B$6)</f>
        <v>0</v>
      </c>
      <c r="N19" s="7">
        <f>ROUND(L19-M19*Parametros!$B$6,6)</f>
        <v>20.8</v>
      </c>
      <c r="O19" s="7">
        <f>IF(N19&gt;0,COUNTIF(Parametros!$C$15:$C$19,"&lt;"&amp;N19)+1,0)</f>
        <v>4.0</v>
      </c>
      <c r="P19" s="10">
        <f>M19*Parametros!$B$19+IF(O19&gt;0,INDEX(Parametros!$B$15:$B$19,O19),0)</f>
        <v>5.0</v>
      </c>
      <c r="Q19" s="7">
        <f>M19+IF(O19=5,1,0)</f>
        <v>0.0</v>
      </c>
      <c r="R19" s="7">
        <f>IF(O19=4,1,0)</f>
        <v>1</v>
      </c>
      <c r="S19" s="7">
        <f>IF(O19=3,1,0)</f>
        <v>0</v>
      </c>
      <c r="T19" s="7">
        <f>IF(O19=2,1,0)</f>
        <v>0</v>
      </c>
      <c r="U19" s="7">
        <f>IF(O19=1,1,0)</f>
        <v>0</v>
      </c>
      <c r="V19" s="11" t="str">
        <f>IF(Q19*Parametros!$B$19+R19*Parametros!$B$18+S19*Parametros!$B$17+T19*Parametros!$B$16+U19*Parametros!$B$15=P19,"OK","ERROR")</f>
        <v>OK</v>
      </c>
      <c r="W19" s="7">
        <f>H19+IF(J19=5,1,0)</f>
        <v>0.0</v>
      </c>
      <c r="X19" s="7">
        <f>IF(J19=4,1,0)</f>
        <v>1</v>
      </c>
      <c r="Y19" s="7">
        <f>IF(J19=3,1,0)</f>
        <v>0</v>
      </c>
      <c r="Z19" s="7">
        <f>IF(J19=2,1,0)</f>
        <v>0</v>
      </c>
      <c r="AA19" s="7">
        <f>IF(J19=1,1,0)</f>
        <v>0</v>
      </c>
      <c r="AB19" s="11" t="str">
        <f>IF(W19*Parametros!$B$19+X19*Parametros!$B$18+Y19*Parametros!$B$17+Z19*Parametros!$B$16+AA19*Parametros!$B$15=K19,"OK","ERROR")</f>
        <v>OK</v>
      </c>
    </row>
    <row r="20" spans="1:28">
      <c r="A20" s="4" t="s">
        <v>77</v>
      </c>
      <c r="B20" s="4" t="s">
        <v>62</v>
      </c>
      <c r="C20" s="4">
        <v>2</v>
      </c>
      <c r="D20" s="4" t="s">
        <v>60</v>
      </c>
      <c r="E20" s="6">
        <v>16</v>
      </c>
      <c r="F20" s="6">
        <v>16</v>
      </c>
      <c r="G20" s="7">
        <f>ROUND(E20*(1+Parametros!$B$4),6)</f>
        <v>20.8</v>
      </c>
      <c r="H20" s="7">
        <f>INT(G20/Parametros!$B$6)</f>
        <v>0</v>
      </c>
      <c r="I20" s="7">
        <f>ROUND(G20-H20*Parametros!$B$6,6)</f>
        <v>20.8</v>
      </c>
      <c r="J20" s="7">
        <f>IF(I20&gt;0,COUNTIF(Parametros!$C$15:$C$19,"&lt;"&amp;I20)+1,0)</f>
        <v>4.0</v>
      </c>
      <c r="K20" s="10">
        <f>H20*Parametros!$B$19+IF(J20&gt;0,INDEX(Parametros!$B$15:$B$19,J20),0)</f>
        <v>5.0</v>
      </c>
      <c r="L20" s="7">
        <f>ROUND(F20*(1+Parametros!$B$4),6)</f>
        <v>20.8</v>
      </c>
      <c r="M20" s="7">
        <f>INT(L20/Parametros!$B$6)</f>
        <v>0</v>
      </c>
      <c r="N20" s="7">
        <f>ROUND(L20-M20*Parametros!$B$6,6)</f>
        <v>20.8</v>
      </c>
      <c r="O20" s="7">
        <f>IF(N20&gt;0,COUNTIF(Parametros!$C$15:$C$19,"&lt;"&amp;N20)+1,0)</f>
        <v>4.0</v>
      </c>
      <c r="P20" s="10">
        <f>M20*Parametros!$B$19+IF(O20&gt;0,INDEX(Parametros!$B$15:$B$19,O20),0)</f>
        <v>5.0</v>
      </c>
      <c r="Q20" s="7">
        <f>M20+IF(O20=5,1,0)</f>
        <v>0.0</v>
      </c>
      <c r="R20" s="7">
        <f>IF(O20=4,1,0)</f>
        <v>1</v>
      </c>
      <c r="S20" s="7">
        <f>IF(O20=3,1,0)</f>
        <v>0</v>
      </c>
      <c r="T20" s="7">
        <f>IF(O20=2,1,0)</f>
        <v>0</v>
      </c>
      <c r="U20" s="7">
        <f>IF(O20=1,1,0)</f>
        <v>0</v>
      </c>
      <c r="V20" s="11" t="str">
        <f>IF(Q20*Parametros!$B$19+R20*Parametros!$B$18+S20*Parametros!$B$17+T20*Parametros!$B$16+U20*Parametros!$B$15=P20,"OK","ERROR")</f>
        <v>OK</v>
      </c>
      <c r="W20" s="7">
        <f>H20+IF(J20=5,1,0)</f>
        <v>0.0</v>
      </c>
      <c r="X20" s="7">
        <f>IF(J20=4,1,0)</f>
        <v>1</v>
      </c>
      <c r="Y20" s="7">
        <f>IF(J20=3,1,0)</f>
        <v>0</v>
      </c>
      <c r="Z20" s="7">
        <f>IF(J20=2,1,0)</f>
        <v>0</v>
      </c>
      <c r="AA20" s="7">
        <f>IF(J20=1,1,0)</f>
        <v>0</v>
      </c>
      <c r="AB20" s="11" t="str">
        <f>IF(W20*Parametros!$B$19+X20*Parametros!$B$18+Y20*Parametros!$B$17+Z20*Parametros!$B$16+AA20*Parametros!$B$15=K20,"OK","ERROR")</f>
        <v>OK</v>
      </c>
    </row>
    <row r="21" spans="1:28">
      <c r="A21" s="4" t="s">
        <v>78</v>
      </c>
      <c r="B21" s="4" t="s">
        <v>62</v>
      </c>
      <c r="C21" s="4">
        <v>2</v>
      </c>
      <c r="D21" s="4" t="s">
        <v>60</v>
      </c>
      <c r="E21" s="6">
        <v>8</v>
      </c>
      <c r="F21" s="6">
        <v>8</v>
      </c>
      <c r="G21" s="7">
        <f>ROUND(E21*(1+Parametros!$B$4),6)</f>
        <v>10.4</v>
      </c>
      <c r="H21" s="7">
        <f>INT(G21/Parametros!$B$6)</f>
        <v>0</v>
      </c>
      <c r="I21" s="7">
        <f>ROUND(G21-H21*Parametros!$B$6,6)</f>
        <v>10.4</v>
      </c>
      <c r="J21" s="7">
        <f>IF(I21&gt;0,COUNTIF(Parametros!$C$15:$C$19,"&lt;"&amp;I21)+1,0)</f>
        <v>2.0</v>
      </c>
      <c r="K21" s="10">
        <f>H21*Parametros!$B$19+IF(J21&gt;0,INDEX(Parametros!$B$15:$B$19,J21),0)</f>
        <v>2.0</v>
      </c>
      <c r="L21" s="7">
        <f>ROUND(F21*(1+Parametros!$B$4),6)</f>
        <v>10.4</v>
      </c>
      <c r="M21" s="7">
        <f>INT(L21/Parametros!$B$6)</f>
        <v>0</v>
      </c>
      <c r="N21" s="7">
        <f>ROUND(L21-M21*Parametros!$B$6,6)</f>
        <v>10.4</v>
      </c>
      <c r="O21" s="7">
        <f>IF(N21&gt;0,COUNTIF(Parametros!$C$15:$C$19,"&lt;"&amp;N21)+1,0)</f>
        <v>2.0</v>
      </c>
      <c r="P21" s="10">
        <f>M21*Parametros!$B$19+IF(O21&gt;0,INDEX(Parametros!$B$15:$B$19,O21),0)</f>
        <v>2.0</v>
      </c>
      <c r="Q21" s="7">
        <f>M21+IF(O21=5,1,0)</f>
        <v>0.0</v>
      </c>
      <c r="R21" s="7">
        <f>IF(O21=4,1,0)</f>
        <v>0</v>
      </c>
      <c r="S21" s="7">
        <f>IF(O21=3,1,0)</f>
        <v>0</v>
      </c>
      <c r="T21" s="7">
        <f>IF(O21=2,1,0)</f>
        <v>1</v>
      </c>
      <c r="U21" s="7">
        <f>IF(O21=1,1,0)</f>
        <v>0</v>
      </c>
      <c r="V21" s="11" t="str">
        <f>IF(Q21*Parametros!$B$19+R21*Parametros!$B$18+S21*Parametros!$B$17+T21*Parametros!$B$16+U21*Parametros!$B$15=P21,"OK","ERROR")</f>
        <v>OK</v>
      </c>
      <c r="W21" s="7">
        <f>H21+IF(J21=5,1,0)</f>
        <v>0.0</v>
      </c>
      <c r="X21" s="7">
        <f>IF(J21=4,1,0)</f>
        <v>0</v>
      </c>
      <c r="Y21" s="7">
        <f>IF(J21=3,1,0)</f>
        <v>0</v>
      </c>
      <c r="Z21" s="7">
        <f>IF(J21=2,1,0)</f>
        <v>1</v>
      </c>
      <c r="AA21" s="7">
        <f>IF(J21=1,1,0)</f>
        <v>0</v>
      </c>
      <c r="AB21" s="11" t="str">
        <f>IF(W21*Parametros!$B$19+X21*Parametros!$B$18+Y21*Parametros!$B$17+Z21*Parametros!$B$16+AA21*Parametros!$B$15=K21,"OK","ERROR")</f>
        <v>OK</v>
      </c>
    </row>
    <row r="22" spans="1:28">
      <c r="A22" s="4" t="s">
        <v>79</v>
      </c>
      <c r="B22" s="4" t="s">
        <v>62</v>
      </c>
      <c r="C22" s="4">
        <v>2</v>
      </c>
      <c r="D22" s="4" t="s">
        <v>60</v>
      </c>
      <c r="E22" s="6">
        <v>7</v>
      </c>
      <c r="F22" s="6">
        <v>7</v>
      </c>
      <c r="G22" s="7">
        <f>ROUND(E22*(1+Parametros!$B$4),6)</f>
        <v>9.1</v>
      </c>
      <c r="H22" s="7">
        <f>INT(G22/Parametros!$B$6)</f>
        <v>0</v>
      </c>
      <c r="I22" s="7">
        <f>ROUND(G22-H22*Parametros!$B$6,6)</f>
        <v>9.1</v>
      </c>
      <c r="J22" s="7">
        <f>IF(I22&gt;0,COUNTIF(Parametros!$C$15:$C$19,"&lt;"&amp;I22)+1,0)</f>
        <v>2.0</v>
      </c>
      <c r="K22" s="10">
        <f>H22*Parametros!$B$19+IF(J22&gt;0,INDEX(Parametros!$B$15:$B$19,J22),0)</f>
        <v>2.0</v>
      </c>
      <c r="L22" s="7">
        <f>ROUND(F22*(1+Parametros!$B$4),6)</f>
        <v>9.1</v>
      </c>
      <c r="M22" s="7">
        <f>INT(L22/Parametros!$B$6)</f>
        <v>0</v>
      </c>
      <c r="N22" s="7">
        <f>ROUND(L22-M22*Parametros!$B$6,6)</f>
        <v>9.1</v>
      </c>
      <c r="O22" s="7">
        <f>IF(N22&gt;0,COUNTIF(Parametros!$C$15:$C$19,"&lt;"&amp;N22)+1,0)</f>
        <v>2.0</v>
      </c>
      <c r="P22" s="10">
        <f>M22*Parametros!$B$19+IF(O22&gt;0,INDEX(Parametros!$B$15:$B$19,O22),0)</f>
        <v>2.0</v>
      </c>
      <c r="Q22" s="7">
        <f>M22+IF(O22=5,1,0)</f>
        <v>0.0</v>
      </c>
      <c r="R22" s="7">
        <f>IF(O22=4,1,0)</f>
        <v>0</v>
      </c>
      <c r="S22" s="7">
        <f>IF(O22=3,1,0)</f>
        <v>0</v>
      </c>
      <c r="T22" s="7">
        <f>IF(O22=2,1,0)</f>
        <v>1</v>
      </c>
      <c r="U22" s="7">
        <f>IF(O22=1,1,0)</f>
        <v>0</v>
      </c>
      <c r="V22" s="11" t="str">
        <f>IF(Q22*Parametros!$B$19+R22*Parametros!$B$18+S22*Parametros!$B$17+T22*Parametros!$B$16+U22*Parametros!$B$15=P22,"OK","ERROR")</f>
        <v>OK</v>
      </c>
      <c r="W22" s="7">
        <f>H22+IF(J22=5,1,0)</f>
        <v>0.0</v>
      </c>
      <c r="X22" s="7">
        <f>IF(J22=4,1,0)</f>
        <v>0</v>
      </c>
      <c r="Y22" s="7">
        <f>IF(J22=3,1,0)</f>
        <v>0</v>
      </c>
      <c r="Z22" s="7">
        <f>IF(J22=2,1,0)</f>
        <v>1</v>
      </c>
      <c r="AA22" s="7">
        <f>IF(J22=1,1,0)</f>
        <v>0</v>
      </c>
      <c r="AB22" s="11" t="str">
        <f>IF(W22*Parametros!$B$19+X22*Parametros!$B$18+Y22*Parametros!$B$17+Z22*Parametros!$B$16+AA22*Parametros!$B$15=K22,"OK","ERROR")</f>
        <v>OK</v>
      </c>
    </row>
    <row r="23" spans="1:28">
      <c r="A23" s="4" t="s">
        <v>80</v>
      </c>
      <c r="B23" s="4" t="s">
        <v>59</v>
      </c>
      <c r="C23" s="4">
        <v>2</v>
      </c>
      <c r="D23" s="4" t="s">
        <v>60</v>
      </c>
      <c r="E23" s="6">
        <v>5</v>
      </c>
      <c r="F23" s="6">
        <v>5</v>
      </c>
      <c r="G23" s="7">
        <f>ROUND(E23*(1+Parametros!$B$4),6)</f>
        <v>6.5</v>
      </c>
      <c r="H23" s="7">
        <f>INT(G23/Parametros!$B$6)</f>
        <v>0</v>
      </c>
      <c r="I23" s="7">
        <f>ROUND(G23-H23*Parametros!$B$6,6)</f>
        <v>6.5</v>
      </c>
      <c r="J23" s="7">
        <f>IF(I23&gt;0,COUNTIF(Parametros!$C$15:$C$19,"&lt;"&amp;I23)+1,0)</f>
        <v>2.0</v>
      </c>
      <c r="K23" s="10">
        <f>H23*Parametros!$B$19+IF(J23&gt;0,INDEX(Parametros!$B$15:$B$19,J23),0)</f>
        <v>2.0</v>
      </c>
      <c r="L23" s="7">
        <f>ROUND(F23*(1+Parametros!$B$4),6)</f>
        <v>6.5</v>
      </c>
      <c r="M23" s="7">
        <f>INT(L23/Parametros!$B$6)</f>
        <v>0</v>
      </c>
      <c r="N23" s="7">
        <f>ROUND(L23-M23*Parametros!$B$6,6)</f>
        <v>6.5</v>
      </c>
      <c r="O23" s="7">
        <f>IF(N23&gt;0,COUNTIF(Parametros!$C$15:$C$19,"&lt;"&amp;N23)+1,0)</f>
        <v>2.0</v>
      </c>
      <c r="P23" s="10">
        <f>M23*Parametros!$B$19+IF(O23&gt;0,INDEX(Parametros!$B$15:$B$19,O23),0)</f>
        <v>2.0</v>
      </c>
      <c r="Q23" s="7">
        <f>M23+IF(O23=5,1,0)</f>
        <v>0.0</v>
      </c>
      <c r="R23" s="7">
        <f>IF(O23=4,1,0)</f>
        <v>0</v>
      </c>
      <c r="S23" s="7">
        <f>IF(O23=3,1,0)</f>
        <v>0</v>
      </c>
      <c r="T23" s="7">
        <f>IF(O23=2,1,0)</f>
        <v>1</v>
      </c>
      <c r="U23" s="7">
        <f>IF(O23=1,1,0)</f>
        <v>0</v>
      </c>
      <c r="V23" s="11" t="str">
        <f>IF(Q23*Parametros!$B$19+R23*Parametros!$B$18+S23*Parametros!$B$17+T23*Parametros!$B$16+U23*Parametros!$B$15=P23,"OK","ERROR")</f>
        <v>OK</v>
      </c>
      <c r="W23" s="7">
        <f>H23+IF(J23=5,1,0)</f>
        <v>0.0</v>
      </c>
      <c r="X23" s="7">
        <f>IF(J23=4,1,0)</f>
        <v>0</v>
      </c>
      <c r="Y23" s="7">
        <f>IF(J23=3,1,0)</f>
        <v>0</v>
      </c>
      <c r="Z23" s="7">
        <f>IF(J23=2,1,0)</f>
        <v>1</v>
      </c>
      <c r="AA23" s="7">
        <f>IF(J23=1,1,0)</f>
        <v>0</v>
      </c>
      <c r="AB23" s="11" t="str">
        <f>IF(W23*Parametros!$B$19+X23*Parametros!$B$18+Y23*Parametros!$B$17+Z23*Parametros!$B$16+AA23*Parametros!$B$15=K23,"OK","ERROR")</f>
        <v>OK</v>
      </c>
    </row>
    <row r="24" spans="1:28">
      <c r="A24" s="4" t="s">
        <v>81</v>
      </c>
      <c r="B24" s="4" t="s">
        <v>82</v>
      </c>
      <c r="C24" s="4">
        <v>3</v>
      </c>
      <c r="D24" s="4" t="s">
        <v>83</v>
      </c>
      <c r="E24" s="6">
        <v>15</v>
      </c>
      <c r="F24" s="6">
        <v>15</v>
      </c>
      <c r="G24" s="7">
        <f>ROUND(E24*(1+Parametros!$B$4),6)</f>
        <v>19.5</v>
      </c>
      <c r="H24" s="7">
        <f>INT(G24/Parametros!$B$6)</f>
        <v>0</v>
      </c>
      <c r="I24" s="7">
        <f>ROUND(G24-H24*Parametros!$B$6,6)</f>
        <v>19.5</v>
      </c>
      <c r="J24" s="7">
        <f>IF(I24&gt;0,COUNTIF(Parametros!$C$15:$C$19,"&lt;"&amp;I24)+1,0)</f>
        <v>4.0</v>
      </c>
      <c r="K24" s="10">
        <f>H24*Parametros!$B$19+IF(J24&gt;0,INDEX(Parametros!$B$15:$B$19,J24),0)</f>
        <v>5.0</v>
      </c>
      <c r="L24" s="7">
        <f>ROUND(F24*(1+Parametros!$B$4),6)</f>
        <v>19.5</v>
      </c>
      <c r="M24" s="7">
        <f>INT(L24/Parametros!$B$6)</f>
        <v>0</v>
      </c>
      <c r="N24" s="7">
        <f>ROUND(L24-M24*Parametros!$B$6,6)</f>
        <v>19.5</v>
      </c>
      <c r="O24" s="7">
        <f>IF(N24&gt;0,COUNTIF(Parametros!$C$15:$C$19,"&lt;"&amp;N24)+1,0)</f>
        <v>4.0</v>
      </c>
      <c r="P24" s="10">
        <f>M24*Parametros!$B$19+IF(O24&gt;0,INDEX(Parametros!$B$15:$B$19,O24),0)</f>
        <v>5.0</v>
      </c>
      <c r="Q24" s="7">
        <f>M24+IF(O24=5,1,0)</f>
        <v>0.0</v>
      </c>
      <c r="R24" s="7">
        <f>IF(O24=4,1,0)</f>
        <v>1</v>
      </c>
      <c r="S24" s="7">
        <f>IF(O24=3,1,0)</f>
        <v>0</v>
      </c>
      <c r="T24" s="7">
        <f>IF(O24=2,1,0)</f>
        <v>0</v>
      </c>
      <c r="U24" s="7">
        <f>IF(O24=1,1,0)</f>
        <v>0</v>
      </c>
      <c r="V24" s="11" t="str">
        <f>IF(Q24*Parametros!$B$19+R24*Parametros!$B$18+S24*Parametros!$B$17+T24*Parametros!$B$16+U24*Parametros!$B$15=P24,"OK","ERROR")</f>
        <v>OK</v>
      </c>
      <c r="W24" s="7">
        <f>H24+IF(J24=5,1,0)</f>
        <v>0.0</v>
      </c>
      <c r="X24" s="7">
        <f>IF(J24=4,1,0)</f>
        <v>1</v>
      </c>
      <c r="Y24" s="7">
        <f>IF(J24=3,1,0)</f>
        <v>0</v>
      </c>
      <c r="Z24" s="7">
        <f>IF(J24=2,1,0)</f>
        <v>0</v>
      </c>
      <c r="AA24" s="7">
        <f>IF(J24=1,1,0)</f>
        <v>0</v>
      </c>
      <c r="AB24" s="11" t="str">
        <f>IF(W24*Parametros!$B$19+X24*Parametros!$B$18+Y24*Parametros!$B$17+Z24*Parametros!$B$16+AA24*Parametros!$B$15=K24,"OK","ERROR")</f>
        <v>OK</v>
      </c>
    </row>
    <row r="25" spans="1:28">
      <c r="A25" s="4" t="s">
        <v>84</v>
      </c>
      <c r="B25" s="4" t="s">
        <v>85</v>
      </c>
      <c r="C25" s="4">
        <v>3</v>
      </c>
      <c r="D25" s="4" t="s">
        <v>83</v>
      </c>
      <c r="E25" s="6">
        <v>30</v>
      </c>
      <c r="F25" s="6">
        <v>30</v>
      </c>
      <c r="G25" s="7">
        <f>ROUND(E25*(1+Parametros!$B$4),6)</f>
        <v>39.0</v>
      </c>
      <c r="H25" s="7">
        <f>INT(G25/Parametros!$B$6)</f>
        <v>1</v>
      </c>
      <c r="I25" s="7">
        <f>ROUND(G25-H25*Parametros!$B$6,6)</f>
        <v>0.0</v>
      </c>
      <c r="J25" s="7">
        <f>IF(I25&gt;0,COUNTIF(Parametros!$C$15:$C$19,"&lt;"&amp;I25)+1,0)</f>
        <v>0</v>
      </c>
      <c r="K25" s="10">
        <f>H25*Parametros!$B$19+IF(J25&gt;0,INDEX(Parametros!$B$15:$B$19,J25),0)</f>
        <v>8.0</v>
      </c>
      <c r="L25" s="7">
        <f>ROUND(F25*(1+Parametros!$B$4),6)</f>
        <v>39.0</v>
      </c>
      <c r="M25" s="7">
        <f>INT(L25/Parametros!$B$6)</f>
        <v>1</v>
      </c>
      <c r="N25" s="7">
        <f>ROUND(L25-M25*Parametros!$B$6,6)</f>
        <v>0.0</v>
      </c>
      <c r="O25" s="7">
        <f>IF(N25&gt;0,COUNTIF(Parametros!$C$15:$C$19,"&lt;"&amp;N25)+1,0)</f>
        <v>0</v>
      </c>
      <c r="P25" s="10">
        <f>M25*Parametros!$B$19+IF(O25&gt;0,INDEX(Parametros!$B$15:$B$19,O25),0)</f>
        <v>8.0</v>
      </c>
      <c r="Q25" s="7">
        <f>M25+IF(O25=5,1,0)</f>
        <v>1.0</v>
      </c>
      <c r="R25" s="7">
        <f>IF(O25=4,1,0)</f>
        <v>0</v>
      </c>
      <c r="S25" s="7">
        <f>IF(O25=3,1,0)</f>
        <v>0</v>
      </c>
      <c r="T25" s="7">
        <f>IF(O25=2,1,0)</f>
        <v>0</v>
      </c>
      <c r="U25" s="7">
        <f>IF(O25=1,1,0)</f>
        <v>0</v>
      </c>
      <c r="V25" s="11" t="str">
        <f>IF(Q25*Parametros!$B$19+R25*Parametros!$B$18+S25*Parametros!$B$17+T25*Parametros!$B$16+U25*Parametros!$B$15=P25,"OK","ERROR")</f>
        <v>OK</v>
      </c>
      <c r="W25" s="7">
        <f>H25+IF(J25=5,1,0)</f>
        <v>1.0</v>
      </c>
      <c r="X25" s="7">
        <f>IF(J25=4,1,0)</f>
        <v>0</v>
      </c>
      <c r="Y25" s="7">
        <f>IF(J25=3,1,0)</f>
        <v>0</v>
      </c>
      <c r="Z25" s="7">
        <f>IF(J25=2,1,0)</f>
        <v>0</v>
      </c>
      <c r="AA25" s="7">
        <f>IF(J25=1,1,0)</f>
        <v>0</v>
      </c>
      <c r="AB25" s="11" t="str">
        <f>IF(W25*Parametros!$B$19+X25*Parametros!$B$18+Y25*Parametros!$B$17+Z25*Parametros!$B$16+AA25*Parametros!$B$15=K25,"OK","ERROR")</f>
        <v>OK</v>
      </c>
    </row>
    <row r="26" spans="1:28">
      <c r="A26" s="4" t="s">
        <v>86</v>
      </c>
      <c r="B26" s="4" t="s">
        <v>82</v>
      </c>
      <c r="C26" s="4">
        <v>3</v>
      </c>
      <c r="D26" s="4" t="s">
        <v>83</v>
      </c>
      <c r="E26" s="6">
        <v>37</v>
      </c>
      <c r="F26" s="6">
        <v>37</v>
      </c>
      <c r="G26" s="7">
        <f>ROUND(E26*(1+Parametros!$B$4),6)</f>
        <v>48.1</v>
      </c>
      <c r="H26" s="7">
        <f>INT(G26/Parametros!$B$6)</f>
        <v>1</v>
      </c>
      <c r="I26" s="7">
        <f>ROUND(G26-H26*Parametros!$B$6,6)</f>
        <v>9.1</v>
      </c>
      <c r="J26" s="7">
        <f>IF(I26&gt;0,COUNTIF(Parametros!$C$15:$C$19,"&lt;"&amp;I26)+1,0)</f>
        <v>2.0</v>
      </c>
      <c r="K26" s="10">
        <f>H26*Parametros!$B$19+IF(J26&gt;0,INDEX(Parametros!$B$15:$B$19,J26),0)</f>
        <v>10.0</v>
      </c>
      <c r="L26" s="7">
        <f>ROUND(F26*(1+Parametros!$B$4),6)</f>
        <v>48.1</v>
      </c>
      <c r="M26" s="7">
        <f>INT(L26/Parametros!$B$6)</f>
        <v>1</v>
      </c>
      <c r="N26" s="7">
        <f>ROUND(L26-M26*Parametros!$B$6,6)</f>
        <v>9.1</v>
      </c>
      <c r="O26" s="7">
        <f>IF(N26&gt;0,COUNTIF(Parametros!$C$15:$C$19,"&lt;"&amp;N26)+1,0)</f>
        <v>2.0</v>
      </c>
      <c r="P26" s="10">
        <f>M26*Parametros!$B$19+IF(O26&gt;0,INDEX(Parametros!$B$15:$B$19,O26),0)</f>
        <v>10.0</v>
      </c>
      <c r="Q26" s="7">
        <f>M26+IF(O26=5,1,0)</f>
        <v>1.0</v>
      </c>
      <c r="R26" s="7">
        <f>IF(O26=4,1,0)</f>
        <v>0</v>
      </c>
      <c r="S26" s="7">
        <f>IF(O26=3,1,0)</f>
        <v>0</v>
      </c>
      <c r="T26" s="7">
        <f>IF(O26=2,1,0)</f>
        <v>1</v>
      </c>
      <c r="U26" s="7">
        <f>IF(O26=1,1,0)</f>
        <v>0</v>
      </c>
      <c r="V26" s="11" t="str">
        <f>IF(Q26*Parametros!$B$19+R26*Parametros!$B$18+S26*Parametros!$B$17+T26*Parametros!$B$16+U26*Parametros!$B$15=P26,"OK","ERROR")</f>
        <v>OK</v>
      </c>
      <c r="W26" s="7">
        <f>H26+IF(J26=5,1,0)</f>
        <v>1.0</v>
      </c>
      <c r="X26" s="7">
        <f>IF(J26=4,1,0)</f>
        <v>0</v>
      </c>
      <c r="Y26" s="7">
        <f>IF(J26=3,1,0)</f>
        <v>0</v>
      </c>
      <c r="Z26" s="7">
        <f>IF(J26=2,1,0)</f>
        <v>1</v>
      </c>
      <c r="AA26" s="7">
        <f>IF(J26=1,1,0)</f>
        <v>0</v>
      </c>
      <c r="AB26" s="11" t="str">
        <f>IF(W26*Parametros!$B$19+X26*Parametros!$B$18+Y26*Parametros!$B$17+Z26*Parametros!$B$16+AA26*Parametros!$B$15=K26,"OK","ERROR")</f>
        <v>OK</v>
      </c>
    </row>
    <row r="27" spans="1:28">
      <c r="A27" s="4" t="s">
        <v>87</v>
      </c>
      <c r="B27" s="4" t="s">
        <v>88</v>
      </c>
      <c r="C27" s="4">
        <v>2</v>
      </c>
      <c r="D27" s="4" t="s">
        <v>83</v>
      </c>
      <c r="E27" s="6">
        <v>12</v>
      </c>
      <c r="F27" s="6">
        <v>12</v>
      </c>
      <c r="G27" s="7">
        <f>ROUND(E27*(1+Parametros!$B$4),6)</f>
        <v>15.6</v>
      </c>
      <c r="H27" s="7">
        <f>INT(G27/Parametros!$B$6)</f>
        <v>0</v>
      </c>
      <c r="I27" s="7">
        <f>ROUND(G27-H27*Parametros!$B$6,6)</f>
        <v>15.6</v>
      </c>
      <c r="J27" s="7">
        <f>IF(I27&gt;0,COUNTIF(Parametros!$C$15:$C$19,"&lt;"&amp;I27)+1,0)</f>
        <v>3.0</v>
      </c>
      <c r="K27" s="10">
        <f>H27*Parametros!$B$19+IF(J27&gt;0,INDEX(Parametros!$B$15:$B$19,J27),0)</f>
        <v>3.0</v>
      </c>
      <c r="L27" s="7">
        <f>ROUND(F27*(1+Parametros!$B$4),6)</f>
        <v>15.6</v>
      </c>
      <c r="M27" s="7">
        <f>INT(L27/Parametros!$B$6)</f>
        <v>0</v>
      </c>
      <c r="N27" s="7">
        <f>ROUND(L27-M27*Parametros!$B$6,6)</f>
        <v>15.6</v>
      </c>
      <c r="O27" s="7">
        <f>IF(N27&gt;0,COUNTIF(Parametros!$C$15:$C$19,"&lt;"&amp;N27)+1,0)</f>
        <v>3.0</v>
      </c>
      <c r="P27" s="10">
        <f>M27*Parametros!$B$19+IF(O27&gt;0,INDEX(Parametros!$B$15:$B$19,O27),0)</f>
        <v>3.0</v>
      </c>
      <c r="Q27" s="7">
        <f>M27+IF(O27=5,1,0)</f>
        <v>0.0</v>
      </c>
      <c r="R27" s="7">
        <f>IF(O27=4,1,0)</f>
        <v>0</v>
      </c>
      <c r="S27" s="7">
        <f>IF(O27=3,1,0)</f>
        <v>1</v>
      </c>
      <c r="T27" s="7">
        <f>IF(O27=2,1,0)</f>
        <v>0</v>
      </c>
      <c r="U27" s="7">
        <f>IF(O27=1,1,0)</f>
        <v>0</v>
      </c>
      <c r="V27" s="11" t="str">
        <f>IF(Q27*Parametros!$B$19+R27*Parametros!$B$18+S27*Parametros!$B$17+T27*Parametros!$B$16+U27*Parametros!$B$15=P27,"OK","ERROR")</f>
        <v>OK</v>
      </c>
      <c r="W27" s="7">
        <f>H27+IF(J27=5,1,0)</f>
        <v>0.0</v>
      </c>
      <c r="X27" s="7">
        <f>IF(J27=4,1,0)</f>
        <v>0</v>
      </c>
      <c r="Y27" s="7">
        <f>IF(J27=3,1,0)</f>
        <v>1</v>
      </c>
      <c r="Z27" s="7">
        <f>IF(J27=2,1,0)</f>
        <v>0</v>
      </c>
      <c r="AA27" s="7">
        <f>IF(J27=1,1,0)</f>
        <v>0</v>
      </c>
      <c r="AB27" s="11" t="str">
        <f>IF(W27*Parametros!$B$19+X27*Parametros!$B$18+Y27*Parametros!$B$17+Z27*Parametros!$B$16+AA27*Parametros!$B$15=K27,"OK","ERROR")</f>
        <v>OK</v>
      </c>
    </row>
    <row r="28" spans="1:28">
      <c r="A28" s="4" t="s">
        <v>89</v>
      </c>
      <c r="B28" s="4" t="s">
        <v>85</v>
      </c>
      <c r="C28" s="4">
        <v>2</v>
      </c>
      <c r="D28" s="4" t="s">
        <v>83</v>
      </c>
      <c r="E28" s="6">
        <v>12</v>
      </c>
      <c r="F28" s="6">
        <v>12</v>
      </c>
      <c r="G28" s="7">
        <f>ROUND(E28*(1+Parametros!$B$4),6)</f>
        <v>15.6</v>
      </c>
      <c r="H28" s="7">
        <f>INT(G28/Parametros!$B$6)</f>
        <v>0</v>
      </c>
      <c r="I28" s="7">
        <f>ROUND(G28-H28*Parametros!$B$6,6)</f>
        <v>15.6</v>
      </c>
      <c r="J28" s="7">
        <f>IF(I28&gt;0,COUNTIF(Parametros!$C$15:$C$19,"&lt;"&amp;I28)+1,0)</f>
        <v>3.0</v>
      </c>
      <c r="K28" s="10">
        <f>H28*Parametros!$B$19+IF(J28&gt;0,INDEX(Parametros!$B$15:$B$19,J28),0)</f>
        <v>3.0</v>
      </c>
      <c r="L28" s="7">
        <f>ROUND(F28*(1+Parametros!$B$4),6)</f>
        <v>15.6</v>
      </c>
      <c r="M28" s="7">
        <f>INT(L28/Parametros!$B$6)</f>
        <v>0</v>
      </c>
      <c r="N28" s="7">
        <f>ROUND(L28-M28*Parametros!$B$6,6)</f>
        <v>15.6</v>
      </c>
      <c r="O28" s="7">
        <f>IF(N28&gt;0,COUNTIF(Parametros!$C$15:$C$19,"&lt;"&amp;N28)+1,0)</f>
        <v>3.0</v>
      </c>
      <c r="P28" s="10">
        <f>M28*Parametros!$B$19+IF(O28&gt;0,INDEX(Parametros!$B$15:$B$19,O28),0)</f>
        <v>3.0</v>
      </c>
      <c r="Q28" s="7">
        <f>M28+IF(O28=5,1,0)</f>
        <v>0.0</v>
      </c>
      <c r="R28" s="7">
        <f>IF(O28=4,1,0)</f>
        <v>0</v>
      </c>
      <c r="S28" s="7">
        <f>IF(O28=3,1,0)</f>
        <v>1</v>
      </c>
      <c r="T28" s="7">
        <f>IF(O28=2,1,0)</f>
        <v>0</v>
      </c>
      <c r="U28" s="7">
        <f>IF(O28=1,1,0)</f>
        <v>0</v>
      </c>
      <c r="V28" s="11" t="str">
        <f>IF(Q28*Parametros!$B$19+R28*Parametros!$B$18+S28*Parametros!$B$17+T28*Parametros!$B$16+U28*Parametros!$B$15=P28,"OK","ERROR")</f>
        <v>OK</v>
      </c>
      <c r="W28" s="7">
        <f>H28+IF(J28=5,1,0)</f>
        <v>0.0</v>
      </c>
      <c r="X28" s="7">
        <f>IF(J28=4,1,0)</f>
        <v>0</v>
      </c>
      <c r="Y28" s="7">
        <f>IF(J28=3,1,0)</f>
        <v>1</v>
      </c>
      <c r="Z28" s="7">
        <f>IF(J28=2,1,0)</f>
        <v>0</v>
      </c>
      <c r="AA28" s="7">
        <f>IF(J28=1,1,0)</f>
        <v>0</v>
      </c>
      <c r="AB28" s="11" t="str">
        <f>IF(W28*Parametros!$B$19+X28*Parametros!$B$18+Y28*Parametros!$B$17+Z28*Parametros!$B$16+AA28*Parametros!$B$15=K28,"OK","ERROR")</f>
        <v>OK</v>
      </c>
    </row>
    <row r="29" spans="1:28">
      <c r="A29" s="4" t="s">
        <v>90</v>
      </c>
      <c r="B29" s="4" t="s">
        <v>91</v>
      </c>
      <c r="C29" s="4">
        <v>2</v>
      </c>
      <c r="D29" s="4" t="s">
        <v>83</v>
      </c>
      <c r="E29" s="6">
        <v>8</v>
      </c>
      <c r="F29" s="6">
        <v>8</v>
      </c>
      <c r="G29" s="7">
        <f>ROUND(E29*(1+Parametros!$B$4),6)</f>
        <v>10.4</v>
      </c>
      <c r="H29" s="7">
        <f>INT(G29/Parametros!$B$6)</f>
        <v>0</v>
      </c>
      <c r="I29" s="7">
        <f>ROUND(G29-H29*Parametros!$B$6,6)</f>
        <v>10.4</v>
      </c>
      <c r="J29" s="7">
        <f>IF(I29&gt;0,COUNTIF(Parametros!$C$15:$C$19,"&lt;"&amp;I29)+1,0)</f>
        <v>2.0</v>
      </c>
      <c r="K29" s="10">
        <f>H29*Parametros!$B$19+IF(J29&gt;0,INDEX(Parametros!$B$15:$B$19,J29),0)</f>
        <v>2.0</v>
      </c>
      <c r="L29" s="7">
        <f>ROUND(F29*(1+Parametros!$B$4),6)</f>
        <v>10.4</v>
      </c>
      <c r="M29" s="7">
        <f>INT(L29/Parametros!$B$6)</f>
        <v>0</v>
      </c>
      <c r="N29" s="7">
        <f>ROUND(L29-M29*Parametros!$B$6,6)</f>
        <v>10.4</v>
      </c>
      <c r="O29" s="7">
        <f>IF(N29&gt;0,COUNTIF(Parametros!$C$15:$C$19,"&lt;"&amp;N29)+1,0)</f>
        <v>2.0</v>
      </c>
      <c r="P29" s="10">
        <f>M29*Parametros!$B$19+IF(O29&gt;0,INDEX(Parametros!$B$15:$B$19,O29),0)</f>
        <v>2.0</v>
      </c>
      <c r="Q29" s="7">
        <f>M29+IF(O29=5,1,0)</f>
        <v>0.0</v>
      </c>
      <c r="R29" s="7">
        <f>IF(O29=4,1,0)</f>
        <v>0</v>
      </c>
      <c r="S29" s="7">
        <f>IF(O29=3,1,0)</f>
        <v>0</v>
      </c>
      <c r="T29" s="7">
        <f>IF(O29=2,1,0)</f>
        <v>1</v>
      </c>
      <c r="U29" s="7">
        <f>IF(O29=1,1,0)</f>
        <v>0</v>
      </c>
      <c r="V29" s="11" t="str">
        <f>IF(Q29*Parametros!$B$19+R29*Parametros!$B$18+S29*Parametros!$B$17+T29*Parametros!$B$16+U29*Parametros!$B$15=P29,"OK","ERROR")</f>
        <v>OK</v>
      </c>
      <c r="W29" s="7">
        <f>H29+IF(J29=5,1,0)</f>
        <v>0.0</v>
      </c>
      <c r="X29" s="7">
        <f>IF(J29=4,1,0)</f>
        <v>0</v>
      </c>
      <c r="Y29" s="7">
        <f>IF(J29=3,1,0)</f>
        <v>0</v>
      </c>
      <c r="Z29" s="7">
        <f>IF(J29=2,1,0)</f>
        <v>1</v>
      </c>
      <c r="AA29" s="7">
        <f>IF(J29=1,1,0)</f>
        <v>0</v>
      </c>
      <c r="AB29" s="11" t="str">
        <f>IF(W29*Parametros!$B$19+X29*Parametros!$B$18+Y29*Parametros!$B$17+Z29*Parametros!$B$16+AA29*Parametros!$B$15=K29,"OK","ERROR")</f>
        <v>OK</v>
      </c>
    </row>
    <row r="30" spans="1:28">
      <c r="A30" s="4" t="s">
        <v>92</v>
      </c>
      <c r="B30" s="4" t="s">
        <v>85</v>
      </c>
      <c r="C30" s="4">
        <v>1</v>
      </c>
      <c r="D30" s="4" t="s">
        <v>83</v>
      </c>
      <c r="E30" s="6">
        <v>16</v>
      </c>
      <c r="F30" s="6">
        <v>16</v>
      </c>
      <c r="G30" s="7">
        <f>ROUND(E30*(1+Parametros!$B$4),6)</f>
        <v>20.8</v>
      </c>
      <c r="H30" s="7">
        <f>INT(G30/Parametros!$B$6)</f>
        <v>0</v>
      </c>
      <c r="I30" s="7">
        <f>ROUND(G30-H30*Parametros!$B$6,6)</f>
        <v>20.8</v>
      </c>
      <c r="J30" s="7">
        <f>IF(I30&gt;0,COUNTIF(Parametros!$C$15:$C$19,"&lt;"&amp;I30)+1,0)</f>
        <v>4.0</v>
      </c>
      <c r="K30" s="10">
        <f>H30*Parametros!$B$19+IF(J30&gt;0,INDEX(Parametros!$B$15:$B$19,J30),0)</f>
        <v>5.0</v>
      </c>
      <c r="L30" s="7">
        <f>ROUND(F30*(1+Parametros!$B$4),6)</f>
        <v>20.8</v>
      </c>
      <c r="M30" s="7">
        <f>INT(L30/Parametros!$B$6)</f>
        <v>0</v>
      </c>
      <c r="N30" s="7">
        <f>ROUND(L30-M30*Parametros!$B$6,6)</f>
        <v>20.8</v>
      </c>
      <c r="O30" s="7">
        <f>IF(N30&gt;0,COUNTIF(Parametros!$C$15:$C$19,"&lt;"&amp;N30)+1,0)</f>
        <v>4.0</v>
      </c>
      <c r="P30" s="10">
        <f>M30*Parametros!$B$19+IF(O30&gt;0,INDEX(Parametros!$B$15:$B$19,O30),0)</f>
        <v>5.0</v>
      </c>
      <c r="Q30" s="7">
        <f>M30+IF(O30=5,1,0)</f>
        <v>0.0</v>
      </c>
      <c r="R30" s="7">
        <f>IF(O30=4,1,0)</f>
        <v>1</v>
      </c>
      <c r="S30" s="7">
        <f>IF(O30=3,1,0)</f>
        <v>0</v>
      </c>
      <c r="T30" s="7">
        <f>IF(O30=2,1,0)</f>
        <v>0</v>
      </c>
      <c r="U30" s="7">
        <f>IF(O30=1,1,0)</f>
        <v>0</v>
      </c>
      <c r="V30" s="11" t="str">
        <f>IF(Q30*Parametros!$B$19+R30*Parametros!$B$18+S30*Parametros!$B$17+T30*Parametros!$B$16+U30*Parametros!$B$15=P30,"OK","ERROR")</f>
        <v>OK</v>
      </c>
      <c r="W30" s="7">
        <f>H30+IF(J30=5,1,0)</f>
        <v>0.0</v>
      </c>
      <c r="X30" s="7">
        <f>IF(J30=4,1,0)</f>
        <v>1</v>
      </c>
      <c r="Y30" s="7">
        <f>IF(J30=3,1,0)</f>
        <v>0</v>
      </c>
      <c r="Z30" s="7">
        <f>IF(J30=2,1,0)</f>
        <v>0</v>
      </c>
      <c r="AA30" s="7">
        <f>IF(J30=1,1,0)</f>
        <v>0</v>
      </c>
      <c r="AB30" s="11" t="str">
        <f>IF(W30*Parametros!$B$19+X30*Parametros!$B$18+Y30*Parametros!$B$17+Z30*Parametros!$B$16+AA30*Parametros!$B$15=K30,"OK","ERROR")</f>
        <v>OK</v>
      </c>
    </row>
  </sheetData>
  <conditionalFormatting sqref="V5">
    <cfRule type="cellIs" dxfId="0" priority="1" operator="equal">
      <formula>"ERROR"</formula>
    </cfRule>
  </conditionalFormatting>
  <conditionalFormatting sqref="AB5">
    <cfRule type="cellIs" dxfId="0" priority="2" operator="equal">
      <formula>"ERROR"</formula>
    </cfRule>
  </conditionalFormatting>
  <conditionalFormatting sqref="V6">
    <cfRule type="cellIs" dxfId="0" priority="3" operator="equal">
      <formula>"ERROR"</formula>
    </cfRule>
  </conditionalFormatting>
  <conditionalFormatting sqref="AB6">
    <cfRule type="cellIs" dxfId="0" priority="4" operator="equal">
      <formula>"ERROR"</formula>
    </cfRule>
  </conditionalFormatting>
  <conditionalFormatting sqref="V7">
    <cfRule type="cellIs" dxfId="0" priority="5" operator="equal">
      <formula>"ERROR"</formula>
    </cfRule>
  </conditionalFormatting>
  <conditionalFormatting sqref="AB7">
    <cfRule type="cellIs" dxfId="0" priority="6" operator="equal">
      <formula>"ERROR"</formula>
    </cfRule>
  </conditionalFormatting>
  <conditionalFormatting sqref="V8">
    <cfRule type="cellIs" dxfId="0" priority="7" operator="equal">
      <formula>"ERROR"</formula>
    </cfRule>
  </conditionalFormatting>
  <conditionalFormatting sqref="AB8">
    <cfRule type="cellIs" dxfId="0" priority="8" operator="equal">
      <formula>"ERROR"</formula>
    </cfRule>
  </conditionalFormatting>
  <conditionalFormatting sqref="V9">
    <cfRule type="cellIs" dxfId="0" priority="9" operator="equal">
      <formula>"ERROR"</formula>
    </cfRule>
  </conditionalFormatting>
  <conditionalFormatting sqref="AB9">
    <cfRule type="cellIs" dxfId="0" priority="10" operator="equal">
      <formula>"ERROR"</formula>
    </cfRule>
  </conditionalFormatting>
  <conditionalFormatting sqref="V10">
    <cfRule type="cellIs" dxfId="0" priority="11" operator="equal">
      <formula>"ERROR"</formula>
    </cfRule>
  </conditionalFormatting>
  <conditionalFormatting sqref="AB10">
    <cfRule type="cellIs" dxfId="0" priority="12" operator="equal">
      <formula>"ERROR"</formula>
    </cfRule>
  </conditionalFormatting>
  <conditionalFormatting sqref="V11">
    <cfRule type="cellIs" dxfId="0" priority="13" operator="equal">
      <formula>"ERROR"</formula>
    </cfRule>
  </conditionalFormatting>
  <conditionalFormatting sqref="AB11">
    <cfRule type="cellIs" dxfId="0" priority="14" operator="equal">
      <formula>"ERROR"</formula>
    </cfRule>
  </conditionalFormatting>
  <conditionalFormatting sqref="V12">
    <cfRule type="cellIs" dxfId="0" priority="15" operator="equal">
      <formula>"ERROR"</formula>
    </cfRule>
  </conditionalFormatting>
  <conditionalFormatting sqref="AB12">
    <cfRule type="cellIs" dxfId="0" priority="16" operator="equal">
      <formula>"ERROR"</formula>
    </cfRule>
  </conditionalFormatting>
  <conditionalFormatting sqref="V13">
    <cfRule type="cellIs" dxfId="0" priority="17" operator="equal">
      <formula>"ERROR"</formula>
    </cfRule>
  </conditionalFormatting>
  <conditionalFormatting sqref="AB13">
    <cfRule type="cellIs" dxfId="0" priority="18" operator="equal">
      <formula>"ERROR"</formula>
    </cfRule>
  </conditionalFormatting>
  <conditionalFormatting sqref="V14">
    <cfRule type="cellIs" dxfId="0" priority="19" operator="equal">
      <formula>"ERROR"</formula>
    </cfRule>
  </conditionalFormatting>
  <conditionalFormatting sqref="AB14">
    <cfRule type="cellIs" dxfId="0" priority="20" operator="equal">
      <formula>"ERROR"</formula>
    </cfRule>
  </conditionalFormatting>
  <conditionalFormatting sqref="V15">
    <cfRule type="cellIs" dxfId="0" priority="21" operator="equal">
      <formula>"ERROR"</formula>
    </cfRule>
  </conditionalFormatting>
  <conditionalFormatting sqref="AB15">
    <cfRule type="cellIs" dxfId="0" priority="22" operator="equal">
      <formula>"ERROR"</formula>
    </cfRule>
  </conditionalFormatting>
  <conditionalFormatting sqref="V16">
    <cfRule type="cellIs" dxfId="0" priority="23" operator="equal">
      <formula>"ERROR"</formula>
    </cfRule>
  </conditionalFormatting>
  <conditionalFormatting sqref="AB16">
    <cfRule type="cellIs" dxfId="0" priority="24" operator="equal">
      <formula>"ERROR"</formula>
    </cfRule>
  </conditionalFormatting>
  <conditionalFormatting sqref="V17">
    <cfRule type="cellIs" dxfId="0" priority="25" operator="equal">
      <formula>"ERROR"</formula>
    </cfRule>
  </conditionalFormatting>
  <conditionalFormatting sqref="AB17">
    <cfRule type="cellIs" dxfId="0" priority="26" operator="equal">
      <formula>"ERROR"</formula>
    </cfRule>
  </conditionalFormatting>
  <conditionalFormatting sqref="V18">
    <cfRule type="cellIs" dxfId="0" priority="27" operator="equal">
      <formula>"ERROR"</formula>
    </cfRule>
  </conditionalFormatting>
  <conditionalFormatting sqref="AB18">
    <cfRule type="cellIs" dxfId="0" priority="28" operator="equal">
      <formula>"ERROR"</formula>
    </cfRule>
  </conditionalFormatting>
  <conditionalFormatting sqref="V19">
    <cfRule type="cellIs" dxfId="0" priority="29" operator="equal">
      <formula>"ERROR"</formula>
    </cfRule>
  </conditionalFormatting>
  <conditionalFormatting sqref="AB19">
    <cfRule type="cellIs" dxfId="0" priority="30" operator="equal">
      <formula>"ERROR"</formula>
    </cfRule>
  </conditionalFormatting>
  <conditionalFormatting sqref="V20">
    <cfRule type="cellIs" dxfId="0" priority="31" operator="equal">
      <formula>"ERROR"</formula>
    </cfRule>
  </conditionalFormatting>
  <conditionalFormatting sqref="AB20">
    <cfRule type="cellIs" dxfId="0" priority="32" operator="equal">
      <formula>"ERROR"</formula>
    </cfRule>
  </conditionalFormatting>
  <conditionalFormatting sqref="V21">
    <cfRule type="cellIs" dxfId="0" priority="33" operator="equal">
      <formula>"ERROR"</formula>
    </cfRule>
  </conditionalFormatting>
  <conditionalFormatting sqref="AB21">
    <cfRule type="cellIs" dxfId="0" priority="34" operator="equal">
      <formula>"ERROR"</formula>
    </cfRule>
  </conditionalFormatting>
  <conditionalFormatting sqref="V22">
    <cfRule type="cellIs" dxfId="0" priority="35" operator="equal">
      <formula>"ERROR"</formula>
    </cfRule>
  </conditionalFormatting>
  <conditionalFormatting sqref="AB22">
    <cfRule type="cellIs" dxfId="0" priority="36" operator="equal">
      <formula>"ERROR"</formula>
    </cfRule>
  </conditionalFormatting>
  <conditionalFormatting sqref="V23">
    <cfRule type="cellIs" dxfId="0" priority="37" operator="equal">
      <formula>"ERROR"</formula>
    </cfRule>
  </conditionalFormatting>
  <conditionalFormatting sqref="AB23">
    <cfRule type="cellIs" dxfId="0" priority="38" operator="equal">
      <formula>"ERROR"</formula>
    </cfRule>
  </conditionalFormatting>
  <conditionalFormatting sqref="V24">
    <cfRule type="cellIs" dxfId="0" priority="39" operator="equal">
      <formula>"ERROR"</formula>
    </cfRule>
  </conditionalFormatting>
  <conditionalFormatting sqref="AB24">
    <cfRule type="cellIs" dxfId="0" priority="40" operator="equal">
      <formula>"ERROR"</formula>
    </cfRule>
  </conditionalFormatting>
  <conditionalFormatting sqref="V25">
    <cfRule type="cellIs" dxfId="0" priority="41" operator="equal">
      <formula>"ERROR"</formula>
    </cfRule>
  </conditionalFormatting>
  <conditionalFormatting sqref="AB25">
    <cfRule type="cellIs" dxfId="0" priority="42" operator="equal">
      <formula>"ERROR"</formula>
    </cfRule>
  </conditionalFormatting>
  <conditionalFormatting sqref="V26">
    <cfRule type="cellIs" dxfId="0" priority="43" operator="equal">
      <formula>"ERROR"</formula>
    </cfRule>
  </conditionalFormatting>
  <conditionalFormatting sqref="AB26">
    <cfRule type="cellIs" dxfId="0" priority="44" operator="equal">
      <formula>"ERROR"</formula>
    </cfRule>
  </conditionalFormatting>
  <conditionalFormatting sqref="V27">
    <cfRule type="cellIs" dxfId="0" priority="45" operator="equal">
      <formula>"ERROR"</formula>
    </cfRule>
  </conditionalFormatting>
  <conditionalFormatting sqref="AB27">
    <cfRule type="cellIs" dxfId="0" priority="46" operator="equal">
      <formula>"ERROR"</formula>
    </cfRule>
  </conditionalFormatting>
  <conditionalFormatting sqref="V28">
    <cfRule type="cellIs" dxfId="0" priority="47" operator="equal">
      <formula>"ERROR"</formula>
    </cfRule>
  </conditionalFormatting>
  <conditionalFormatting sqref="AB28">
    <cfRule type="cellIs" dxfId="0" priority="48" operator="equal">
      <formula>"ERROR"</formula>
    </cfRule>
  </conditionalFormatting>
  <conditionalFormatting sqref="V29">
    <cfRule type="cellIs" dxfId="0" priority="49" operator="equal">
      <formula>"ERROR"</formula>
    </cfRule>
  </conditionalFormatting>
  <conditionalFormatting sqref="AB29">
    <cfRule type="cellIs" dxfId="0" priority="50" operator="equal">
      <formula>"ERROR"</formula>
    </cfRule>
  </conditionalFormatting>
  <conditionalFormatting sqref="V30">
    <cfRule type="cellIs" dxfId="0" priority="51" operator="equal">
      <formula>"ERROR"</formula>
    </cfRule>
  </conditionalFormatting>
  <conditionalFormatting sqref="AB30">
    <cfRule type="cellIs" dxfId="0" priority="52" operator="equal">
      <formula>"ERROR"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showGridLines="0" workbookViewId="0"/>
  </sheetViews>
  <sheetFormatPr defaultRowHeight="15"/>
  <cols>
    <col min="1" max="1" width="58.7109375" customWidth="1"/>
    <col min="2" max="6" width="16.7109375" customWidth="1"/>
  </cols>
  <sheetData>
    <row r="1" spans="1:2">
      <c r="A1" s="1" t="s">
        <v>93</v>
      </c>
    </row>
    <row r="2" spans="1:2">
      <c r="A2" s="2" t="s">
        <v>94</v>
      </c>
    </row>
    <row r="3" spans="1:2">
      <c r="A3" s="3" t="s">
        <v>95</v>
      </c>
      <c r="B3" s="3" t="s">
        <v>3</v>
      </c>
    </row>
    <row r="4" spans="1:2">
      <c r="A4" s="4" t="s">
        <v>96</v>
      </c>
      <c r="B4" s="7">
        <f>COUNTIF(Tareas!$D$5:$D$30,"Terminada")</f>
        <v>19</v>
      </c>
    </row>
    <row r="5" spans="1:2">
      <c r="A5" s="4" t="s">
        <v>97</v>
      </c>
      <c r="B5" s="7">
        <f>SUMIFS(Tareas!$E$5:$E$30,Tareas!$D$5:$D$30,"Terminada")</f>
        <v>564.0</v>
      </c>
    </row>
    <row r="6" spans="1:2">
      <c r="A6" s="4" t="s">
        <v>98</v>
      </c>
      <c r="B6" s="7">
        <f>SUMIFS(Tareas!$F$5:$F$30,Tareas!$D$5:$D$30,"Terminada")</f>
        <v>394.0</v>
      </c>
    </row>
    <row r="7" spans="1:2">
      <c r="A7" s="4" t="s">
        <v>99</v>
      </c>
      <c r="B7" s="7">
        <f>SUMIFS(Tareas!$F$5:$F$30,Tareas!$D$5:$D$30,"Otra")</f>
        <v>130.0</v>
      </c>
    </row>
    <row r="8" spans="1:2">
      <c r="A8" s="4" t="s">
        <v>100</v>
      </c>
      <c r="B8" s="7">
        <f>B6+B7</f>
        <v>524.0</v>
      </c>
    </row>
    <row r="9" spans="1:2">
      <c r="A9" s="4" t="s">
        <v>101</v>
      </c>
      <c r="B9" s="7">
        <f>SUMIFS(Tareas!$K$5:$K$30,Tareas!$D$5:$D$30,"Terminada")</f>
        <v>164.0</v>
      </c>
    </row>
    <row r="10" spans="1:2">
      <c r="A10" s="4" t="s">
        <v>102</v>
      </c>
      <c r="B10" s="7">
        <f>SUMIFS(Tareas!$P$5:$P$30,Tareas!$D$5:$D$30,"Terminada")</f>
        <v>117.0</v>
      </c>
    </row>
    <row r="11" spans="1:2">
      <c r="A11" s="4" t="s">
        <v>103</v>
      </c>
      <c r="B11" s="7">
        <f>SUMIFS(Tareas!$P$5:$P$30,Tareas!$D$5:$D$30,"Otra")</f>
        <v>36.0</v>
      </c>
    </row>
    <row r="12" spans="1:2">
      <c r="A12" s="4" t="s">
        <v>104</v>
      </c>
      <c r="B12" s="7">
        <f>B10+B11</f>
        <v>153.0</v>
      </c>
    </row>
    <row r="13" spans="1:2">
      <c r="A13" s="4" t="s">
        <v>105</v>
      </c>
      <c r="B13" s="8">
        <f>B6/B10</f>
        <v>3.3675213675213675</v>
      </c>
    </row>
    <row r="14" spans="1:2">
      <c r="A14" s="4" t="s">
        <v>106</v>
      </c>
      <c r="B14" s="8">
        <f>B12*3/4</f>
        <v>114.75</v>
      </c>
    </row>
    <row r="15" spans="1:2">
      <c r="A15" s="4" t="s">
        <v>107</v>
      </c>
      <c r="B15" s="8">
        <f>B10-B14</f>
        <v>2.25</v>
      </c>
    </row>
    <row r="18" spans="1:5">
      <c r="A18" s="3" t="s">
        <v>20</v>
      </c>
      <c r="B18" s="3" t="s">
        <v>21</v>
      </c>
      <c r="C18" s="3" t="s">
        <v>108</v>
      </c>
      <c r="D18" s="3" t="s">
        <v>21</v>
      </c>
      <c r="E18" s="3" t="s">
        <v>109</v>
      </c>
    </row>
    <row r="19" spans="1:5">
      <c r="A19" s="4" t="s">
        <v>35</v>
      </c>
      <c r="B19" s="7">
        <f>Parametros!$B$19</f>
        <v>8</v>
      </c>
      <c r="C19" s="7">
        <f>SUMIFS(Tareas!$Q$5:$Q$30,Tareas!$D$5:$D$30,"Terminada")</f>
        <v>10.0</v>
      </c>
      <c r="D19" s="7">
        <f>B19*C19</f>
        <v>80.0</v>
      </c>
      <c r="E19" s="12">
        <f>D19/$D$24</f>
        <v>0.6837606837606838</v>
      </c>
    </row>
    <row r="20" spans="1:5">
      <c r="A20" s="4" t="s">
        <v>33</v>
      </c>
      <c r="B20" s="7">
        <f>Parametros!$B$18</f>
        <v>5</v>
      </c>
      <c r="C20" s="7">
        <f>SUMIFS(Tareas!$R$5:$R$30,Tareas!$D$5:$D$30,"Terminada")</f>
        <v>4.0</v>
      </c>
      <c r="D20" s="7">
        <f>B20*C20</f>
        <v>20.0</v>
      </c>
      <c r="E20" s="12">
        <f>D20/$D$24</f>
        <v>0.17094017094017094</v>
      </c>
    </row>
    <row r="21" spans="1:5">
      <c r="A21" s="4" t="s">
        <v>31</v>
      </c>
      <c r="B21" s="7">
        <f>Parametros!$B$17</f>
        <v>3</v>
      </c>
      <c r="C21" s="7">
        <f>SUMIFS(Tareas!$S$5:$S$30,Tareas!$D$5:$D$30,"Terminada")</f>
        <v>1.0</v>
      </c>
      <c r="D21" s="7">
        <f>B21*C21</f>
        <v>3.0</v>
      </c>
      <c r="E21" s="12">
        <f>D21/$D$24</f>
        <v>0.02564102564102564</v>
      </c>
    </row>
    <row r="22" spans="1:5">
      <c r="A22" s="4" t="s">
        <v>29</v>
      </c>
      <c r="B22" s="7">
        <f>Parametros!$B$16</f>
        <v>2</v>
      </c>
      <c r="C22" s="7">
        <f>SUMIFS(Tareas!$T$5:$T$30,Tareas!$D$5:$D$30,"Terminada")</f>
        <v>5.0</v>
      </c>
      <c r="D22" s="7">
        <f>B22*C22</f>
        <v>10.0</v>
      </c>
      <c r="E22" s="12">
        <f>D22/$D$24</f>
        <v>0.08547008547008547</v>
      </c>
    </row>
    <row r="23" spans="1:5">
      <c r="A23" s="4" t="s">
        <v>27</v>
      </c>
      <c r="B23" s="7">
        <f>Parametros!$B$15</f>
        <v>1</v>
      </c>
      <c r="C23" s="7">
        <f>SUMIFS(Tareas!$U$5:$U$30,Tareas!$D$5:$D$30,"Terminada")</f>
        <v>4.0</v>
      </c>
      <c r="D23" s="7">
        <f>B23*C23</f>
        <v>4.0</v>
      </c>
      <c r="E23" s="12">
        <f>D23/$D$24</f>
        <v>0.03418803418803419</v>
      </c>
    </row>
    <row r="24" spans="1:5">
      <c r="A24" s="9" t="s">
        <v>110</v>
      </c>
      <c r="C24" s="10">
        <f>SUM(C19:C23)</f>
        <v>24.0</v>
      </c>
      <c r="D24" s="10">
        <f>SUM(D19:D23)</f>
        <v>117.0</v>
      </c>
      <c r="E24" s="12">
        <f>SUM(E19:E23)</f>
        <v>1.0000000000000002</v>
      </c>
    </row>
    <row r="25" spans="1:5">
      <c r="A25" s="4" t="s">
        <v>111</v>
      </c>
      <c r="B25" s="11" t="str">
        <f>IF(D24=B10,"OK","ERROR")</f>
        <v>OK</v>
      </c>
    </row>
    <row r="28" spans="1:5">
      <c r="A28" s="3" t="s">
        <v>112</v>
      </c>
      <c r="B28" s="3" t="s">
        <v>113</v>
      </c>
      <c r="C28" s="3" t="s">
        <v>114</v>
      </c>
      <c r="D28" s="3" t="s">
        <v>115</v>
      </c>
      <c r="E28" s="3" t="s">
        <v>116</v>
      </c>
    </row>
    <row r="29" spans="1:5">
      <c r="A29" s="4" t="s">
        <v>117</v>
      </c>
      <c r="B29" s="7">
        <f>SUMIFS(Tareas!$P$5:$P$30,Tareas!$C$5:$C$30,1,Tareas!$D$5:$D$30,"Terminada")</f>
        <v>46.0</v>
      </c>
      <c r="C29" s="7">
        <f>SUMIFS(Tareas!$P$5:$P$30,Tareas!$C$5:$C$30,1,Tareas!$D$5:$D$30,"Otra")</f>
        <v>5.0</v>
      </c>
      <c r="D29" s="10">
        <f>B29+C29</f>
        <v>51.0</v>
      </c>
      <c r="E29" s="7">
        <f>SUMIFS(Tareas!$F$5:$F$30,Tareas!$C$5:$C$30,1)</f>
        <v>176.0</v>
      </c>
    </row>
    <row r="30" spans="1:5">
      <c r="A30" s="4" t="s">
        <v>118</v>
      </c>
      <c r="B30" s="7">
        <f>SUMIFS(Tareas!$P$5:$P$30,Tareas!$C$5:$C$30,2,Tareas!$D$5:$D$30,"Terminada")</f>
        <v>44.0</v>
      </c>
      <c r="C30" s="7">
        <f>SUMIFS(Tareas!$P$5:$P$30,Tareas!$C$5:$C$30,2,Tareas!$D$5:$D$30,"Otra")</f>
        <v>8.0</v>
      </c>
      <c r="D30" s="10">
        <f>B30+C30</f>
        <v>52.0</v>
      </c>
      <c r="E30" s="7">
        <f>SUMIFS(Tareas!$F$5:$F$30,Tareas!$C$5:$C$30,2)</f>
        <v>176.0</v>
      </c>
    </row>
    <row r="31" spans="1:5">
      <c r="A31" s="4" t="s">
        <v>119</v>
      </c>
      <c r="B31" s="7">
        <f>SUMIFS(Tareas!$P$5:$P$30,Tareas!$C$5:$C$30,3,Tareas!$D$5:$D$30,"Terminada")</f>
        <v>27.0</v>
      </c>
      <c r="C31" s="7">
        <f>SUMIFS(Tareas!$P$5:$P$30,Tareas!$C$5:$C$30,3,Tareas!$D$5:$D$30,"Otra")</f>
        <v>23.0</v>
      </c>
      <c r="D31" s="10">
        <f>B31+C31</f>
        <v>50.0</v>
      </c>
      <c r="E31" s="7">
        <f>SUMIFS(Tareas!$F$5:$F$30,Tareas!$C$5:$C$30,3)</f>
        <v>172.0</v>
      </c>
    </row>
    <row r="32" spans="1:5">
      <c r="A32" s="9" t="s">
        <v>110</v>
      </c>
      <c r="B32" s="10">
        <f>SUM(B29:B31)</f>
        <v>117.0</v>
      </c>
      <c r="C32" s="10">
        <f>SUM(C29:C31)</f>
        <v>36.0</v>
      </c>
      <c r="D32" s="10">
        <f>SUM(D29:D31)</f>
        <v>153.0</v>
      </c>
      <c r="E32" s="10">
        <f>SUM(E29:E31)</f>
        <v>524.0</v>
      </c>
    </row>
    <row r="33" spans="1:1">
      <c r="A33" s="2" t="s">
        <v>120</v>
      </c>
    </row>
  </sheetData>
  <conditionalFormatting sqref="B25">
    <cfRule type="cellIs" dxfId="0" priority="1" operator="equal">
      <formula>"ERROR"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showGridLines="0" workbookViewId="0"/>
  </sheetViews>
  <sheetFormatPr defaultRowHeight="15"/>
  <cols>
    <col min="1" max="1" width="30.7109375" customWidth="1"/>
    <col min="2" max="10" width="14.7109375" customWidth="1"/>
  </cols>
  <sheetData>
    <row r="1" spans="1:6">
      <c r="A1" s="1" t="s">
        <v>121</v>
      </c>
    </row>
    <row r="2" spans="1:6">
      <c r="A2" s="2" t="s">
        <v>122</v>
      </c>
    </row>
    <row r="3" spans="1:6">
      <c r="A3" s="3" t="s">
        <v>123</v>
      </c>
      <c r="B3" s="3" t="s">
        <v>124</v>
      </c>
      <c r="C3" s="3" t="s">
        <v>125</v>
      </c>
      <c r="D3" s="3" t="s">
        <v>126</v>
      </c>
    </row>
    <row r="4" spans="1:6">
      <c r="A4" s="4" t="s">
        <v>127</v>
      </c>
      <c r="B4" s="6">
        <v>3</v>
      </c>
      <c r="C4" s="7">
        <f>Parametros!$B$7</f>
        <v>39.0</v>
      </c>
      <c r="D4" s="10">
        <f>B4*C4</f>
        <v>117.0</v>
      </c>
    </row>
    <row r="5" spans="1:6">
      <c r="A5" s="4" t="s">
        <v>128</v>
      </c>
      <c r="B5" s="6">
        <v>4</v>
      </c>
      <c r="C5" s="7">
        <f>Parametros!$B$7</f>
        <v>39.0</v>
      </c>
      <c r="D5" s="10">
        <f>B5*C5</f>
        <v>156.0</v>
      </c>
    </row>
    <row r="6" spans="1:6">
      <c r="A6" s="4" t="s">
        <v>129</v>
      </c>
      <c r="B6" s="6">
        <v>5</v>
      </c>
      <c r="C6" s="7">
        <f>Parametros!$B$7</f>
        <v>39.0</v>
      </c>
      <c r="D6" s="10">
        <f>B6*C6</f>
        <v>195.0</v>
      </c>
    </row>
    <row r="8" spans="1:6">
      <c r="A8" s="9" t="s">
        <v>130</v>
      </c>
    </row>
    <row r="9" spans="1:6">
      <c r="A9" s="3" t="s">
        <v>123</v>
      </c>
      <c r="B9" s="3" t="s">
        <v>27</v>
      </c>
      <c r="C9" s="3" t="s">
        <v>29</v>
      </c>
      <c r="D9" s="3" t="s">
        <v>31</v>
      </c>
      <c r="E9" s="3" t="s">
        <v>33</v>
      </c>
      <c r="F9" s="3" t="s">
        <v>35</v>
      </c>
    </row>
    <row r="10" spans="1:6">
      <c r="A10" s="4" t="s">
        <v>127</v>
      </c>
      <c r="B10" s="10">
        <f>INT($D4/Parametros!$B$15)</f>
        <v>117</v>
      </c>
      <c r="C10" s="10">
        <f>INT($D4/Parametros!$B$16)</f>
        <v>58</v>
      </c>
      <c r="D10" s="10">
        <f>INT($D4/Parametros!$B$17)</f>
        <v>39</v>
      </c>
      <c r="E10" s="10">
        <f>INT($D4/Parametros!$B$18)</f>
        <v>23</v>
      </c>
      <c r="F10" s="10">
        <f>INT($D4/Parametros!$B$19)</f>
        <v>14</v>
      </c>
    </row>
    <row r="11" spans="1:6">
      <c r="A11" s="4" t="s">
        <v>128</v>
      </c>
      <c r="B11" s="10">
        <f>INT($D5/Parametros!$B$15)</f>
        <v>156</v>
      </c>
      <c r="C11" s="10">
        <f>INT($D5/Parametros!$B$16)</f>
        <v>78</v>
      </c>
      <c r="D11" s="10">
        <f>INT($D5/Parametros!$B$17)</f>
        <v>52</v>
      </c>
      <c r="E11" s="10">
        <f>INT($D5/Parametros!$B$18)</f>
        <v>31</v>
      </c>
      <c r="F11" s="10">
        <f>INT($D5/Parametros!$B$19)</f>
        <v>19</v>
      </c>
    </row>
    <row r="12" spans="1:6">
      <c r="A12" s="4" t="s">
        <v>129</v>
      </c>
      <c r="B12" s="10">
        <f>INT($D6/Parametros!$B$15)</f>
        <v>195</v>
      </c>
      <c r="C12" s="10">
        <f>INT($D6/Parametros!$B$16)</f>
        <v>97</v>
      </c>
      <c r="D12" s="10">
        <f>INT($D6/Parametros!$B$17)</f>
        <v>65</v>
      </c>
      <c r="E12" s="10">
        <f>INT($D6/Parametros!$B$18)</f>
        <v>39</v>
      </c>
      <c r="F12" s="10">
        <f>INT($D6/Parametros!$B$19)</f>
        <v>24</v>
      </c>
    </row>
    <row r="14" spans="1:6">
      <c r="A14" s="9" t="s">
        <v>131</v>
      </c>
    </row>
    <row r="15" spans="1:6">
      <c r="A15" s="3" t="s">
        <v>123</v>
      </c>
      <c r="B15" s="3" t="s">
        <v>27</v>
      </c>
      <c r="C15" s="3" t="s">
        <v>29</v>
      </c>
      <c r="D15" s="3" t="s">
        <v>31</v>
      </c>
      <c r="E15" s="3" t="s">
        <v>33</v>
      </c>
      <c r="F15" s="3" t="s">
        <v>35</v>
      </c>
    </row>
    <row r="16" spans="1:6">
      <c r="A16" s="4" t="s">
        <v>127</v>
      </c>
      <c r="B16" s="7">
        <f>B10*Parametros!$B$15</f>
        <v>117.0</v>
      </c>
      <c r="C16" s="7">
        <f>C10*Parametros!$B$16</f>
        <v>116.0</v>
      </c>
      <c r="D16" s="7">
        <f>D10*Parametros!$B$17</f>
        <v>117.0</v>
      </c>
      <c r="E16" s="7">
        <f>E10*Parametros!$B$18</f>
        <v>115.0</v>
      </c>
      <c r="F16" s="7">
        <f>F10*Parametros!$B$19</f>
        <v>112.0</v>
      </c>
    </row>
    <row r="17" spans="1:6">
      <c r="A17" s="4" t="s">
        <v>128</v>
      </c>
      <c r="B17" s="7">
        <f>B11*Parametros!$B$15</f>
        <v>156.0</v>
      </c>
      <c r="C17" s="7">
        <f>C11*Parametros!$B$16</f>
        <v>156.0</v>
      </c>
      <c r="D17" s="7">
        <f>D11*Parametros!$B$17</f>
        <v>156.0</v>
      </c>
      <c r="E17" s="7">
        <f>E11*Parametros!$B$18</f>
        <v>155.0</v>
      </c>
      <c r="F17" s="7">
        <f>F11*Parametros!$B$19</f>
        <v>152.0</v>
      </c>
    </row>
    <row r="18" spans="1:6">
      <c r="A18" s="4" t="s">
        <v>129</v>
      </c>
      <c r="B18" s="7">
        <f>B12*Parametros!$B$15</f>
        <v>195.0</v>
      </c>
      <c r="C18" s="7">
        <f>C12*Parametros!$B$16</f>
        <v>194.0</v>
      </c>
      <c r="D18" s="7">
        <f>D12*Parametros!$B$17</f>
        <v>195.0</v>
      </c>
      <c r="E18" s="7">
        <f>E12*Parametros!$B$18</f>
        <v>195.0</v>
      </c>
      <c r="F18" s="7">
        <f>F12*Parametros!$B$19</f>
        <v>192.0</v>
      </c>
    </row>
    <row r="20" spans="1:6">
      <c r="A20" s="9" t="s">
        <v>132</v>
      </c>
    </row>
    <row r="21" spans="1:6">
      <c r="A21" s="3" t="s">
        <v>123</v>
      </c>
      <c r="B21" s="3" t="s">
        <v>27</v>
      </c>
      <c r="C21" s="3" t="s">
        <v>29</v>
      </c>
      <c r="D21" s="3" t="s">
        <v>31</v>
      </c>
      <c r="E21" s="3" t="s">
        <v>33</v>
      </c>
      <c r="F21" s="3" t="s">
        <v>35</v>
      </c>
    </row>
    <row r="22" spans="1:6">
      <c r="A22" s="4" t="s">
        <v>127</v>
      </c>
      <c r="B22" s="7">
        <f>$D4-B16</f>
        <v>0.0</v>
      </c>
      <c r="C22" s="7">
        <f>$D4-C16</f>
        <v>1.0</v>
      </c>
      <c r="D22" s="7">
        <f>$D4-D16</f>
        <v>0.0</v>
      </c>
      <c r="E22" s="7">
        <f>$D4-E16</f>
        <v>2.0</v>
      </c>
      <c r="F22" s="7">
        <f>$D4-F16</f>
        <v>5.0</v>
      </c>
    </row>
    <row r="23" spans="1:6">
      <c r="A23" s="4" t="s">
        <v>128</v>
      </c>
      <c r="B23" s="7">
        <f>$D5-B17</f>
        <v>0.0</v>
      </c>
      <c r="C23" s="7">
        <f>$D5-C17</f>
        <v>0.0</v>
      </c>
      <c r="D23" s="7">
        <f>$D5-D17</f>
        <v>0.0</v>
      </c>
      <c r="E23" s="7">
        <f>$D5-E17</f>
        <v>1.0</v>
      </c>
      <c r="F23" s="7">
        <f>$D5-F17</f>
        <v>4.0</v>
      </c>
    </row>
    <row r="24" spans="1:6">
      <c r="A24" s="4" t="s">
        <v>129</v>
      </c>
      <c r="B24" s="7">
        <f>$D6-B18</f>
        <v>0.0</v>
      </c>
      <c r="C24" s="7">
        <f>$D6-C18</f>
        <v>1.0</v>
      </c>
      <c r="D24" s="7">
        <f>$D6-D18</f>
        <v>0.0</v>
      </c>
      <c r="E24" s="7">
        <f>$D6-E18</f>
        <v>0.0</v>
      </c>
      <c r="F24" s="7">
        <f>$D6-F18</f>
        <v>3.0</v>
      </c>
    </row>
    <row r="26" spans="1:6">
      <c r="A26" s="2" t="s">
        <v>133</v>
      </c>
    </row>
    <row r="28" spans="1:6">
      <c r="A28" s="9" t="s">
        <v>134</v>
      </c>
    </row>
    <row r="29" spans="1:6">
      <c r="A29" s="3" t="s">
        <v>123</v>
      </c>
      <c r="B29" s="3" t="s">
        <v>135</v>
      </c>
      <c r="C29" s="3" t="s">
        <v>136</v>
      </c>
      <c r="D29" s="3" t="s">
        <v>137</v>
      </c>
    </row>
    <row r="30" spans="1:6">
      <c r="A30" s="4" t="s">
        <v>127</v>
      </c>
      <c r="B30" s="8">
        <f>D4*Septiembre!$B$13</f>
        <v>394.0</v>
      </c>
      <c r="C30" s="7">
        <f>B4*Parametros!$B$11</f>
        <v>504.0</v>
      </c>
      <c r="D30" s="12">
        <f>B30/C30</f>
        <v>0.7817460317460317</v>
      </c>
    </row>
    <row r="31" spans="1:6">
      <c r="A31" s="4" t="s">
        <v>128</v>
      </c>
      <c r="B31" s="8">
        <f>D5*Septiembre!$B$13</f>
        <v>525.3333333333334</v>
      </c>
      <c r="C31" s="7">
        <f>B5*Parametros!$B$11</f>
        <v>672.0</v>
      </c>
      <c r="D31" s="12">
        <f>B31/C31</f>
        <v>0.7817460317460319</v>
      </c>
    </row>
    <row r="32" spans="1:6">
      <c r="A32" s="4" t="s">
        <v>129</v>
      </c>
      <c r="B32" s="8">
        <f>D6*Septiembre!$B$13</f>
        <v>656.6666666666666</v>
      </c>
      <c r="C32" s="7">
        <f>B6*Parametros!$B$11</f>
        <v>840.0</v>
      </c>
      <c r="D32" s="12">
        <f>B32/C32</f>
        <v>0.7817460317460317</v>
      </c>
    </row>
    <row r="34" spans="1:1">
      <c r="A34" s="2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1"/>
  <sheetViews>
    <sheetView showGridLines="0" workbookViewId="0"/>
  </sheetViews>
  <sheetFormatPr defaultRowHeight="15"/>
  <cols>
    <col min="1" max="1" width="30.7109375" customWidth="1"/>
    <col min="2" max="11" width="14.7109375" customWidth="1"/>
  </cols>
  <sheetData>
    <row r="1" spans="1:9">
      <c r="A1" s="1" t="s">
        <v>139</v>
      </c>
    </row>
    <row r="2" spans="1:9" ht="45" customHeight="1">
      <c r="A2" s="2" t="s">
        <v>140</v>
      </c>
    </row>
    <row r="4" spans="1:9">
      <c r="A4" s="9" t="s">
        <v>141</v>
      </c>
    </row>
    <row r="5" spans="1:9">
      <c r="A5" s="3" t="s">
        <v>20</v>
      </c>
      <c r="B5" s="3" t="s">
        <v>21</v>
      </c>
      <c r="C5" s="3" t="s">
        <v>127</v>
      </c>
      <c r="D5" s="3" t="s">
        <v>128</v>
      </c>
      <c r="E5" s="3" t="s">
        <v>129</v>
      </c>
      <c r="F5" s="3" t="s">
        <v>142</v>
      </c>
      <c r="G5" s="3" t="s">
        <v>143</v>
      </c>
      <c r="H5" s="3" t="s">
        <v>144</v>
      </c>
      <c r="I5" s="3" t="s">
        <v>145</v>
      </c>
    </row>
    <row r="6" spans="1:9">
      <c r="A6" s="4" t="s">
        <v>35</v>
      </c>
      <c r="B6" s="7">
        <f>Parametros!$B$19</f>
        <v>8</v>
      </c>
      <c r="C6" s="6">
        <v>10</v>
      </c>
      <c r="D6" s="6">
        <v>13</v>
      </c>
      <c r="E6" s="6">
        <v>16</v>
      </c>
      <c r="F6" s="12">
        <f>C6*$B6/C$13</f>
        <v>0.6837606837606838</v>
      </c>
      <c r="G6" s="12">
        <f>D6*$B6/D$13</f>
        <v>0.6666666666666666</v>
      </c>
      <c r="H6" s="12">
        <f>E6*$B6/E$13</f>
        <v>0.6564102564102564</v>
      </c>
      <c r="I6" s="12">
        <f>Septiembre!E19</f>
        <v>0.6837606837606838</v>
      </c>
    </row>
    <row r="7" spans="1:9">
      <c r="A7" s="4" t="s">
        <v>33</v>
      </c>
      <c r="B7" s="7">
        <f>Parametros!$B$18</f>
        <v>5</v>
      </c>
      <c r="C7" s="6">
        <v>4</v>
      </c>
      <c r="D7" s="6">
        <v>6</v>
      </c>
      <c r="E7" s="6">
        <v>7</v>
      </c>
      <c r="F7" s="12">
        <f>C7*$B7/C$13</f>
        <v>0.17094017094017094</v>
      </c>
      <c r="G7" s="12">
        <f>D7*$B7/D$13</f>
        <v>0.19230769230769232</v>
      </c>
      <c r="H7" s="12">
        <f>E7*$B7/E$13</f>
        <v>0.1794871794871795</v>
      </c>
      <c r="I7" s="12">
        <f>Septiembre!E20</f>
        <v>0.17094017094017094</v>
      </c>
    </row>
    <row r="8" spans="1:9">
      <c r="A8" s="4" t="s">
        <v>31</v>
      </c>
      <c r="B8" s="7">
        <f>Parametros!$B$17</f>
        <v>3</v>
      </c>
      <c r="C8" s="6">
        <v>1</v>
      </c>
      <c r="D8" s="6">
        <v>1</v>
      </c>
      <c r="E8" s="6">
        <v>2</v>
      </c>
      <c r="F8" s="12">
        <f>C8*$B8/C$13</f>
        <v>0.02564102564102564</v>
      </c>
      <c r="G8" s="12">
        <f>D8*$B8/D$13</f>
        <v>0.019230769230769232</v>
      </c>
      <c r="H8" s="12">
        <f>E8*$B8/E$13</f>
        <v>0.03076923076923077</v>
      </c>
      <c r="I8" s="12">
        <f>Septiembre!E21</f>
        <v>0.02564102564102564</v>
      </c>
    </row>
    <row r="9" spans="1:9">
      <c r="A9" s="4" t="s">
        <v>29</v>
      </c>
      <c r="B9" s="7">
        <f>Parametros!$B$16</f>
        <v>2</v>
      </c>
      <c r="C9" s="6">
        <v>5</v>
      </c>
      <c r="D9" s="6">
        <v>7</v>
      </c>
      <c r="E9" s="6">
        <v>9</v>
      </c>
      <c r="F9" s="12">
        <f>C9*$B9/C$13</f>
        <v>0.08547008547008547</v>
      </c>
      <c r="G9" s="12">
        <f>D9*$B9/D$13</f>
        <v>0.08974358974358974</v>
      </c>
      <c r="H9" s="12">
        <f>E9*$B9/E$13</f>
        <v>0.09230769230769231</v>
      </c>
      <c r="I9" s="12">
        <f>Septiembre!E22</f>
        <v>0.08547008547008547</v>
      </c>
    </row>
    <row r="10" spans="1:9">
      <c r="A10" s="4" t="s">
        <v>27</v>
      </c>
      <c r="B10" s="7">
        <f>Parametros!$B$15</f>
        <v>1</v>
      </c>
      <c r="C10" s="6">
        <v>4</v>
      </c>
      <c r="D10" s="6">
        <v>5</v>
      </c>
      <c r="E10" s="6">
        <v>8</v>
      </c>
      <c r="F10" s="12">
        <f>C10*$B10/C$13</f>
        <v>0.03418803418803419</v>
      </c>
      <c r="G10" s="12">
        <f>D10*$B10/D$13</f>
        <v>0.03205128205128205</v>
      </c>
      <c r="H10" s="12">
        <f>E10*$B10/E$13</f>
        <v>0.041025641025641026</v>
      </c>
      <c r="I10" s="12">
        <f>Septiembre!E23</f>
        <v>0.03418803418803419</v>
      </c>
    </row>
    <row r="11" spans="1:9">
      <c r="A11" s="9" t="s">
        <v>146</v>
      </c>
      <c r="C11" s="10">
        <f>SUM(C6:C10)</f>
        <v>24.0</v>
      </c>
      <c r="D11" s="10">
        <f>SUM(D6:D10)</f>
        <v>32.0</v>
      </c>
      <c r="E11" s="10">
        <f>SUM(E6:E10)</f>
        <v>42.0</v>
      </c>
    </row>
    <row r="13" spans="1:9">
      <c r="A13" s="9" t="s">
        <v>115</v>
      </c>
      <c r="C13" s="10">
        <f>SUMPRODUCT($B6:$B10,C6:C10)</f>
        <v>117.0</v>
      </c>
      <c r="D13" s="10">
        <f>SUMPRODUCT($B6:$B10,D6:D10)</f>
        <v>156.0</v>
      </c>
      <c r="E13" s="10">
        <f>SUMPRODUCT($B6:$B10,E6:E10)</f>
        <v>195.0</v>
      </c>
    </row>
    <row r="14" spans="1:9">
      <c r="A14" s="4" t="s">
        <v>147</v>
      </c>
      <c r="C14" s="7">
        <f>Planes!$D$4</f>
        <v>117.0</v>
      </c>
      <c r="D14" s="7">
        <f>Planes!$D$5</f>
        <v>156.0</v>
      </c>
      <c r="E14" s="7">
        <f>Planes!$D$6</f>
        <v>195.0</v>
      </c>
    </row>
    <row r="15" spans="1:9">
      <c r="A15" s="4" t="s">
        <v>148</v>
      </c>
      <c r="C15" s="11" t="str">
        <f>IF(C13=C14,"OK","ERROR")</f>
        <v>OK</v>
      </c>
      <c r="D15" s="11" t="str">
        <f>IF(D13=D14,"OK","ERROR")</f>
        <v>OK</v>
      </c>
      <c r="E15" s="11" t="str">
        <f>IF(E13=E14,"OK","ERROR")</f>
        <v>OK</v>
      </c>
    </row>
    <row r="16" spans="1:9">
      <c r="A16" s="4" t="s">
        <v>149</v>
      </c>
      <c r="C16" s="8">
        <f>C6*Parametros!$G$19+C7*Parametros!$G$18+C8*Parametros!$G$17+C9*Parametros!$G$16+C10*Parametros!$G$15</f>
        <v>379.6153846153846</v>
      </c>
      <c r="D16" s="8">
        <f>D6*Parametros!$G$19+D7*Parametros!$G$18+D8*Parametros!$G$17+D9*Parametros!$G$16+D10*Parametros!$G$15</f>
        <v>506.9230769230769</v>
      </c>
      <c r="E16" s="8">
        <f>E6*Parametros!$G$19+E7*Parametros!$G$18+E8*Parametros!$G$17+E9*Parametros!$G$16+E10*Parametros!$G$15</f>
        <v>632.3076923076923</v>
      </c>
    </row>
    <row r="17" spans="1:8">
      <c r="A17" s="4" t="s">
        <v>150</v>
      </c>
      <c r="C17" s="8">
        <f>C6*Parametros!$D$19+C7*Parametros!$D$18+C8*Parametros!$D$17+C9*Parametros!$D$16+C10*Parametros!$D$15</f>
        <v>460.0</v>
      </c>
      <c r="D17" s="8">
        <f>D6*Parametros!$D$19+D7*Parametros!$D$18+D8*Parametros!$D$17+D9*Parametros!$D$16+D10*Parametros!$D$15</f>
        <v>614.6153846153848</v>
      </c>
      <c r="E17" s="8">
        <f>E6*Parametros!$D$19+E7*Parametros!$D$18+E8*Parametros!$D$17+E9*Parametros!$D$16+E10*Parametros!$D$15</f>
        <v>770.0</v>
      </c>
    </row>
    <row r="18" spans="1:8">
      <c r="A18" s="4" t="s">
        <v>151</v>
      </c>
      <c r="C18" s="8">
        <f>Planes!$B$30</f>
        <v>394.0</v>
      </c>
      <c r="D18" s="8">
        <f>Planes!$B$31</f>
        <v>525.3333333333334</v>
      </c>
      <c r="E18" s="8">
        <f>Planes!$B$32</f>
        <v>656.6666666666666</v>
      </c>
    </row>
    <row r="19" spans="1:8">
      <c r="A19" s="4" t="s">
        <v>152</v>
      </c>
      <c r="C19" s="12">
        <f>C16/C18-1</f>
        <v>-0.036509176103084795</v>
      </c>
      <c r="D19" s="12">
        <f>D16/D18-1</f>
        <v>-0.035044904334244564</v>
      </c>
      <c r="E19" s="12">
        <f>E16/E18-1</f>
        <v>-0.03709488481062084</v>
      </c>
    </row>
    <row r="20" spans="1:8">
      <c r="A20" s="4" t="s">
        <v>153</v>
      </c>
      <c r="C20" s="7">
        <f>Planes!$C$30</f>
        <v>504.0</v>
      </c>
      <c r="D20" s="7">
        <f>Planes!$C$31</f>
        <v>672.0</v>
      </c>
      <c r="E20" s="7">
        <f>Planes!$C$32</f>
        <v>840.0</v>
      </c>
    </row>
    <row r="21" spans="1:8">
      <c r="A21" s="4" t="s">
        <v>154</v>
      </c>
      <c r="C21" s="11" t="str">
        <f>IF(AND(ABS(C19)&lt;=0.05,C16&lt;=C20),"OK","ERROR")</f>
        <v>OK</v>
      </c>
      <c r="D21" s="11" t="str">
        <f>IF(AND(ABS(D19)&lt;=0.05,D16&lt;=D20),"OK","ERROR")</f>
        <v>OK</v>
      </c>
      <c r="E21" s="11" t="str">
        <f>IF(AND(ABS(E19)&lt;=0.05,E16&lt;=E20),"OK","ERROR")</f>
        <v>OK</v>
      </c>
    </row>
    <row r="24" spans="1:8">
      <c r="A24" s="9" t="s">
        <v>155</v>
      </c>
    </row>
    <row r="25" spans="1:8">
      <c r="A25" s="3" t="s">
        <v>20</v>
      </c>
      <c r="B25" s="3" t="s">
        <v>21</v>
      </c>
      <c r="C25" s="3" t="s">
        <v>127</v>
      </c>
      <c r="D25" s="3" t="s">
        <v>128</v>
      </c>
      <c r="E25" s="3" t="s">
        <v>129</v>
      </c>
      <c r="F25" s="3" t="s">
        <v>142</v>
      </c>
      <c r="G25" s="3" t="s">
        <v>143</v>
      </c>
      <c r="H25" s="3" t="s">
        <v>144</v>
      </c>
    </row>
    <row r="26" spans="1:8">
      <c r="A26" s="4" t="s">
        <v>35</v>
      </c>
      <c r="B26" s="7">
        <f>Parametros!$B$19</f>
        <v>8</v>
      </c>
      <c r="C26" s="6">
        <v>4</v>
      </c>
      <c r="D26" s="6">
        <v>6</v>
      </c>
      <c r="E26" s="6">
        <v>8</v>
      </c>
      <c r="F26" s="12">
        <f>C26*$B26/C$33</f>
        <v>0.27350427350427353</v>
      </c>
      <c r="G26" s="12">
        <f>D26*$B26/D$33</f>
        <v>0.3076923076923077</v>
      </c>
      <c r="H26" s="12">
        <f>E26*$B26/E$33</f>
        <v>0.3282051282051282</v>
      </c>
    </row>
    <row r="27" spans="1:8">
      <c r="A27" s="4" t="s">
        <v>33</v>
      </c>
      <c r="B27" s="7">
        <f>Parametros!$B$18</f>
        <v>5</v>
      </c>
      <c r="C27" s="6">
        <v>6</v>
      </c>
      <c r="D27" s="6">
        <v>8</v>
      </c>
      <c r="E27" s="6">
        <v>10</v>
      </c>
      <c r="F27" s="12">
        <f>C27*$B27/C$33</f>
        <v>0.2564102564102564</v>
      </c>
      <c r="G27" s="12">
        <f>D27*$B27/D$33</f>
        <v>0.2564102564102564</v>
      </c>
      <c r="H27" s="12">
        <f>E27*$B27/E$33</f>
        <v>0.2564102564102564</v>
      </c>
    </row>
    <row r="28" spans="1:8">
      <c r="A28" s="4" t="s">
        <v>31</v>
      </c>
      <c r="B28" s="7">
        <f>Parametros!$B$17</f>
        <v>3</v>
      </c>
      <c r="C28" s="6">
        <v>10</v>
      </c>
      <c r="D28" s="6">
        <v>12</v>
      </c>
      <c r="E28" s="6">
        <v>15</v>
      </c>
      <c r="F28" s="12">
        <f>C28*$B28/C$33</f>
        <v>0.2564102564102564</v>
      </c>
      <c r="G28" s="12">
        <f>D28*$B28/D$33</f>
        <v>0.23076923076923078</v>
      </c>
      <c r="H28" s="12">
        <f>E28*$B28/E$33</f>
        <v>0.23076923076923078</v>
      </c>
    </row>
    <row r="29" spans="1:8">
      <c r="A29" s="4" t="s">
        <v>29</v>
      </c>
      <c r="B29" s="7">
        <f>Parametros!$B$16</f>
        <v>2</v>
      </c>
      <c r="C29" s="6">
        <v>10</v>
      </c>
      <c r="D29" s="6">
        <v>12</v>
      </c>
      <c r="E29" s="6">
        <v>14</v>
      </c>
      <c r="F29" s="12">
        <f>C29*$B29/C$33</f>
        <v>0.17094017094017094</v>
      </c>
      <c r="G29" s="12">
        <f>D29*$B29/D$33</f>
        <v>0.15384615384615385</v>
      </c>
      <c r="H29" s="12">
        <f>E29*$B29/E$33</f>
        <v>0.14358974358974358</v>
      </c>
    </row>
    <row r="30" spans="1:8">
      <c r="A30" s="4" t="s">
        <v>27</v>
      </c>
      <c r="B30" s="7">
        <f>Parametros!$B$15</f>
        <v>1</v>
      </c>
      <c r="C30" s="6">
        <v>5</v>
      </c>
      <c r="D30" s="6">
        <v>8</v>
      </c>
      <c r="E30" s="6">
        <v>8</v>
      </c>
      <c r="F30" s="12">
        <f>C30*$B30/C$33</f>
        <v>0.042735042735042736</v>
      </c>
      <c r="G30" s="12">
        <f>D30*$B30/D$33</f>
        <v>0.05128205128205128</v>
      </c>
      <c r="H30" s="12">
        <f>E30*$B30/E$33</f>
        <v>0.041025641025641026</v>
      </c>
    </row>
    <row r="31" spans="1:8">
      <c r="A31" s="9" t="s">
        <v>146</v>
      </c>
      <c r="C31" s="10">
        <f>SUM(C26:C30)</f>
        <v>35.0</v>
      </c>
      <c r="D31" s="10">
        <f>SUM(D26:D30)</f>
        <v>46.0</v>
      </c>
      <c r="E31" s="10">
        <f>SUM(E26:E30)</f>
        <v>55.0</v>
      </c>
    </row>
    <row r="33" spans="1:8">
      <c r="A33" s="9" t="s">
        <v>115</v>
      </c>
      <c r="C33" s="10">
        <f>SUMPRODUCT($B26:$B30,C26:C30)</f>
        <v>117.0</v>
      </c>
      <c r="D33" s="10">
        <f>SUMPRODUCT($B26:$B30,D26:D30)</f>
        <v>156.0</v>
      </c>
      <c r="E33" s="10">
        <f>SUMPRODUCT($B26:$B30,E26:E30)</f>
        <v>195.0</v>
      </c>
    </row>
    <row r="34" spans="1:8">
      <c r="A34" s="4" t="s">
        <v>147</v>
      </c>
      <c r="C34" s="7">
        <f>Planes!$D$4</f>
        <v>117.0</v>
      </c>
      <c r="D34" s="7">
        <f>Planes!$D$5</f>
        <v>156.0</v>
      </c>
      <c r="E34" s="7">
        <f>Planes!$D$6</f>
        <v>195.0</v>
      </c>
    </row>
    <row r="35" spans="1:8">
      <c r="A35" s="4" t="s">
        <v>148</v>
      </c>
      <c r="C35" s="11" t="str">
        <f>IF(C33=C34,"OK","ERROR")</f>
        <v>OK</v>
      </c>
      <c r="D35" s="11" t="str">
        <f>IF(D33=D34,"OK","ERROR")</f>
        <v>OK</v>
      </c>
      <c r="E35" s="11" t="str">
        <f>IF(E33=E34,"OK","ERROR")</f>
        <v>OK</v>
      </c>
    </row>
    <row r="36" spans="1:8">
      <c r="A36" s="4" t="s">
        <v>149</v>
      </c>
      <c r="C36" s="8">
        <f>C26*Parametros!$G$19+C27*Parametros!$G$18+C28*Parametros!$G$17+C29*Parametros!$G$16+C30*Parametros!$G$15</f>
        <v>391.53846153846155</v>
      </c>
      <c r="D36" s="8">
        <f>D26*Parametros!$G$19+D27*Parametros!$G$18+D28*Parametros!$G$17+D29*Parametros!$G$16+D30*Parametros!$G$15</f>
        <v>519.2307692307692</v>
      </c>
      <c r="E36" s="8">
        <f>E26*Parametros!$G$19+E27*Parametros!$G$18+E28*Parametros!$G$17+E29*Parametros!$G$16+E30*Parametros!$G$15</f>
        <v>650.7692307692307</v>
      </c>
    </row>
    <row r="37" spans="1:8">
      <c r="A37" s="4" t="s">
        <v>150</v>
      </c>
      <c r="C37" s="8">
        <f>C26*Parametros!$D$19+C27*Parametros!$D$18+C28*Parametros!$D$17+C29*Parametros!$D$16+C30*Parametros!$D$15</f>
        <v>487.69230769230774</v>
      </c>
      <c r="D37" s="8">
        <f>D26*Parametros!$D$19+D27*Parametros!$D$18+D28*Parametros!$D$17+D29*Parametros!$D$16+D30*Parametros!$D$15</f>
        <v>647.6923076923076</v>
      </c>
      <c r="E37" s="8">
        <f>E26*Parametros!$D$19+E27*Parametros!$D$18+E28*Parametros!$D$17+E29*Parametros!$D$16+E30*Parametros!$D$15</f>
        <v>806.9230769230769</v>
      </c>
    </row>
    <row r="38" spans="1:8">
      <c r="A38" s="4" t="s">
        <v>151</v>
      </c>
      <c r="C38" s="8">
        <f>Planes!$B$30</f>
        <v>394.0</v>
      </c>
      <c r="D38" s="8">
        <f>Planes!$B$31</f>
        <v>525.3333333333334</v>
      </c>
      <c r="E38" s="8">
        <f>Planes!$B$32</f>
        <v>656.6666666666666</v>
      </c>
    </row>
    <row r="39" spans="1:8">
      <c r="A39" s="4" t="s">
        <v>152</v>
      </c>
      <c r="C39" s="12">
        <f>C36/C38-1</f>
        <v>-0.006247559547051917</v>
      </c>
      <c r="D39" s="12">
        <f>D36/D38-1</f>
        <v>-0.011616556032799874</v>
      </c>
      <c r="E39" s="12">
        <f>E36/E38-1</f>
        <v>-0.008980866848887215</v>
      </c>
    </row>
    <row r="40" spans="1:8">
      <c r="A40" s="4" t="s">
        <v>153</v>
      </c>
      <c r="C40" s="7">
        <f>Planes!$C$30</f>
        <v>504.0</v>
      </c>
      <c r="D40" s="7">
        <f>Planes!$C$31</f>
        <v>672.0</v>
      </c>
      <c r="E40" s="7">
        <f>Planes!$C$32</f>
        <v>840.0</v>
      </c>
    </row>
    <row r="41" spans="1:8">
      <c r="A41" s="4" t="s">
        <v>154</v>
      </c>
      <c r="C41" s="11" t="str">
        <f>IF(AND(ABS(C39)&lt;=0.05,C36&lt;=C40),"OK","ERROR")</f>
        <v>OK</v>
      </c>
      <c r="D41" s="11" t="str">
        <f>IF(AND(ABS(D39)&lt;=0.05,D36&lt;=D40),"OK","ERROR")</f>
        <v>OK</v>
      </c>
      <c r="E41" s="11" t="str">
        <f>IF(AND(ABS(E39)&lt;=0.05,E36&lt;=E40),"OK","ERROR")</f>
        <v>OK</v>
      </c>
    </row>
    <row r="44" spans="1:8">
      <c r="A44" s="9" t="s">
        <v>156</v>
      </c>
    </row>
    <row r="45" spans="1:8">
      <c r="A45" s="3" t="s">
        <v>20</v>
      </c>
      <c r="B45" s="3" t="s">
        <v>21</v>
      </c>
      <c r="C45" s="3" t="s">
        <v>127</v>
      </c>
      <c r="D45" s="3" t="s">
        <v>128</v>
      </c>
      <c r="E45" s="3" t="s">
        <v>129</v>
      </c>
      <c r="F45" s="3" t="s">
        <v>142</v>
      </c>
      <c r="G45" s="3" t="s">
        <v>143</v>
      </c>
      <c r="H45" s="3" t="s">
        <v>144</v>
      </c>
    </row>
    <row r="46" spans="1:8">
      <c r="A46" s="4" t="s">
        <v>35</v>
      </c>
      <c r="B46" s="7">
        <f>Parametros!$B$19</f>
        <v>8</v>
      </c>
      <c r="C46" s="6">
        <v>0</v>
      </c>
      <c r="D46" s="6">
        <v>0</v>
      </c>
      <c r="E46" s="6">
        <v>0</v>
      </c>
      <c r="F46" s="12">
        <f>C46*$B46/C$53</f>
        <v>0.0</v>
      </c>
      <c r="G46" s="12">
        <f>D46*$B46/D$53</f>
        <v>0.0</v>
      </c>
      <c r="H46" s="12">
        <f>E46*$B46/E$53</f>
        <v>0.0</v>
      </c>
    </row>
    <row r="47" spans="1:8">
      <c r="A47" s="4" t="s">
        <v>33</v>
      </c>
      <c r="B47" s="7">
        <f>Parametros!$B$18</f>
        <v>5</v>
      </c>
      <c r="C47" s="6">
        <v>2</v>
      </c>
      <c r="D47" s="6">
        <v>3</v>
      </c>
      <c r="E47" s="6">
        <v>4</v>
      </c>
      <c r="F47" s="12">
        <f>C47*$B47/C$53</f>
        <v>0.08547008547008547</v>
      </c>
      <c r="G47" s="12">
        <f>D47*$B47/D$53</f>
        <v>0.09615384615384616</v>
      </c>
      <c r="H47" s="12">
        <f>E47*$B47/E$53</f>
        <v>0.10256410256410256</v>
      </c>
    </row>
    <row r="48" spans="1:8">
      <c r="A48" s="4" t="s">
        <v>31</v>
      </c>
      <c r="B48" s="7">
        <f>Parametros!$B$17</f>
        <v>3</v>
      </c>
      <c r="C48" s="6">
        <v>15</v>
      </c>
      <c r="D48" s="6">
        <v>20</v>
      </c>
      <c r="E48" s="6">
        <v>25</v>
      </c>
      <c r="F48" s="12">
        <f>C48*$B48/C$53</f>
        <v>0.38461538461538464</v>
      </c>
      <c r="G48" s="12">
        <f>D48*$B48/D$53</f>
        <v>0.38461538461538464</v>
      </c>
      <c r="H48" s="12">
        <f>E48*$B48/E$53</f>
        <v>0.38461538461538464</v>
      </c>
    </row>
    <row r="49" spans="1:8">
      <c r="A49" s="4" t="s">
        <v>29</v>
      </c>
      <c r="B49" s="7">
        <f>Parametros!$B$16</f>
        <v>2</v>
      </c>
      <c r="C49" s="6">
        <v>25</v>
      </c>
      <c r="D49" s="6">
        <v>30</v>
      </c>
      <c r="E49" s="6">
        <v>40</v>
      </c>
      <c r="F49" s="12">
        <f>C49*$B49/C$53</f>
        <v>0.42735042735042733</v>
      </c>
      <c r="G49" s="12">
        <f>D49*$B49/D$53</f>
        <v>0.38461538461538464</v>
      </c>
      <c r="H49" s="12">
        <f>E49*$B49/E$53</f>
        <v>0.41025641025641024</v>
      </c>
    </row>
    <row r="50" spans="1:8">
      <c r="A50" s="4" t="s">
        <v>27</v>
      </c>
      <c r="B50" s="7">
        <f>Parametros!$B$15</f>
        <v>1</v>
      </c>
      <c r="C50" s="6">
        <v>12</v>
      </c>
      <c r="D50" s="6">
        <v>21</v>
      </c>
      <c r="E50" s="6">
        <v>20</v>
      </c>
      <c r="F50" s="12">
        <f>C50*$B50/C$53</f>
        <v>0.10256410256410256</v>
      </c>
      <c r="G50" s="12">
        <f>D50*$B50/D$53</f>
        <v>0.1346153846153846</v>
      </c>
      <c r="H50" s="12">
        <f>E50*$B50/E$53</f>
        <v>0.10256410256410256</v>
      </c>
    </row>
    <row r="51" spans="1:8">
      <c r="A51" s="9" t="s">
        <v>146</v>
      </c>
      <c r="C51" s="10">
        <f>SUM(C46:C50)</f>
        <v>54.0</v>
      </c>
      <c r="D51" s="10">
        <f>SUM(D46:D50)</f>
        <v>74.0</v>
      </c>
      <c r="E51" s="10">
        <f>SUM(E46:E50)</f>
        <v>89.0</v>
      </c>
    </row>
    <row r="53" spans="1:8">
      <c r="A53" s="9" t="s">
        <v>115</v>
      </c>
      <c r="C53" s="10">
        <f>SUMPRODUCT($B46:$B50,C46:C50)</f>
        <v>117.0</v>
      </c>
      <c r="D53" s="10">
        <f>SUMPRODUCT($B46:$B50,D46:D50)</f>
        <v>156.0</v>
      </c>
      <c r="E53" s="10">
        <f>SUMPRODUCT($B46:$B50,E46:E50)</f>
        <v>195.0</v>
      </c>
    </row>
    <row r="54" spans="1:8">
      <c r="A54" s="4" t="s">
        <v>147</v>
      </c>
      <c r="C54" s="7">
        <f>Planes!$D$4</f>
        <v>117.0</v>
      </c>
      <c r="D54" s="7">
        <f>Planes!$D$5</f>
        <v>156.0</v>
      </c>
      <c r="E54" s="7">
        <f>Planes!$D$6</f>
        <v>195.0</v>
      </c>
    </row>
    <row r="55" spans="1:8">
      <c r="A55" s="4" t="s">
        <v>148</v>
      </c>
      <c r="C55" s="11" t="str">
        <f>IF(C53=C54,"OK","ERROR")</f>
        <v>OK</v>
      </c>
      <c r="D55" s="11" t="str">
        <f>IF(D53=D54,"OK","ERROR")</f>
        <v>OK</v>
      </c>
      <c r="E55" s="11" t="str">
        <f>IF(E53=E54,"OK","ERROR")</f>
        <v>OK</v>
      </c>
    </row>
    <row r="56" spans="1:8">
      <c r="A56" s="4" t="s">
        <v>149</v>
      </c>
      <c r="C56" s="8">
        <f>C46*Parametros!$G$19+C47*Parametros!$G$18+C48*Parametros!$G$17+C49*Parametros!$G$16+C50*Parametros!$G$15</f>
        <v>387.3076923076923</v>
      </c>
      <c r="D56" s="8">
        <f>D46*Parametros!$G$19+D47*Parametros!$G$18+D48*Parametros!$G$17+D49*Parametros!$G$16+D50*Parametros!$G$15</f>
        <v>511.9230769230769</v>
      </c>
      <c r="E56" s="8">
        <f>E46*Parametros!$G$19+E47*Parametros!$G$18+E48*Parametros!$G$17+E49*Parametros!$G$16+E50*Parametros!$G$15</f>
        <v>646.1538461538462</v>
      </c>
    </row>
    <row r="57" spans="1:8">
      <c r="A57" s="4" t="s">
        <v>150</v>
      </c>
      <c r="C57" s="8">
        <f>C46*Parametros!$D$19+C47*Parametros!$D$18+C48*Parametros!$D$17+C49*Parametros!$D$16+C50*Parametros!$D$15</f>
        <v>506.15384615384613</v>
      </c>
      <c r="D57" s="8">
        <f>D46*Parametros!$D$19+D47*Parametros!$D$18+D48*Parametros!$D$17+D49*Parametros!$D$16+D50*Parametros!$D$15</f>
        <v>676.9230769230769</v>
      </c>
      <c r="E57" s="8">
        <f>E46*Parametros!$D$19+E47*Parametros!$D$18+E48*Parametros!$D$17+E49*Parametros!$D$16+E50*Parametros!$D$15</f>
        <v>843.8461538461537</v>
      </c>
    </row>
    <row r="58" spans="1:8">
      <c r="A58" s="4" t="s">
        <v>151</v>
      </c>
      <c r="C58" s="8">
        <f>Planes!$B$30</f>
        <v>394.0</v>
      </c>
      <c r="D58" s="8">
        <f>Planes!$B$31</f>
        <v>525.3333333333334</v>
      </c>
      <c r="E58" s="8">
        <f>Planes!$B$32</f>
        <v>656.6666666666666</v>
      </c>
    </row>
    <row r="59" spans="1:8">
      <c r="A59" s="4" t="s">
        <v>152</v>
      </c>
      <c r="C59" s="12">
        <f>C56/C58-1</f>
        <v>-0.016985552518547387</v>
      </c>
      <c r="D59" s="12">
        <f>D56/D58-1</f>
        <v>-0.02552713783678262</v>
      </c>
      <c r="E59" s="12">
        <f>E56/E58-1</f>
        <v>-0.016009371339320455</v>
      </c>
    </row>
    <row r="60" spans="1:8">
      <c r="A60" s="4" t="s">
        <v>153</v>
      </c>
      <c r="C60" s="7">
        <f>Planes!$C$30</f>
        <v>504.0</v>
      </c>
      <c r="D60" s="7">
        <f>Planes!$C$31</f>
        <v>672.0</v>
      </c>
      <c r="E60" s="7">
        <f>Planes!$C$32</f>
        <v>840.0</v>
      </c>
    </row>
    <row r="61" spans="1:8">
      <c r="A61" s="4" t="s">
        <v>154</v>
      </c>
      <c r="C61" s="11" t="str">
        <f>IF(AND(ABS(C59)&lt;=0.05,C56&lt;=C60),"OK","ERROR")</f>
        <v>OK</v>
      </c>
      <c r="D61" s="11" t="str">
        <f>IF(AND(ABS(D59)&lt;=0.05,D56&lt;=D60),"OK","ERROR")</f>
        <v>OK</v>
      </c>
      <c r="E61" s="11" t="str">
        <f>IF(AND(ABS(E59)&lt;=0.05,E56&lt;=E60),"OK","ERROR")</f>
        <v>OK</v>
      </c>
    </row>
  </sheetData>
  <conditionalFormatting sqref="C15">
    <cfRule type="cellIs" dxfId="0" priority="1" operator="equal">
      <formula>"ERROR"</formula>
    </cfRule>
  </conditionalFormatting>
  <conditionalFormatting sqref="D15">
    <cfRule type="cellIs" dxfId="0" priority="2" operator="equal">
      <formula>"ERROR"</formula>
    </cfRule>
  </conditionalFormatting>
  <conditionalFormatting sqref="E15">
    <cfRule type="cellIs" dxfId="0" priority="3" operator="equal">
      <formula>"ERROR"</formula>
    </cfRule>
  </conditionalFormatting>
  <conditionalFormatting sqref="C21">
    <cfRule type="cellIs" dxfId="0" priority="4" operator="equal">
      <formula>"ERROR"</formula>
    </cfRule>
  </conditionalFormatting>
  <conditionalFormatting sqref="D21">
    <cfRule type="cellIs" dxfId="0" priority="5" operator="equal">
      <formula>"ERROR"</formula>
    </cfRule>
  </conditionalFormatting>
  <conditionalFormatting sqref="E21">
    <cfRule type="cellIs" dxfId="0" priority="6" operator="equal">
      <formula>"ERROR"</formula>
    </cfRule>
  </conditionalFormatting>
  <conditionalFormatting sqref="C35">
    <cfRule type="cellIs" dxfId="0" priority="7" operator="equal">
      <formula>"ERROR"</formula>
    </cfRule>
  </conditionalFormatting>
  <conditionalFormatting sqref="D35">
    <cfRule type="cellIs" dxfId="0" priority="8" operator="equal">
      <formula>"ERROR"</formula>
    </cfRule>
  </conditionalFormatting>
  <conditionalFormatting sqref="E35">
    <cfRule type="cellIs" dxfId="0" priority="9" operator="equal">
      <formula>"ERROR"</formula>
    </cfRule>
  </conditionalFormatting>
  <conditionalFormatting sqref="C41">
    <cfRule type="cellIs" dxfId="0" priority="10" operator="equal">
      <formula>"ERROR"</formula>
    </cfRule>
  </conditionalFormatting>
  <conditionalFormatting sqref="D41">
    <cfRule type="cellIs" dxfId="0" priority="11" operator="equal">
      <formula>"ERROR"</formula>
    </cfRule>
  </conditionalFormatting>
  <conditionalFormatting sqref="E41">
    <cfRule type="cellIs" dxfId="0" priority="12" operator="equal">
      <formula>"ERROR"</formula>
    </cfRule>
  </conditionalFormatting>
  <conditionalFormatting sqref="C55">
    <cfRule type="cellIs" dxfId="0" priority="13" operator="equal">
      <formula>"ERROR"</formula>
    </cfRule>
  </conditionalFormatting>
  <conditionalFormatting sqref="D55">
    <cfRule type="cellIs" dxfId="0" priority="14" operator="equal">
      <formula>"ERROR"</formula>
    </cfRule>
  </conditionalFormatting>
  <conditionalFormatting sqref="E55">
    <cfRule type="cellIs" dxfId="0" priority="15" operator="equal">
      <formula>"ERROR"</formula>
    </cfRule>
  </conditionalFormatting>
  <conditionalFormatting sqref="C61">
    <cfRule type="cellIs" dxfId="0" priority="16" operator="equal">
      <formula>"ERROR"</formula>
    </cfRule>
  </conditionalFormatting>
  <conditionalFormatting sqref="D61">
    <cfRule type="cellIs" dxfId="0" priority="17" operator="equal">
      <formula>"ERROR"</formula>
    </cfRule>
  </conditionalFormatting>
  <conditionalFormatting sqref="E61">
    <cfRule type="cellIs" dxfId="0" priority="18" operator="equal">
      <formula>"ERROR"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92"/>
  <sheetViews>
    <sheetView showGridLines="0" workbookViewId="0"/>
  </sheetViews>
  <sheetFormatPr defaultRowHeight="15"/>
  <cols>
    <col min="1" max="1" width="34.7109375" customWidth="1"/>
    <col min="2" max="8" width="12.7109375" customWidth="1"/>
    <col min="9" max="11" width="16.7109375" customWidth="1"/>
  </cols>
  <sheetData>
    <row r="1" spans="1:11">
      <c r="A1" s="1" t="s">
        <v>157</v>
      </c>
    </row>
    <row r="2" spans="1:11">
      <c r="A2" s="2" t="s">
        <v>158</v>
      </c>
    </row>
    <row r="4" spans="1:11">
      <c r="A4" s="9" t="s">
        <v>159</v>
      </c>
    </row>
    <row r="5" spans="1:11">
      <c r="A5" s="3" t="s">
        <v>43</v>
      </c>
      <c r="B5" s="3" t="s">
        <v>35</v>
      </c>
      <c r="C5" s="3" t="s">
        <v>33</v>
      </c>
      <c r="D5" s="3" t="s">
        <v>31</v>
      </c>
      <c r="E5" s="3" t="s">
        <v>29</v>
      </c>
      <c r="F5" s="3" t="s">
        <v>27</v>
      </c>
      <c r="G5" s="3" t="s">
        <v>21</v>
      </c>
      <c r="H5" s="3" t="s">
        <v>148</v>
      </c>
      <c r="I5" s="3" t="s">
        <v>160</v>
      </c>
      <c r="J5" s="3" t="s">
        <v>161</v>
      </c>
      <c r="K5" s="3" t="s">
        <v>162</v>
      </c>
    </row>
    <row r="6" spans="1:11">
      <c r="A6" s="4" t="s">
        <v>163</v>
      </c>
      <c r="B6" s="6">
        <v>3</v>
      </c>
      <c r="C6" s="6">
        <v>2</v>
      </c>
      <c r="D6" s="6">
        <v>0</v>
      </c>
      <c r="E6" s="6">
        <v>2</v>
      </c>
      <c r="F6" s="6">
        <v>1</v>
      </c>
      <c r="G6" s="10">
        <f>B6*Parametros!$B$19+C6*Parametros!$B$18+D6*Parametros!$B$17+E6*Parametros!$B$16+F6*Parametros!$B$15</f>
        <v>39.0</v>
      </c>
      <c r="H6" s="11" t="str">
        <f>IF(G6=Parametros!$B$7,"OK","ERROR")</f>
        <v>OK</v>
      </c>
      <c r="I6" s="8">
        <f>B6*Parametros!$G$19+C6*Parametros!$G$18+D6*Parametros!$G$17+E6*Parametros!$G$16+F6*Parametros!$G$15</f>
        <v>127.30769230769229</v>
      </c>
      <c r="J6" s="8">
        <f>B6*Parametros!$D$19+C6*Parametros!$D$18+D6*Parametros!$D$17+E6*Parametros!$D$16+F6*Parametros!$D$15</f>
        <v>154.6153846153846</v>
      </c>
      <c r="K6" s="11" t="str">
        <f>IF(I6&lt;=Parametros!$B$11,"OK","ERROR")</f>
        <v>OK</v>
      </c>
    </row>
    <row r="7" spans="1:11">
      <c r="A7" s="4" t="s">
        <v>164</v>
      </c>
      <c r="B7" s="6">
        <v>3</v>
      </c>
      <c r="C7" s="6">
        <v>1</v>
      </c>
      <c r="D7" s="6">
        <v>1</v>
      </c>
      <c r="E7" s="6">
        <v>2</v>
      </c>
      <c r="F7" s="6">
        <v>3</v>
      </c>
      <c r="G7" s="10">
        <f>B7*Parametros!$B$19+C7*Parametros!$B$18+D7*Parametros!$B$17+E7*Parametros!$B$16+F7*Parametros!$B$15</f>
        <v>39.0</v>
      </c>
      <c r="H7" s="11" t="str">
        <f>IF(G7=Parametros!$B$7,"OK","ERROR")</f>
        <v>OK</v>
      </c>
      <c r="I7" s="8">
        <f>B7*Parametros!$G$19+C7*Parametros!$G$18+D7*Parametros!$G$17+E7*Parametros!$G$16+F7*Parametros!$G$15</f>
        <v>125.38461538461537</v>
      </c>
      <c r="J7" s="8">
        <f>B7*Parametros!$D$19+C7*Parametros!$D$18+D7*Parametros!$D$17+E7*Parametros!$D$16+F7*Parametros!$D$15</f>
        <v>155.3846153846154</v>
      </c>
      <c r="K7" s="11" t="str">
        <f>IF(I7&lt;=Parametros!$B$11,"OK","ERROR")</f>
        <v>OK</v>
      </c>
    </row>
    <row r="8" spans="1:11">
      <c r="A8" s="4" t="s">
        <v>165</v>
      </c>
      <c r="B8" s="6">
        <v>4</v>
      </c>
      <c r="C8" s="6">
        <v>1</v>
      </c>
      <c r="D8" s="6">
        <v>0</v>
      </c>
      <c r="E8" s="6">
        <v>1</v>
      </c>
      <c r="F8" s="6">
        <v>0</v>
      </c>
      <c r="G8" s="10">
        <f>B8*Parametros!$B$19+C8*Parametros!$B$18+D8*Parametros!$B$17+E8*Parametros!$B$16+F8*Parametros!$B$15</f>
        <v>39.0</v>
      </c>
      <c r="H8" s="11" t="str">
        <f>IF(G8=Parametros!$B$7,"OK","ERROR")</f>
        <v>OK</v>
      </c>
      <c r="I8" s="8">
        <f>B8*Parametros!$G$19+C8*Parametros!$G$18+D8*Parametros!$G$17+E8*Parametros!$G$16+F8*Parametros!$G$15</f>
        <v>126.9230769230769</v>
      </c>
      <c r="J8" s="8">
        <f>B8*Parametros!$D$19+C8*Parametros!$D$18+D8*Parametros!$D$17+E8*Parametros!$D$16+F8*Parametros!$D$15</f>
        <v>150.0</v>
      </c>
      <c r="K8" s="11" t="str">
        <f>IF(I8&lt;=Parametros!$B$11,"OK","ERROR")</f>
        <v>OK</v>
      </c>
    </row>
    <row r="9" spans="1:11">
      <c r="A9" s="9" t="s">
        <v>166</v>
      </c>
      <c r="B9" s="10">
        <f>SUM(B6:B8)</f>
        <v>10.0</v>
      </c>
      <c r="C9" s="10">
        <f>SUM(C6:C8)</f>
        <v>4.0</v>
      </c>
      <c r="D9" s="10">
        <f>SUM(D6:D8)</f>
        <v>1.0</v>
      </c>
      <c r="E9" s="10">
        <f>SUM(E6:E8)</f>
        <v>5.0</v>
      </c>
      <c r="F9" s="10">
        <f>SUM(F6:F8)</f>
        <v>4.0</v>
      </c>
      <c r="G9" s="10">
        <f>B9*Parametros!$B$19+C9*Parametros!$B$18+D9*Parametros!$B$17+E9*Parametros!$B$16+F9*Parametros!$B$15</f>
        <v>117.0</v>
      </c>
    </row>
    <row r="10" spans="1:11">
      <c r="A10" s="4" t="s">
        <v>167</v>
      </c>
      <c r="B10" s="7">
        <f>Mezclas!$C$6</f>
        <v>10</v>
      </c>
      <c r="C10" s="7">
        <f>Mezclas!$C$7</f>
        <v>4</v>
      </c>
      <c r="D10" s="7">
        <f>Mezclas!$C$8</f>
        <v>1</v>
      </c>
      <c r="E10" s="7">
        <f>Mezclas!$C$9</f>
        <v>5</v>
      </c>
      <c r="F10" s="7">
        <f>Mezclas!$C$10</f>
        <v>4</v>
      </c>
      <c r="G10" s="7">
        <f>Planes!$D$4</f>
        <v>117.0</v>
      </c>
    </row>
    <row r="11" spans="1:11">
      <c r="A11" s="4" t="s">
        <v>148</v>
      </c>
      <c r="B11" s="11" t="str">
        <f>IF(B9=B10,"OK","ERROR")</f>
        <v>OK</v>
      </c>
      <c r="C11" s="11" t="str">
        <f>IF(C9=C10,"OK","ERROR")</f>
        <v>OK</v>
      </c>
      <c r="D11" s="11" t="str">
        <f>IF(D9=D10,"OK","ERROR")</f>
        <v>OK</v>
      </c>
      <c r="E11" s="11" t="str">
        <f>IF(E9=E10,"OK","ERROR")</f>
        <v>OK</v>
      </c>
      <c r="F11" s="11" t="str">
        <f>IF(F9=F10,"OK","ERROR")</f>
        <v>OK</v>
      </c>
      <c r="G11" s="11" t="str">
        <f>IF(G9=G10,"OK","ERROR")</f>
        <v>OK</v>
      </c>
    </row>
    <row r="13" spans="1:11">
      <c r="A13" s="9" t="s">
        <v>168</v>
      </c>
    </row>
    <row r="14" spans="1:11">
      <c r="A14" s="3" t="s">
        <v>43</v>
      </c>
      <c r="B14" s="3" t="s">
        <v>35</v>
      </c>
      <c r="C14" s="3" t="s">
        <v>33</v>
      </c>
      <c r="D14" s="3" t="s">
        <v>31</v>
      </c>
      <c r="E14" s="3" t="s">
        <v>29</v>
      </c>
      <c r="F14" s="3" t="s">
        <v>27</v>
      </c>
      <c r="G14" s="3" t="s">
        <v>21</v>
      </c>
      <c r="H14" s="3" t="s">
        <v>148</v>
      </c>
      <c r="I14" s="3" t="s">
        <v>160</v>
      </c>
      <c r="J14" s="3" t="s">
        <v>161</v>
      </c>
      <c r="K14" s="3" t="s">
        <v>162</v>
      </c>
    </row>
    <row r="15" spans="1:11">
      <c r="A15" s="4" t="s">
        <v>163</v>
      </c>
      <c r="B15" s="6">
        <v>3</v>
      </c>
      <c r="C15" s="6">
        <v>2</v>
      </c>
      <c r="D15" s="6">
        <v>0</v>
      </c>
      <c r="E15" s="6">
        <v>2</v>
      </c>
      <c r="F15" s="6">
        <v>1</v>
      </c>
      <c r="G15" s="10">
        <f>B15*Parametros!$B$19+C15*Parametros!$B$18+D15*Parametros!$B$17+E15*Parametros!$B$16+F15*Parametros!$B$15</f>
        <v>39.0</v>
      </c>
      <c r="H15" s="11" t="str">
        <f>IF(G15=Parametros!$B$7,"OK","ERROR")</f>
        <v>OK</v>
      </c>
      <c r="I15" s="8">
        <f>B15*Parametros!$G$19+C15*Parametros!$G$18+D15*Parametros!$G$17+E15*Parametros!$G$16+F15*Parametros!$G$15</f>
        <v>127.30769230769229</v>
      </c>
      <c r="J15" s="8">
        <f>B15*Parametros!$D$19+C15*Parametros!$D$18+D15*Parametros!$D$17+E15*Parametros!$D$16+F15*Parametros!$D$15</f>
        <v>154.6153846153846</v>
      </c>
      <c r="K15" s="11" t="str">
        <f>IF(I15&lt;=Parametros!$B$11,"OK","ERROR")</f>
        <v>OK</v>
      </c>
    </row>
    <row r="16" spans="1:11">
      <c r="A16" s="4" t="s">
        <v>164</v>
      </c>
      <c r="B16" s="6">
        <v>3</v>
      </c>
      <c r="C16" s="6">
        <v>2</v>
      </c>
      <c r="D16" s="6">
        <v>0</v>
      </c>
      <c r="E16" s="6">
        <v>2</v>
      </c>
      <c r="F16" s="6">
        <v>1</v>
      </c>
      <c r="G16" s="10">
        <f>B16*Parametros!$B$19+C16*Parametros!$B$18+D16*Parametros!$B$17+E16*Parametros!$B$16+F16*Parametros!$B$15</f>
        <v>39.0</v>
      </c>
      <c r="H16" s="11" t="str">
        <f>IF(G16=Parametros!$B$7,"OK","ERROR")</f>
        <v>OK</v>
      </c>
      <c r="I16" s="8">
        <f>B16*Parametros!$G$19+C16*Parametros!$G$18+D16*Parametros!$G$17+E16*Parametros!$G$16+F16*Parametros!$G$15</f>
        <v>127.30769230769229</v>
      </c>
      <c r="J16" s="8">
        <f>B16*Parametros!$D$19+C16*Parametros!$D$18+D16*Parametros!$D$17+E16*Parametros!$D$16+F16*Parametros!$D$15</f>
        <v>154.6153846153846</v>
      </c>
      <c r="K16" s="11" t="str">
        <f>IF(I16&lt;=Parametros!$B$11,"OK","ERROR")</f>
        <v>OK</v>
      </c>
    </row>
    <row r="17" spans="1:11">
      <c r="A17" s="4" t="s">
        <v>165</v>
      </c>
      <c r="B17" s="6">
        <v>3</v>
      </c>
      <c r="C17" s="6">
        <v>1</v>
      </c>
      <c r="D17" s="6">
        <v>1</v>
      </c>
      <c r="E17" s="6">
        <v>2</v>
      </c>
      <c r="F17" s="6">
        <v>3</v>
      </c>
      <c r="G17" s="10">
        <f>B17*Parametros!$B$19+C17*Parametros!$B$18+D17*Parametros!$B$17+E17*Parametros!$B$16+F17*Parametros!$B$15</f>
        <v>39.0</v>
      </c>
      <c r="H17" s="11" t="str">
        <f>IF(G17=Parametros!$B$7,"OK","ERROR")</f>
        <v>OK</v>
      </c>
      <c r="I17" s="8">
        <f>B17*Parametros!$G$19+C17*Parametros!$G$18+D17*Parametros!$G$17+E17*Parametros!$G$16+F17*Parametros!$G$15</f>
        <v>125.38461538461537</v>
      </c>
      <c r="J17" s="8">
        <f>B17*Parametros!$D$19+C17*Parametros!$D$18+D17*Parametros!$D$17+E17*Parametros!$D$16+F17*Parametros!$D$15</f>
        <v>155.3846153846154</v>
      </c>
      <c r="K17" s="11" t="str">
        <f>IF(I17&lt;=Parametros!$B$11,"OK","ERROR")</f>
        <v>OK</v>
      </c>
    </row>
    <row r="18" spans="1:11">
      <c r="A18" s="4" t="s">
        <v>169</v>
      </c>
      <c r="B18" s="6">
        <v>4</v>
      </c>
      <c r="C18" s="6">
        <v>1</v>
      </c>
      <c r="D18" s="6">
        <v>0</v>
      </c>
      <c r="E18" s="6">
        <v>1</v>
      </c>
      <c r="F18" s="6">
        <v>0</v>
      </c>
      <c r="G18" s="10">
        <f>B18*Parametros!$B$19+C18*Parametros!$B$18+D18*Parametros!$B$17+E18*Parametros!$B$16+F18*Parametros!$B$15</f>
        <v>39.0</v>
      </c>
      <c r="H18" s="11" t="str">
        <f>IF(G18=Parametros!$B$7,"OK","ERROR")</f>
        <v>OK</v>
      </c>
      <c r="I18" s="8">
        <f>B18*Parametros!$G$19+C18*Parametros!$G$18+D18*Parametros!$G$17+E18*Parametros!$G$16+F18*Parametros!$G$15</f>
        <v>126.9230769230769</v>
      </c>
      <c r="J18" s="8">
        <f>B18*Parametros!$D$19+C18*Parametros!$D$18+D18*Parametros!$D$17+E18*Parametros!$D$16+F18*Parametros!$D$15</f>
        <v>150.0</v>
      </c>
      <c r="K18" s="11" t="str">
        <f>IF(I18&lt;=Parametros!$B$11,"OK","ERROR")</f>
        <v>OK</v>
      </c>
    </row>
    <row r="19" spans="1:11">
      <c r="A19" s="9" t="s">
        <v>166</v>
      </c>
      <c r="B19" s="10">
        <f>SUM(B15:B18)</f>
        <v>13.0</v>
      </c>
      <c r="C19" s="10">
        <f>SUM(C15:C18)</f>
        <v>6.0</v>
      </c>
      <c r="D19" s="10">
        <f>SUM(D15:D18)</f>
        <v>1.0</v>
      </c>
      <c r="E19" s="10">
        <f>SUM(E15:E18)</f>
        <v>7.0</v>
      </c>
      <c r="F19" s="10">
        <f>SUM(F15:F18)</f>
        <v>5.0</v>
      </c>
      <c r="G19" s="10">
        <f>B19*Parametros!$B$19+C19*Parametros!$B$18+D19*Parametros!$B$17+E19*Parametros!$B$16+F19*Parametros!$B$15</f>
        <v>156.0</v>
      </c>
    </row>
    <row r="20" spans="1:11">
      <c r="A20" s="4" t="s">
        <v>167</v>
      </c>
      <c r="B20" s="7">
        <f>Mezclas!$D$6</f>
        <v>13</v>
      </c>
      <c r="C20" s="7">
        <f>Mezclas!$D$7</f>
        <v>6</v>
      </c>
      <c r="D20" s="7">
        <f>Mezclas!$D$8</f>
        <v>1</v>
      </c>
      <c r="E20" s="7">
        <f>Mezclas!$D$9</f>
        <v>7</v>
      </c>
      <c r="F20" s="7">
        <f>Mezclas!$D$10</f>
        <v>5</v>
      </c>
      <c r="G20" s="7">
        <f>Planes!$D$5</f>
        <v>156.0</v>
      </c>
    </row>
    <row r="21" spans="1:11">
      <c r="A21" s="4" t="s">
        <v>148</v>
      </c>
      <c r="B21" s="11" t="str">
        <f>IF(B19=B20,"OK","ERROR")</f>
        <v>OK</v>
      </c>
      <c r="C21" s="11" t="str">
        <f>IF(C19=C20,"OK","ERROR")</f>
        <v>OK</v>
      </c>
      <c r="D21" s="11" t="str">
        <f>IF(D19=D20,"OK","ERROR")</f>
        <v>OK</v>
      </c>
      <c r="E21" s="11" t="str">
        <f>IF(E19=E20,"OK","ERROR")</f>
        <v>OK</v>
      </c>
      <c r="F21" s="11" t="str">
        <f>IF(F19=F20,"OK","ERROR")</f>
        <v>OK</v>
      </c>
      <c r="G21" s="11" t="str">
        <f>IF(G19=G20,"OK","ERROR")</f>
        <v>OK</v>
      </c>
    </row>
    <row r="23" spans="1:11">
      <c r="A23" s="9" t="s">
        <v>170</v>
      </c>
    </row>
    <row r="24" spans="1:11">
      <c r="A24" s="3" t="s">
        <v>43</v>
      </c>
      <c r="B24" s="3" t="s">
        <v>35</v>
      </c>
      <c r="C24" s="3" t="s">
        <v>33</v>
      </c>
      <c r="D24" s="3" t="s">
        <v>31</v>
      </c>
      <c r="E24" s="3" t="s">
        <v>29</v>
      </c>
      <c r="F24" s="3" t="s">
        <v>27</v>
      </c>
      <c r="G24" s="3" t="s">
        <v>21</v>
      </c>
      <c r="H24" s="3" t="s">
        <v>148</v>
      </c>
      <c r="I24" s="3" t="s">
        <v>160</v>
      </c>
      <c r="J24" s="3" t="s">
        <v>161</v>
      </c>
      <c r="K24" s="3" t="s">
        <v>162</v>
      </c>
    </row>
    <row r="25" spans="1:11">
      <c r="A25" s="4" t="s">
        <v>163</v>
      </c>
      <c r="B25" s="6">
        <v>3</v>
      </c>
      <c r="C25" s="6">
        <v>2</v>
      </c>
      <c r="D25" s="6">
        <v>0</v>
      </c>
      <c r="E25" s="6">
        <v>2</v>
      </c>
      <c r="F25" s="6">
        <v>1</v>
      </c>
      <c r="G25" s="10">
        <f>B25*Parametros!$B$19+C25*Parametros!$B$18+D25*Parametros!$B$17+E25*Parametros!$B$16+F25*Parametros!$B$15</f>
        <v>39.0</v>
      </c>
      <c r="H25" s="11" t="str">
        <f>IF(G25=Parametros!$B$7,"OK","ERROR")</f>
        <v>OK</v>
      </c>
      <c r="I25" s="8">
        <f>B25*Parametros!$G$19+C25*Parametros!$G$18+D25*Parametros!$G$17+E25*Parametros!$G$16+F25*Parametros!$G$15</f>
        <v>127.30769230769229</v>
      </c>
      <c r="J25" s="8">
        <f>B25*Parametros!$D$19+C25*Parametros!$D$18+D25*Parametros!$D$17+E25*Parametros!$D$16+F25*Parametros!$D$15</f>
        <v>154.6153846153846</v>
      </c>
      <c r="K25" s="11" t="str">
        <f>IF(I25&lt;=Parametros!$B$11,"OK","ERROR")</f>
        <v>OK</v>
      </c>
    </row>
    <row r="26" spans="1:11">
      <c r="A26" s="4" t="s">
        <v>164</v>
      </c>
      <c r="B26" s="6">
        <v>3</v>
      </c>
      <c r="C26" s="6">
        <v>1</v>
      </c>
      <c r="D26" s="6">
        <v>1</v>
      </c>
      <c r="E26" s="6">
        <v>2</v>
      </c>
      <c r="F26" s="6">
        <v>3</v>
      </c>
      <c r="G26" s="10">
        <f>B26*Parametros!$B$19+C26*Parametros!$B$18+D26*Parametros!$B$17+E26*Parametros!$B$16+F26*Parametros!$B$15</f>
        <v>39.0</v>
      </c>
      <c r="H26" s="11" t="str">
        <f>IF(G26=Parametros!$B$7,"OK","ERROR")</f>
        <v>OK</v>
      </c>
      <c r="I26" s="8">
        <f>B26*Parametros!$G$19+C26*Parametros!$G$18+D26*Parametros!$G$17+E26*Parametros!$G$16+F26*Parametros!$G$15</f>
        <v>125.38461538461537</v>
      </c>
      <c r="J26" s="8">
        <f>B26*Parametros!$D$19+C26*Parametros!$D$18+D26*Parametros!$D$17+E26*Parametros!$D$16+F26*Parametros!$D$15</f>
        <v>155.3846153846154</v>
      </c>
      <c r="K26" s="11" t="str">
        <f>IF(I26&lt;=Parametros!$B$11,"OK","ERROR")</f>
        <v>OK</v>
      </c>
    </row>
    <row r="27" spans="1:11">
      <c r="A27" s="4" t="s">
        <v>165</v>
      </c>
      <c r="B27" s="6">
        <v>3</v>
      </c>
      <c r="C27" s="6">
        <v>2</v>
      </c>
      <c r="D27" s="6">
        <v>0</v>
      </c>
      <c r="E27" s="6">
        <v>2</v>
      </c>
      <c r="F27" s="6">
        <v>1</v>
      </c>
      <c r="G27" s="10">
        <f>B27*Parametros!$B$19+C27*Parametros!$B$18+D27*Parametros!$B$17+E27*Parametros!$B$16+F27*Parametros!$B$15</f>
        <v>39.0</v>
      </c>
      <c r="H27" s="11" t="str">
        <f>IF(G27=Parametros!$B$7,"OK","ERROR")</f>
        <v>OK</v>
      </c>
      <c r="I27" s="8">
        <f>B27*Parametros!$G$19+C27*Parametros!$G$18+D27*Parametros!$G$17+E27*Parametros!$G$16+F27*Parametros!$G$15</f>
        <v>127.30769230769229</v>
      </c>
      <c r="J27" s="8">
        <f>B27*Parametros!$D$19+C27*Parametros!$D$18+D27*Parametros!$D$17+E27*Parametros!$D$16+F27*Parametros!$D$15</f>
        <v>154.6153846153846</v>
      </c>
      <c r="K27" s="11" t="str">
        <f>IF(I27&lt;=Parametros!$B$11,"OK","ERROR")</f>
        <v>OK</v>
      </c>
    </row>
    <row r="28" spans="1:11">
      <c r="A28" s="4" t="s">
        <v>169</v>
      </c>
      <c r="B28" s="6">
        <v>3</v>
      </c>
      <c r="C28" s="6">
        <v>1</v>
      </c>
      <c r="D28" s="6">
        <v>1</v>
      </c>
      <c r="E28" s="6">
        <v>2</v>
      </c>
      <c r="F28" s="6">
        <v>3</v>
      </c>
      <c r="G28" s="10">
        <f>B28*Parametros!$B$19+C28*Parametros!$B$18+D28*Parametros!$B$17+E28*Parametros!$B$16+F28*Parametros!$B$15</f>
        <v>39.0</v>
      </c>
      <c r="H28" s="11" t="str">
        <f>IF(G28=Parametros!$B$7,"OK","ERROR")</f>
        <v>OK</v>
      </c>
      <c r="I28" s="8">
        <f>B28*Parametros!$G$19+C28*Parametros!$G$18+D28*Parametros!$G$17+E28*Parametros!$G$16+F28*Parametros!$G$15</f>
        <v>125.38461538461537</v>
      </c>
      <c r="J28" s="8">
        <f>B28*Parametros!$D$19+C28*Parametros!$D$18+D28*Parametros!$D$17+E28*Parametros!$D$16+F28*Parametros!$D$15</f>
        <v>155.3846153846154</v>
      </c>
      <c r="K28" s="11" t="str">
        <f>IF(I28&lt;=Parametros!$B$11,"OK","ERROR")</f>
        <v>OK</v>
      </c>
    </row>
    <row r="29" spans="1:11">
      <c r="A29" s="4" t="s">
        <v>171</v>
      </c>
      <c r="B29" s="6">
        <v>4</v>
      </c>
      <c r="C29" s="6">
        <v>1</v>
      </c>
      <c r="D29" s="6">
        <v>0</v>
      </c>
      <c r="E29" s="6">
        <v>1</v>
      </c>
      <c r="F29" s="6">
        <v>0</v>
      </c>
      <c r="G29" s="10">
        <f>B29*Parametros!$B$19+C29*Parametros!$B$18+D29*Parametros!$B$17+E29*Parametros!$B$16+F29*Parametros!$B$15</f>
        <v>39.0</v>
      </c>
      <c r="H29" s="11" t="str">
        <f>IF(G29=Parametros!$B$7,"OK","ERROR")</f>
        <v>OK</v>
      </c>
      <c r="I29" s="8">
        <f>B29*Parametros!$G$19+C29*Parametros!$G$18+D29*Parametros!$G$17+E29*Parametros!$G$16+F29*Parametros!$G$15</f>
        <v>126.9230769230769</v>
      </c>
      <c r="J29" s="8">
        <f>B29*Parametros!$D$19+C29*Parametros!$D$18+D29*Parametros!$D$17+E29*Parametros!$D$16+F29*Parametros!$D$15</f>
        <v>150.0</v>
      </c>
      <c r="K29" s="11" t="str">
        <f>IF(I29&lt;=Parametros!$B$11,"OK","ERROR")</f>
        <v>OK</v>
      </c>
    </row>
    <row r="30" spans="1:11">
      <c r="A30" s="9" t="s">
        <v>166</v>
      </c>
      <c r="B30" s="10">
        <f>SUM(B25:B29)</f>
        <v>16.0</v>
      </c>
      <c r="C30" s="10">
        <f>SUM(C25:C29)</f>
        <v>7.0</v>
      </c>
      <c r="D30" s="10">
        <f>SUM(D25:D29)</f>
        <v>2.0</v>
      </c>
      <c r="E30" s="10">
        <f>SUM(E25:E29)</f>
        <v>9.0</v>
      </c>
      <c r="F30" s="10">
        <f>SUM(F25:F29)</f>
        <v>8.0</v>
      </c>
      <c r="G30" s="10">
        <f>B30*Parametros!$B$19+C30*Parametros!$B$18+D30*Parametros!$B$17+E30*Parametros!$B$16+F30*Parametros!$B$15</f>
        <v>195.0</v>
      </c>
    </row>
    <row r="31" spans="1:11">
      <c r="A31" s="4" t="s">
        <v>167</v>
      </c>
      <c r="B31" s="7">
        <f>Mezclas!$E$6</f>
        <v>16</v>
      </c>
      <c r="C31" s="7">
        <f>Mezclas!$E$7</f>
        <v>7</v>
      </c>
      <c r="D31" s="7">
        <f>Mezclas!$E$8</f>
        <v>2</v>
      </c>
      <c r="E31" s="7">
        <f>Mezclas!$E$9</f>
        <v>9</v>
      </c>
      <c r="F31" s="7">
        <f>Mezclas!$E$10</f>
        <v>8</v>
      </c>
      <c r="G31" s="7">
        <f>Planes!$D$6</f>
        <v>195.0</v>
      </c>
    </row>
    <row r="32" spans="1:11">
      <c r="A32" s="4" t="s">
        <v>148</v>
      </c>
      <c r="B32" s="11" t="str">
        <f>IF(B30=B31,"OK","ERROR")</f>
        <v>OK</v>
      </c>
      <c r="C32" s="11" t="str">
        <f>IF(C30=C31,"OK","ERROR")</f>
        <v>OK</v>
      </c>
      <c r="D32" s="11" t="str">
        <f>IF(D30=D31,"OK","ERROR")</f>
        <v>OK</v>
      </c>
      <c r="E32" s="11" t="str">
        <f>IF(E30=E31,"OK","ERROR")</f>
        <v>OK</v>
      </c>
      <c r="F32" s="11" t="str">
        <f>IF(F30=F31,"OK","ERROR")</f>
        <v>OK</v>
      </c>
      <c r="G32" s="11" t="str">
        <f>IF(G30=G31,"OK","ERROR")</f>
        <v>OK</v>
      </c>
    </row>
    <row r="34" spans="1:11">
      <c r="A34" s="9" t="s">
        <v>172</v>
      </c>
    </row>
    <row r="35" spans="1:11">
      <c r="A35" s="3" t="s">
        <v>43</v>
      </c>
      <c r="B35" s="3" t="s">
        <v>35</v>
      </c>
      <c r="C35" s="3" t="s">
        <v>33</v>
      </c>
      <c r="D35" s="3" t="s">
        <v>31</v>
      </c>
      <c r="E35" s="3" t="s">
        <v>29</v>
      </c>
      <c r="F35" s="3" t="s">
        <v>27</v>
      </c>
      <c r="G35" s="3" t="s">
        <v>21</v>
      </c>
      <c r="H35" s="3" t="s">
        <v>148</v>
      </c>
      <c r="I35" s="3" t="s">
        <v>160</v>
      </c>
      <c r="J35" s="3" t="s">
        <v>161</v>
      </c>
      <c r="K35" s="3" t="s">
        <v>162</v>
      </c>
    </row>
    <row r="36" spans="1:11">
      <c r="A36" s="4" t="s">
        <v>163</v>
      </c>
      <c r="B36" s="6">
        <v>1</v>
      </c>
      <c r="C36" s="6">
        <v>2</v>
      </c>
      <c r="D36" s="6">
        <v>4</v>
      </c>
      <c r="E36" s="6">
        <v>4</v>
      </c>
      <c r="F36" s="6">
        <v>1</v>
      </c>
      <c r="G36" s="10">
        <f>B36*Parametros!$B$19+C36*Parametros!$B$18+D36*Parametros!$B$17+E36*Parametros!$B$16+F36*Parametros!$B$15</f>
        <v>39.0</v>
      </c>
      <c r="H36" s="11" t="str">
        <f>IF(G36=Parametros!$B$7,"OK","ERROR")</f>
        <v>OK</v>
      </c>
      <c r="I36" s="8">
        <f>B36*Parametros!$G$19+C36*Parametros!$G$18+D36*Parametros!$G$17+E36*Parametros!$G$16+F36*Parametros!$G$15</f>
        <v>131.92307692307693</v>
      </c>
      <c r="J36" s="8">
        <f>B36*Parametros!$D$19+C36*Parametros!$D$18+D36*Parametros!$D$17+E36*Parametros!$D$16+F36*Parametros!$D$15</f>
        <v>163.84615384615384</v>
      </c>
      <c r="K36" s="11" t="str">
        <f>IF(I36&lt;=Parametros!$B$11,"OK","ERROR")</f>
        <v>OK</v>
      </c>
    </row>
    <row r="37" spans="1:11">
      <c r="A37" s="4" t="s">
        <v>164</v>
      </c>
      <c r="B37" s="6">
        <v>1</v>
      </c>
      <c r="C37" s="6">
        <v>2</v>
      </c>
      <c r="D37" s="6">
        <v>3</v>
      </c>
      <c r="E37" s="6">
        <v>5</v>
      </c>
      <c r="F37" s="6">
        <v>2</v>
      </c>
      <c r="G37" s="10">
        <f>B37*Parametros!$B$19+C37*Parametros!$B$18+D37*Parametros!$B$17+E37*Parametros!$B$16+F37*Parametros!$B$15</f>
        <v>39.0</v>
      </c>
      <c r="H37" s="11" t="str">
        <f>IF(G37=Parametros!$B$7,"OK","ERROR")</f>
        <v>OK</v>
      </c>
      <c r="I37" s="8">
        <f>B37*Parametros!$G$19+C37*Parametros!$G$18+D37*Parametros!$G$17+E37*Parametros!$G$16+F37*Parametros!$G$15</f>
        <v>130.0</v>
      </c>
      <c r="J37" s="8">
        <f>B37*Parametros!$D$19+C37*Parametros!$D$18+D37*Parametros!$D$17+E37*Parametros!$D$16+F37*Parametros!$D$15</f>
        <v>163.8461538461538</v>
      </c>
      <c r="K37" s="11" t="str">
        <f>IF(I37&lt;=Parametros!$B$11,"OK","ERROR")</f>
        <v>OK</v>
      </c>
    </row>
    <row r="38" spans="1:11">
      <c r="A38" s="4" t="s">
        <v>165</v>
      </c>
      <c r="B38" s="6">
        <v>2</v>
      </c>
      <c r="C38" s="6">
        <v>2</v>
      </c>
      <c r="D38" s="6">
        <v>3</v>
      </c>
      <c r="E38" s="6">
        <v>1</v>
      </c>
      <c r="F38" s="6">
        <v>2</v>
      </c>
      <c r="G38" s="10">
        <f>B38*Parametros!$B$19+C38*Parametros!$B$18+D38*Parametros!$B$17+E38*Parametros!$B$16+F38*Parametros!$B$15</f>
        <v>39.0</v>
      </c>
      <c r="H38" s="11" t="str">
        <f>IF(G38=Parametros!$B$7,"OK","ERROR")</f>
        <v>OK</v>
      </c>
      <c r="I38" s="8">
        <f>B38*Parametros!$G$19+C38*Parametros!$G$18+D38*Parametros!$G$17+E38*Parametros!$G$16+F38*Parametros!$G$15</f>
        <v>129.6153846153846</v>
      </c>
      <c r="J38" s="8">
        <f>B38*Parametros!$D$19+C38*Parametros!$D$18+D38*Parametros!$D$17+E38*Parametros!$D$16+F38*Parametros!$D$15</f>
        <v>159.99999999999997</v>
      </c>
      <c r="K38" s="11" t="str">
        <f>IF(I38&lt;=Parametros!$B$11,"OK","ERROR")</f>
        <v>OK</v>
      </c>
    </row>
    <row r="39" spans="1:11">
      <c r="A39" s="9" t="s">
        <v>166</v>
      </c>
      <c r="B39" s="10">
        <f>SUM(B36:B38)</f>
        <v>4.0</v>
      </c>
      <c r="C39" s="10">
        <f>SUM(C36:C38)</f>
        <v>6.0</v>
      </c>
      <c r="D39" s="10">
        <f>SUM(D36:D38)</f>
        <v>10.0</v>
      </c>
      <c r="E39" s="10">
        <f>SUM(E36:E38)</f>
        <v>10.0</v>
      </c>
      <c r="F39" s="10">
        <f>SUM(F36:F38)</f>
        <v>5.0</v>
      </c>
      <c r="G39" s="10">
        <f>B39*Parametros!$B$19+C39*Parametros!$B$18+D39*Parametros!$B$17+E39*Parametros!$B$16+F39*Parametros!$B$15</f>
        <v>117.0</v>
      </c>
    </row>
    <row r="40" spans="1:11">
      <c r="A40" s="4" t="s">
        <v>167</v>
      </c>
      <c r="B40" s="7">
        <f>Mezclas!$C$26</f>
        <v>4</v>
      </c>
      <c r="C40" s="7">
        <f>Mezclas!$C$27</f>
        <v>6</v>
      </c>
      <c r="D40" s="7">
        <f>Mezclas!$C$28</f>
        <v>10</v>
      </c>
      <c r="E40" s="7">
        <f>Mezclas!$C$29</f>
        <v>10</v>
      </c>
      <c r="F40" s="7">
        <f>Mezclas!$C$30</f>
        <v>5</v>
      </c>
      <c r="G40" s="7">
        <f>Planes!$D$4</f>
        <v>117.0</v>
      </c>
    </row>
    <row r="41" spans="1:11">
      <c r="A41" s="4" t="s">
        <v>148</v>
      </c>
      <c r="B41" s="11" t="str">
        <f>IF(B39=B40,"OK","ERROR")</f>
        <v>OK</v>
      </c>
      <c r="C41" s="11" t="str">
        <f>IF(C39=C40,"OK","ERROR")</f>
        <v>OK</v>
      </c>
      <c r="D41" s="11" t="str">
        <f>IF(D39=D40,"OK","ERROR")</f>
        <v>OK</v>
      </c>
      <c r="E41" s="11" t="str">
        <f>IF(E39=E40,"OK","ERROR")</f>
        <v>OK</v>
      </c>
      <c r="F41" s="11" t="str">
        <f>IF(F39=F40,"OK","ERROR")</f>
        <v>OK</v>
      </c>
      <c r="G41" s="11" t="str">
        <f>IF(G39=G40,"OK","ERROR")</f>
        <v>OK</v>
      </c>
    </row>
    <row r="43" spans="1:11">
      <c r="A43" s="9" t="s">
        <v>173</v>
      </c>
    </row>
    <row r="44" spans="1:11">
      <c r="A44" s="3" t="s">
        <v>43</v>
      </c>
      <c r="B44" s="3" t="s">
        <v>35</v>
      </c>
      <c r="C44" s="3" t="s">
        <v>33</v>
      </c>
      <c r="D44" s="3" t="s">
        <v>31</v>
      </c>
      <c r="E44" s="3" t="s">
        <v>29</v>
      </c>
      <c r="F44" s="3" t="s">
        <v>27</v>
      </c>
      <c r="G44" s="3" t="s">
        <v>21</v>
      </c>
      <c r="H44" s="3" t="s">
        <v>148</v>
      </c>
      <c r="I44" s="3" t="s">
        <v>160</v>
      </c>
      <c r="J44" s="3" t="s">
        <v>161</v>
      </c>
      <c r="K44" s="3" t="s">
        <v>162</v>
      </c>
    </row>
    <row r="45" spans="1:11">
      <c r="A45" s="4" t="s">
        <v>163</v>
      </c>
      <c r="B45" s="6">
        <v>1</v>
      </c>
      <c r="C45" s="6">
        <v>2</v>
      </c>
      <c r="D45" s="6">
        <v>3</v>
      </c>
      <c r="E45" s="6">
        <v>5</v>
      </c>
      <c r="F45" s="6">
        <v>2</v>
      </c>
      <c r="G45" s="10">
        <f>B45*Parametros!$B$19+C45*Parametros!$B$18+D45*Parametros!$B$17+E45*Parametros!$B$16+F45*Parametros!$B$15</f>
        <v>39.0</v>
      </c>
      <c r="H45" s="11" t="str">
        <f>IF(G45=Parametros!$B$7,"OK","ERROR")</f>
        <v>OK</v>
      </c>
      <c r="I45" s="8">
        <f>B45*Parametros!$G$19+C45*Parametros!$G$18+D45*Parametros!$G$17+E45*Parametros!$G$16+F45*Parametros!$G$15</f>
        <v>130.0</v>
      </c>
      <c r="J45" s="8">
        <f>B45*Parametros!$D$19+C45*Parametros!$D$18+D45*Parametros!$D$17+E45*Parametros!$D$16+F45*Parametros!$D$15</f>
        <v>163.8461538461538</v>
      </c>
      <c r="K45" s="11" t="str">
        <f>IF(I45&lt;=Parametros!$B$11,"OK","ERROR")</f>
        <v>OK</v>
      </c>
    </row>
    <row r="46" spans="1:11">
      <c r="A46" s="4" t="s">
        <v>164</v>
      </c>
      <c r="B46" s="6">
        <v>2</v>
      </c>
      <c r="C46" s="6">
        <v>2</v>
      </c>
      <c r="D46" s="6">
        <v>3</v>
      </c>
      <c r="E46" s="6">
        <v>1</v>
      </c>
      <c r="F46" s="6">
        <v>2</v>
      </c>
      <c r="G46" s="10">
        <f>B46*Parametros!$B$19+C46*Parametros!$B$18+D46*Parametros!$B$17+E46*Parametros!$B$16+F46*Parametros!$B$15</f>
        <v>39.0</v>
      </c>
      <c r="H46" s="11" t="str">
        <f>IF(G46=Parametros!$B$7,"OK","ERROR")</f>
        <v>OK</v>
      </c>
      <c r="I46" s="8">
        <f>B46*Parametros!$G$19+C46*Parametros!$G$18+D46*Parametros!$G$17+E46*Parametros!$G$16+F46*Parametros!$G$15</f>
        <v>129.6153846153846</v>
      </c>
      <c r="J46" s="8">
        <f>B46*Parametros!$D$19+C46*Parametros!$D$18+D46*Parametros!$D$17+E46*Parametros!$D$16+F46*Parametros!$D$15</f>
        <v>159.99999999999997</v>
      </c>
      <c r="K46" s="11" t="str">
        <f>IF(I46&lt;=Parametros!$B$11,"OK","ERROR")</f>
        <v>OK</v>
      </c>
    </row>
    <row r="47" spans="1:11">
      <c r="A47" s="4" t="s">
        <v>165</v>
      </c>
      <c r="B47" s="6">
        <v>1</v>
      </c>
      <c r="C47" s="6">
        <v>2</v>
      </c>
      <c r="D47" s="6">
        <v>3</v>
      </c>
      <c r="E47" s="6">
        <v>5</v>
      </c>
      <c r="F47" s="6">
        <v>2</v>
      </c>
      <c r="G47" s="10">
        <f>B47*Parametros!$B$19+C47*Parametros!$B$18+D47*Parametros!$B$17+E47*Parametros!$B$16+F47*Parametros!$B$15</f>
        <v>39.0</v>
      </c>
      <c r="H47" s="11" t="str">
        <f>IF(G47=Parametros!$B$7,"OK","ERROR")</f>
        <v>OK</v>
      </c>
      <c r="I47" s="8">
        <f>B47*Parametros!$G$19+C47*Parametros!$G$18+D47*Parametros!$G$17+E47*Parametros!$G$16+F47*Parametros!$G$15</f>
        <v>130.0</v>
      </c>
      <c r="J47" s="8">
        <f>B47*Parametros!$D$19+C47*Parametros!$D$18+D47*Parametros!$D$17+E47*Parametros!$D$16+F47*Parametros!$D$15</f>
        <v>163.8461538461538</v>
      </c>
      <c r="K47" s="11" t="str">
        <f>IF(I47&lt;=Parametros!$B$11,"OK","ERROR")</f>
        <v>OK</v>
      </c>
    </row>
    <row r="48" spans="1:11">
      <c r="A48" s="4" t="s">
        <v>169</v>
      </c>
      <c r="B48" s="6">
        <v>2</v>
      </c>
      <c r="C48" s="6">
        <v>2</v>
      </c>
      <c r="D48" s="6">
        <v>3</v>
      </c>
      <c r="E48" s="6">
        <v>1</v>
      </c>
      <c r="F48" s="6">
        <v>2</v>
      </c>
      <c r="G48" s="10">
        <f>B48*Parametros!$B$19+C48*Parametros!$B$18+D48*Parametros!$B$17+E48*Parametros!$B$16+F48*Parametros!$B$15</f>
        <v>39.0</v>
      </c>
      <c r="H48" s="11" t="str">
        <f>IF(G48=Parametros!$B$7,"OK","ERROR")</f>
        <v>OK</v>
      </c>
      <c r="I48" s="8">
        <f>B48*Parametros!$G$19+C48*Parametros!$G$18+D48*Parametros!$G$17+E48*Parametros!$G$16+F48*Parametros!$G$15</f>
        <v>129.6153846153846</v>
      </c>
      <c r="J48" s="8">
        <f>B48*Parametros!$D$19+C48*Parametros!$D$18+D48*Parametros!$D$17+E48*Parametros!$D$16+F48*Parametros!$D$15</f>
        <v>159.99999999999997</v>
      </c>
      <c r="K48" s="11" t="str">
        <f>IF(I48&lt;=Parametros!$B$11,"OK","ERROR")</f>
        <v>OK</v>
      </c>
    </row>
    <row r="49" spans="1:11">
      <c r="A49" s="9" t="s">
        <v>166</v>
      </c>
      <c r="B49" s="10">
        <f>SUM(B45:B48)</f>
        <v>6.0</v>
      </c>
      <c r="C49" s="10">
        <f>SUM(C45:C48)</f>
        <v>8.0</v>
      </c>
      <c r="D49" s="10">
        <f>SUM(D45:D48)</f>
        <v>12.0</v>
      </c>
      <c r="E49" s="10">
        <f>SUM(E45:E48)</f>
        <v>12.0</v>
      </c>
      <c r="F49" s="10">
        <f>SUM(F45:F48)</f>
        <v>8.0</v>
      </c>
      <c r="G49" s="10">
        <f>B49*Parametros!$B$19+C49*Parametros!$B$18+D49*Parametros!$B$17+E49*Parametros!$B$16+F49*Parametros!$B$15</f>
        <v>156.0</v>
      </c>
    </row>
    <row r="50" spans="1:11">
      <c r="A50" s="4" t="s">
        <v>167</v>
      </c>
      <c r="B50" s="7">
        <f>Mezclas!$D$26</f>
        <v>6</v>
      </c>
      <c r="C50" s="7">
        <f>Mezclas!$D$27</f>
        <v>8</v>
      </c>
      <c r="D50" s="7">
        <f>Mezclas!$D$28</f>
        <v>12</v>
      </c>
      <c r="E50" s="7">
        <f>Mezclas!$D$29</f>
        <v>12</v>
      </c>
      <c r="F50" s="7">
        <f>Mezclas!$D$30</f>
        <v>8</v>
      </c>
      <c r="G50" s="7">
        <f>Planes!$D$5</f>
        <v>156.0</v>
      </c>
    </row>
    <row r="51" spans="1:11">
      <c r="A51" s="4" t="s">
        <v>148</v>
      </c>
      <c r="B51" s="11" t="str">
        <f>IF(B49=B50,"OK","ERROR")</f>
        <v>OK</v>
      </c>
      <c r="C51" s="11" t="str">
        <f>IF(C49=C50,"OK","ERROR")</f>
        <v>OK</v>
      </c>
      <c r="D51" s="11" t="str">
        <f>IF(D49=D50,"OK","ERROR")</f>
        <v>OK</v>
      </c>
      <c r="E51" s="11" t="str">
        <f>IF(E49=E50,"OK","ERROR")</f>
        <v>OK</v>
      </c>
      <c r="F51" s="11" t="str">
        <f>IF(F49=F50,"OK","ERROR")</f>
        <v>OK</v>
      </c>
      <c r="G51" s="11" t="str">
        <f>IF(G49=G50,"OK","ERROR")</f>
        <v>OK</v>
      </c>
    </row>
    <row r="53" spans="1:11">
      <c r="A53" s="9" t="s">
        <v>174</v>
      </c>
    </row>
    <row r="54" spans="1:11">
      <c r="A54" s="3" t="s">
        <v>43</v>
      </c>
      <c r="B54" s="3" t="s">
        <v>35</v>
      </c>
      <c r="C54" s="3" t="s">
        <v>33</v>
      </c>
      <c r="D54" s="3" t="s">
        <v>31</v>
      </c>
      <c r="E54" s="3" t="s">
        <v>29</v>
      </c>
      <c r="F54" s="3" t="s">
        <v>27</v>
      </c>
      <c r="G54" s="3" t="s">
        <v>21</v>
      </c>
      <c r="H54" s="3" t="s">
        <v>148</v>
      </c>
      <c r="I54" s="3" t="s">
        <v>160</v>
      </c>
      <c r="J54" s="3" t="s">
        <v>161</v>
      </c>
      <c r="K54" s="3" t="s">
        <v>162</v>
      </c>
    </row>
    <row r="55" spans="1:11">
      <c r="A55" s="4" t="s">
        <v>163</v>
      </c>
      <c r="B55" s="6">
        <v>2</v>
      </c>
      <c r="C55" s="6">
        <v>2</v>
      </c>
      <c r="D55" s="6">
        <v>2</v>
      </c>
      <c r="E55" s="6">
        <v>3</v>
      </c>
      <c r="F55" s="6">
        <v>1</v>
      </c>
      <c r="G55" s="10">
        <f>B55*Parametros!$B$19+C55*Parametros!$B$18+D55*Parametros!$B$17+E55*Parametros!$B$16+F55*Parametros!$B$15</f>
        <v>39.0</v>
      </c>
      <c r="H55" s="11" t="str">
        <f>IF(G55=Parametros!$B$7,"OK","ERROR")</f>
        <v>OK</v>
      </c>
      <c r="I55" s="8">
        <f>B55*Parametros!$G$19+C55*Parametros!$G$18+D55*Parametros!$G$17+E55*Parametros!$G$16+F55*Parametros!$G$15</f>
        <v>129.6153846153846</v>
      </c>
      <c r="J55" s="8">
        <f>B55*Parametros!$D$19+C55*Parametros!$D$18+D55*Parametros!$D$17+E55*Parametros!$D$16+F55*Parametros!$D$15</f>
        <v>159.23076923076923</v>
      </c>
      <c r="K55" s="11" t="str">
        <f>IF(I55&lt;=Parametros!$B$11,"OK","ERROR")</f>
        <v>OK</v>
      </c>
    </row>
    <row r="56" spans="1:11">
      <c r="A56" s="4" t="s">
        <v>164</v>
      </c>
      <c r="B56" s="6">
        <v>1</v>
      </c>
      <c r="C56" s="6">
        <v>2</v>
      </c>
      <c r="D56" s="6">
        <v>4</v>
      </c>
      <c r="E56" s="6">
        <v>3</v>
      </c>
      <c r="F56" s="6">
        <v>3</v>
      </c>
      <c r="G56" s="10">
        <f>B56*Parametros!$B$19+C56*Parametros!$B$18+D56*Parametros!$B$17+E56*Parametros!$B$16+F56*Parametros!$B$15</f>
        <v>39.0</v>
      </c>
      <c r="H56" s="11" t="str">
        <f>IF(G56=Parametros!$B$7,"OK","ERROR")</f>
        <v>OK</v>
      </c>
      <c r="I56" s="8">
        <f>B56*Parametros!$G$19+C56*Parametros!$G$18+D56*Parametros!$G$17+E56*Parametros!$G$16+F56*Parametros!$G$15</f>
        <v>130.0</v>
      </c>
      <c r="J56" s="8">
        <f>B56*Parametros!$D$19+C56*Parametros!$D$18+D56*Parametros!$D$17+E56*Parametros!$D$16+F56*Parametros!$D$15</f>
        <v>164.6153846153846</v>
      </c>
      <c r="K56" s="11" t="str">
        <f>IF(I56&lt;=Parametros!$B$11,"OK","ERROR")</f>
        <v>OK</v>
      </c>
    </row>
    <row r="57" spans="1:11">
      <c r="A57" s="4" t="s">
        <v>165</v>
      </c>
      <c r="B57" s="6">
        <v>2</v>
      </c>
      <c r="C57" s="6">
        <v>2</v>
      </c>
      <c r="D57" s="6">
        <v>2</v>
      </c>
      <c r="E57" s="6">
        <v>3</v>
      </c>
      <c r="F57" s="6">
        <v>1</v>
      </c>
      <c r="G57" s="10">
        <f>B57*Parametros!$B$19+C57*Parametros!$B$18+D57*Parametros!$B$17+E57*Parametros!$B$16+F57*Parametros!$B$15</f>
        <v>39.0</v>
      </c>
      <c r="H57" s="11" t="str">
        <f>IF(G57=Parametros!$B$7,"OK","ERROR")</f>
        <v>OK</v>
      </c>
      <c r="I57" s="8">
        <f>B57*Parametros!$G$19+C57*Parametros!$G$18+D57*Parametros!$G$17+E57*Parametros!$G$16+F57*Parametros!$G$15</f>
        <v>129.6153846153846</v>
      </c>
      <c r="J57" s="8">
        <f>B57*Parametros!$D$19+C57*Parametros!$D$18+D57*Parametros!$D$17+E57*Parametros!$D$16+F57*Parametros!$D$15</f>
        <v>159.23076923076923</v>
      </c>
      <c r="K57" s="11" t="str">
        <f>IF(I57&lt;=Parametros!$B$11,"OK","ERROR")</f>
        <v>OK</v>
      </c>
    </row>
    <row r="58" spans="1:11">
      <c r="A58" s="4" t="s">
        <v>169</v>
      </c>
      <c r="B58" s="6">
        <v>1</v>
      </c>
      <c r="C58" s="6">
        <v>2</v>
      </c>
      <c r="D58" s="6">
        <v>4</v>
      </c>
      <c r="E58" s="6">
        <v>3</v>
      </c>
      <c r="F58" s="6">
        <v>3</v>
      </c>
      <c r="G58" s="10">
        <f>B58*Parametros!$B$19+C58*Parametros!$B$18+D58*Parametros!$B$17+E58*Parametros!$B$16+F58*Parametros!$B$15</f>
        <v>39.0</v>
      </c>
      <c r="H58" s="11" t="str">
        <f>IF(G58=Parametros!$B$7,"OK","ERROR")</f>
        <v>OK</v>
      </c>
      <c r="I58" s="8">
        <f>B58*Parametros!$G$19+C58*Parametros!$G$18+D58*Parametros!$G$17+E58*Parametros!$G$16+F58*Parametros!$G$15</f>
        <v>130.0</v>
      </c>
      <c r="J58" s="8">
        <f>B58*Parametros!$D$19+C58*Parametros!$D$18+D58*Parametros!$D$17+E58*Parametros!$D$16+F58*Parametros!$D$15</f>
        <v>164.6153846153846</v>
      </c>
      <c r="K58" s="11" t="str">
        <f>IF(I58&lt;=Parametros!$B$11,"OK","ERROR")</f>
        <v>OK</v>
      </c>
    </row>
    <row r="59" spans="1:11">
      <c r="A59" s="4" t="s">
        <v>171</v>
      </c>
      <c r="B59" s="6">
        <v>2</v>
      </c>
      <c r="C59" s="6">
        <v>2</v>
      </c>
      <c r="D59" s="6">
        <v>3</v>
      </c>
      <c r="E59" s="6">
        <v>2</v>
      </c>
      <c r="F59" s="6">
        <v>0</v>
      </c>
      <c r="G59" s="10">
        <f>B59*Parametros!$B$19+C59*Parametros!$B$18+D59*Parametros!$B$17+E59*Parametros!$B$16+F59*Parametros!$B$15</f>
        <v>39.0</v>
      </c>
      <c r="H59" s="11" t="str">
        <f>IF(G59=Parametros!$B$7,"OK","ERROR")</f>
        <v>OK</v>
      </c>
      <c r="I59" s="8">
        <f>B59*Parametros!$G$19+C59*Parametros!$G$18+D59*Parametros!$G$17+E59*Parametros!$G$16+F59*Parametros!$G$15</f>
        <v>131.53846153846152</v>
      </c>
      <c r="J59" s="8">
        <f>B59*Parametros!$D$19+C59*Parametros!$D$18+D59*Parametros!$D$17+E59*Parametros!$D$16+F59*Parametros!$D$15</f>
        <v>159.23076923076923</v>
      </c>
      <c r="K59" s="11" t="str">
        <f>IF(I59&lt;=Parametros!$B$11,"OK","ERROR")</f>
        <v>OK</v>
      </c>
    </row>
    <row r="60" spans="1:11">
      <c r="A60" s="9" t="s">
        <v>166</v>
      </c>
      <c r="B60" s="10">
        <f>SUM(B55:B59)</f>
        <v>8.0</v>
      </c>
      <c r="C60" s="10">
        <f>SUM(C55:C59)</f>
        <v>10.0</v>
      </c>
      <c r="D60" s="10">
        <f>SUM(D55:D59)</f>
        <v>15.0</v>
      </c>
      <c r="E60" s="10">
        <f>SUM(E55:E59)</f>
        <v>14.0</v>
      </c>
      <c r="F60" s="10">
        <f>SUM(F55:F59)</f>
        <v>8.0</v>
      </c>
      <c r="G60" s="10">
        <f>B60*Parametros!$B$19+C60*Parametros!$B$18+D60*Parametros!$B$17+E60*Parametros!$B$16+F60*Parametros!$B$15</f>
        <v>195.0</v>
      </c>
    </row>
    <row r="61" spans="1:11">
      <c r="A61" s="4" t="s">
        <v>167</v>
      </c>
      <c r="B61" s="7">
        <f>Mezclas!$E$26</f>
        <v>8</v>
      </c>
      <c r="C61" s="7">
        <f>Mezclas!$E$27</f>
        <v>10</v>
      </c>
      <c r="D61" s="7">
        <f>Mezclas!$E$28</f>
        <v>15</v>
      </c>
      <c r="E61" s="7">
        <f>Mezclas!$E$29</f>
        <v>14</v>
      </c>
      <c r="F61" s="7">
        <f>Mezclas!$E$30</f>
        <v>8</v>
      </c>
      <c r="G61" s="7">
        <f>Planes!$D$6</f>
        <v>195.0</v>
      </c>
    </row>
    <row r="62" spans="1:11">
      <c r="A62" s="4" t="s">
        <v>148</v>
      </c>
      <c r="B62" s="11" t="str">
        <f>IF(B60=B61,"OK","ERROR")</f>
        <v>OK</v>
      </c>
      <c r="C62" s="11" t="str">
        <f>IF(C60=C61,"OK","ERROR")</f>
        <v>OK</v>
      </c>
      <c r="D62" s="11" t="str">
        <f>IF(D60=D61,"OK","ERROR")</f>
        <v>OK</v>
      </c>
      <c r="E62" s="11" t="str">
        <f>IF(E60=E61,"OK","ERROR")</f>
        <v>OK</v>
      </c>
      <c r="F62" s="11" t="str">
        <f>IF(F60=F61,"OK","ERROR")</f>
        <v>OK</v>
      </c>
      <c r="G62" s="11" t="str">
        <f>IF(G60=G61,"OK","ERROR")</f>
        <v>OK</v>
      </c>
    </row>
    <row r="64" spans="1:11">
      <c r="A64" s="9" t="s">
        <v>175</v>
      </c>
    </row>
    <row r="65" spans="1:11">
      <c r="A65" s="3" t="s">
        <v>43</v>
      </c>
      <c r="B65" s="3" t="s">
        <v>35</v>
      </c>
      <c r="C65" s="3" t="s">
        <v>33</v>
      </c>
      <c r="D65" s="3" t="s">
        <v>31</v>
      </c>
      <c r="E65" s="3" t="s">
        <v>29</v>
      </c>
      <c r="F65" s="3" t="s">
        <v>27</v>
      </c>
      <c r="G65" s="3" t="s">
        <v>21</v>
      </c>
      <c r="H65" s="3" t="s">
        <v>148</v>
      </c>
      <c r="I65" s="3" t="s">
        <v>160</v>
      </c>
      <c r="J65" s="3" t="s">
        <v>161</v>
      </c>
      <c r="K65" s="3" t="s">
        <v>162</v>
      </c>
    </row>
    <row r="66" spans="1:11">
      <c r="A66" s="4" t="s">
        <v>163</v>
      </c>
      <c r="B66" s="6">
        <v>0</v>
      </c>
      <c r="C66" s="6">
        <v>1</v>
      </c>
      <c r="D66" s="6">
        <v>5</v>
      </c>
      <c r="E66" s="6">
        <v>8</v>
      </c>
      <c r="F66" s="6">
        <v>3</v>
      </c>
      <c r="G66" s="10">
        <f>B66*Parametros!$B$19+C66*Parametros!$B$18+D66*Parametros!$B$17+E66*Parametros!$B$16+F66*Parametros!$B$15</f>
        <v>39.0</v>
      </c>
      <c r="H66" s="11" t="str">
        <f>IF(G66=Parametros!$B$7,"OK","ERROR")</f>
        <v>OK</v>
      </c>
      <c r="I66" s="8">
        <f>B66*Parametros!$G$19+C66*Parametros!$G$18+D66*Parametros!$G$17+E66*Parametros!$G$16+F66*Parametros!$G$15</f>
        <v>130.3846153846154</v>
      </c>
      <c r="J66" s="8">
        <f>B66*Parametros!$D$19+C66*Parametros!$D$18+D66*Parametros!$D$17+E66*Parametros!$D$16+F66*Parametros!$D$15</f>
        <v>168.46153846153845</v>
      </c>
      <c r="K66" s="11" t="str">
        <f>IF(I66&lt;=Parametros!$B$11,"OK","ERROR")</f>
        <v>OK</v>
      </c>
    </row>
    <row r="67" spans="1:11">
      <c r="A67" s="4" t="s">
        <v>164</v>
      </c>
      <c r="B67" s="6">
        <v>0</v>
      </c>
      <c r="C67" s="6">
        <v>0</v>
      </c>
      <c r="D67" s="6">
        <v>5</v>
      </c>
      <c r="E67" s="6">
        <v>9</v>
      </c>
      <c r="F67" s="6">
        <v>6</v>
      </c>
      <c r="G67" s="10">
        <f>B67*Parametros!$B$19+C67*Parametros!$B$18+D67*Parametros!$B$17+E67*Parametros!$B$16+F67*Parametros!$B$15</f>
        <v>39.0</v>
      </c>
      <c r="H67" s="11" t="str">
        <f>IF(G67=Parametros!$B$7,"OK","ERROR")</f>
        <v>OK</v>
      </c>
      <c r="I67" s="8">
        <f>B67*Parametros!$G$19+C67*Parametros!$G$18+D67*Parametros!$G$17+E67*Parametros!$G$16+F67*Parametros!$G$15</f>
        <v>126.53846153846155</v>
      </c>
      <c r="J67" s="8">
        <f>B67*Parametros!$D$19+C67*Parametros!$D$18+D67*Parametros!$D$17+E67*Parametros!$D$16+F67*Parametros!$D$15</f>
        <v>169.23076923076923</v>
      </c>
      <c r="K67" s="11" t="str">
        <f>IF(I67&lt;=Parametros!$B$11,"OK","ERROR")</f>
        <v>OK</v>
      </c>
    </row>
    <row r="68" spans="1:11">
      <c r="A68" s="4" t="s">
        <v>165</v>
      </c>
      <c r="B68" s="6">
        <v>0</v>
      </c>
      <c r="C68" s="6">
        <v>1</v>
      </c>
      <c r="D68" s="6">
        <v>5</v>
      </c>
      <c r="E68" s="6">
        <v>8</v>
      </c>
      <c r="F68" s="6">
        <v>3</v>
      </c>
      <c r="G68" s="10">
        <f>B68*Parametros!$B$19+C68*Parametros!$B$18+D68*Parametros!$B$17+E68*Parametros!$B$16+F68*Parametros!$B$15</f>
        <v>39.0</v>
      </c>
      <c r="H68" s="11" t="str">
        <f>IF(G68=Parametros!$B$7,"OK","ERROR")</f>
        <v>OK</v>
      </c>
      <c r="I68" s="8">
        <f>B68*Parametros!$G$19+C68*Parametros!$G$18+D68*Parametros!$G$17+E68*Parametros!$G$16+F68*Parametros!$G$15</f>
        <v>130.3846153846154</v>
      </c>
      <c r="J68" s="8">
        <f>B68*Parametros!$D$19+C68*Parametros!$D$18+D68*Parametros!$D$17+E68*Parametros!$D$16+F68*Parametros!$D$15</f>
        <v>168.46153846153845</v>
      </c>
      <c r="K68" s="11" t="str">
        <f>IF(I68&lt;=Parametros!$B$11,"OK","ERROR")</f>
        <v>OK</v>
      </c>
    </row>
    <row r="69" spans="1:11">
      <c r="A69" s="9" t="s">
        <v>166</v>
      </c>
      <c r="B69" s="10">
        <f>SUM(B66:B68)</f>
        <v>0.0</v>
      </c>
      <c r="C69" s="10">
        <f>SUM(C66:C68)</f>
        <v>2.0</v>
      </c>
      <c r="D69" s="10">
        <f>SUM(D66:D68)</f>
        <v>15.0</v>
      </c>
      <c r="E69" s="10">
        <f>SUM(E66:E68)</f>
        <v>25.0</v>
      </c>
      <c r="F69" s="10">
        <f>SUM(F66:F68)</f>
        <v>12.0</v>
      </c>
      <c r="G69" s="10">
        <f>B69*Parametros!$B$19+C69*Parametros!$B$18+D69*Parametros!$B$17+E69*Parametros!$B$16+F69*Parametros!$B$15</f>
        <v>117.0</v>
      </c>
    </row>
    <row r="70" spans="1:11">
      <c r="A70" s="4" t="s">
        <v>167</v>
      </c>
      <c r="B70" s="7">
        <f>Mezclas!$C$46</f>
        <v>0</v>
      </c>
      <c r="C70" s="7">
        <f>Mezclas!$C$47</f>
        <v>2</v>
      </c>
      <c r="D70" s="7">
        <f>Mezclas!$C$48</f>
        <v>15</v>
      </c>
      <c r="E70" s="7">
        <f>Mezclas!$C$49</f>
        <v>25</v>
      </c>
      <c r="F70" s="7">
        <f>Mezclas!$C$50</f>
        <v>12</v>
      </c>
      <c r="G70" s="7">
        <f>Planes!$D$4</f>
        <v>117.0</v>
      </c>
    </row>
    <row r="71" spans="1:11">
      <c r="A71" s="4" t="s">
        <v>148</v>
      </c>
      <c r="B71" s="11" t="str">
        <f>IF(B69=B70,"OK","ERROR")</f>
        <v>OK</v>
      </c>
      <c r="C71" s="11" t="str">
        <f>IF(C69=C70,"OK","ERROR")</f>
        <v>OK</v>
      </c>
      <c r="D71" s="11" t="str">
        <f>IF(D69=D70,"OK","ERROR")</f>
        <v>OK</v>
      </c>
      <c r="E71" s="11" t="str">
        <f>IF(E69=E70,"OK","ERROR")</f>
        <v>OK</v>
      </c>
      <c r="F71" s="11" t="str">
        <f>IF(F69=F70,"OK","ERROR")</f>
        <v>OK</v>
      </c>
      <c r="G71" s="11" t="str">
        <f>IF(G69=G70,"OK","ERROR")</f>
        <v>OK</v>
      </c>
    </row>
    <row r="73" spans="1:11">
      <c r="A73" s="9" t="s">
        <v>176</v>
      </c>
    </row>
    <row r="74" spans="1:11">
      <c r="A74" s="3" t="s">
        <v>43</v>
      </c>
      <c r="B74" s="3" t="s">
        <v>35</v>
      </c>
      <c r="C74" s="3" t="s">
        <v>33</v>
      </c>
      <c r="D74" s="3" t="s">
        <v>31</v>
      </c>
      <c r="E74" s="3" t="s">
        <v>29</v>
      </c>
      <c r="F74" s="3" t="s">
        <v>27</v>
      </c>
      <c r="G74" s="3" t="s">
        <v>21</v>
      </c>
      <c r="H74" s="3" t="s">
        <v>148</v>
      </c>
      <c r="I74" s="3" t="s">
        <v>160</v>
      </c>
      <c r="J74" s="3" t="s">
        <v>161</v>
      </c>
      <c r="K74" s="3" t="s">
        <v>162</v>
      </c>
    </row>
    <row r="75" spans="1:11">
      <c r="A75" s="4" t="s">
        <v>163</v>
      </c>
      <c r="B75" s="6">
        <v>0</v>
      </c>
      <c r="C75" s="6">
        <v>1</v>
      </c>
      <c r="D75" s="6">
        <v>5</v>
      </c>
      <c r="E75" s="6">
        <v>7</v>
      </c>
      <c r="F75" s="6">
        <v>5</v>
      </c>
      <c r="G75" s="10">
        <f>B75*Parametros!$B$19+C75*Parametros!$B$18+D75*Parametros!$B$17+E75*Parametros!$B$16+F75*Parametros!$B$15</f>
        <v>39.0</v>
      </c>
      <c r="H75" s="11" t="str">
        <f>IF(G75=Parametros!$B$7,"OK","ERROR")</f>
        <v>OK</v>
      </c>
      <c r="I75" s="8">
        <f>B75*Parametros!$G$19+C75*Parametros!$G$18+D75*Parametros!$G$17+E75*Parametros!$G$16+F75*Parametros!$G$15</f>
        <v>128.46153846153848</v>
      </c>
      <c r="J75" s="8">
        <f>B75*Parametros!$D$19+C75*Parametros!$D$18+D75*Parametros!$D$17+E75*Parametros!$D$16+F75*Parametros!$D$15</f>
        <v>169.23076923076923</v>
      </c>
      <c r="K75" s="11" t="str">
        <f>IF(I75&lt;=Parametros!$B$11,"OK","ERROR")</f>
        <v>OK</v>
      </c>
    </row>
    <row r="76" spans="1:11">
      <c r="A76" s="4" t="s">
        <v>164</v>
      </c>
      <c r="B76" s="6">
        <v>0</v>
      </c>
      <c r="C76" s="6">
        <v>1</v>
      </c>
      <c r="D76" s="6">
        <v>5</v>
      </c>
      <c r="E76" s="6">
        <v>7</v>
      </c>
      <c r="F76" s="6">
        <v>5</v>
      </c>
      <c r="G76" s="10">
        <f>B76*Parametros!$B$19+C76*Parametros!$B$18+D76*Parametros!$B$17+E76*Parametros!$B$16+F76*Parametros!$B$15</f>
        <v>39.0</v>
      </c>
      <c r="H76" s="11" t="str">
        <f>IF(G76=Parametros!$B$7,"OK","ERROR")</f>
        <v>OK</v>
      </c>
      <c r="I76" s="8">
        <f>B76*Parametros!$G$19+C76*Parametros!$G$18+D76*Parametros!$G$17+E76*Parametros!$G$16+F76*Parametros!$G$15</f>
        <v>128.46153846153848</v>
      </c>
      <c r="J76" s="8">
        <f>B76*Parametros!$D$19+C76*Parametros!$D$18+D76*Parametros!$D$17+E76*Parametros!$D$16+F76*Parametros!$D$15</f>
        <v>169.23076923076923</v>
      </c>
      <c r="K76" s="11" t="str">
        <f>IF(I76&lt;=Parametros!$B$11,"OK","ERROR")</f>
        <v>OK</v>
      </c>
    </row>
    <row r="77" spans="1:11">
      <c r="A77" s="4" t="s">
        <v>165</v>
      </c>
      <c r="B77" s="6">
        <v>0</v>
      </c>
      <c r="C77" s="6">
        <v>0</v>
      </c>
      <c r="D77" s="6">
        <v>5</v>
      </c>
      <c r="E77" s="6">
        <v>9</v>
      </c>
      <c r="F77" s="6">
        <v>6</v>
      </c>
      <c r="G77" s="10">
        <f>B77*Parametros!$B$19+C77*Parametros!$B$18+D77*Parametros!$B$17+E77*Parametros!$B$16+F77*Parametros!$B$15</f>
        <v>39.0</v>
      </c>
      <c r="H77" s="11" t="str">
        <f>IF(G77=Parametros!$B$7,"OK","ERROR")</f>
        <v>OK</v>
      </c>
      <c r="I77" s="8">
        <f>B77*Parametros!$G$19+C77*Parametros!$G$18+D77*Parametros!$G$17+E77*Parametros!$G$16+F77*Parametros!$G$15</f>
        <v>126.53846153846155</v>
      </c>
      <c r="J77" s="8">
        <f>B77*Parametros!$D$19+C77*Parametros!$D$18+D77*Parametros!$D$17+E77*Parametros!$D$16+F77*Parametros!$D$15</f>
        <v>169.23076923076923</v>
      </c>
      <c r="K77" s="11" t="str">
        <f>IF(I77&lt;=Parametros!$B$11,"OK","ERROR")</f>
        <v>OK</v>
      </c>
    </row>
    <row r="78" spans="1:11">
      <c r="A78" s="4" t="s">
        <v>169</v>
      </c>
      <c r="B78" s="6">
        <v>0</v>
      </c>
      <c r="C78" s="6">
        <v>1</v>
      </c>
      <c r="D78" s="6">
        <v>5</v>
      </c>
      <c r="E78" s="6">
        <v>7</v>
      </c>
      <c r="F78" s="6">
        <v>5</v>
      </c>
      <c r="G78" s="10">
        <f>B78*Parametros!$B$19+C78*Parametros!$B$18+D78*Parametros!$B$17+E78*Parametros!$B$16+F78*Parametros!$B$15</f>
        <v>39.0</v>
      </c>
      <c r="H78" s="11" t="str">
        <f>IF(G78=Parametros!$B$7,"OK","ERROR")</f>
        <v>OK</v>
      </c>
      <c r="I78" s="8">
        <f>B78*Parametros!$G$19+C78*Parametros!$G$18+D78*Parametros!$G$17+E78*Parametros!$G$16+F78*Parametros!$G$15</f>
        <v>128.46153846153848</v>
      </c>
      <c r="J78" s="8">
        <f>B78*Parametros!$D$19+C78*Parametros!$D$18+D78*Parametros!$D$17+E78*Parametros!$D$16+F78*Parametros!$D$15</f>
        <v>169.23076923076923</v>
      </c>
      <c r="K78" s="11" t="str">
        <f>IF(I78&lt;=Parametros!$B$11,"OK","ERROR")</f>
        <v>OK</v>
      </c>
    </row>
    <row r="79" spans="1:11">
      <c r="A79" s="9" t="s">
        <v>166</v>
      </c>
      <c r="B79" s="10">
        <f>SUM(B75:B78)</f>
        <v>0.0</v>
      </c>
      <c r="C79" s="10">
        <f>SUM(C75:C78)</f>
        <v>3.0</v>
      </c>
      <c r="D79" s="10">
        <f>SUM(D75:D78)</f>
        <v>20.0</v>
      </c>
      <c r="E79" s="10">
        <f>SUM(E75:E78)</f>
        <v>30.0</v>
      </c>
      <c r="F79" s="10">
        <f>SUM(F75:F78)</f>
        <v>21.0</v>
      </c>
      <c r="G79" s="10">
        <f>B79*Parametros!$B$19+C79*Parametros!$B$18+D79*Parametros!$B$17+E79*Parametros!$B$16+F79*Parametros!$B$15</f>
        <v>156.0</v>
      </c>
    </row>
    <row r="80" spans="1:11">
      <c r="A80" s="4" t="s">
        <v>167</v>
      </c>
      <c r="B80" s="7">
        <f>Mezclas!$D$46</f>
        <v>0</v>
      </c>
      <c r="C80" s="7">
        <f>Mezclas!$D$47</f>
        <v>3</v>
      </c>
      <c r="D80" s="7">
        <f>Mezclas!$D$48</f>
        <v>20</v>
      </c>
      <c r="E80" s="7">
        <f>Mezclas!$D$49</f>
        <v>30</v>
      </c>
      <c r="F80" s="7">
        <f>Mezclas!$D$50</f>
        <v>21</v>
      </c>
      <c r="G80" s="7">
        <f>Planes!$D$5</f>
        <v>156.0</v>
      </c>
    </row>
    <row r="81" spans="1:11">
      <c r="A81" s="4" t="s">
        <v>148</v>
      </c>
      <c r="B81" s="11" t="str">
        <f>IF(B79=B80,"OK","ERROR")</f>
        <v>OK</v>
      </c>
      <c r="C81" s="11" t="str">
        <f>IF(C79=C80,"OK","ERROR")</f>
        <v>OK</v>
      </c>
      <c r="D81" s="11" t="str">
        <f>IF(D79=D80,"OK","ERROR")</f>
        <v>OK</v>
      </c>
      <c r="E81" s="11" t="str">
        <f>IF(E79=E80,"OK","ERROR")</f>
        <v>OK</v>
      </c>
      <c r="F81" s="11" t="str">
        <f>IF(F79=F80,"OK","ERROR")</f>
        <v>OK</v>
      </c>
      <c r="G81" s="11" t="str">
        <f>IF(G79=G80,"OK","ERROR")</f>
        <v>OK</v>
      </c>
    </row>
    <row r="83" spans="1:11">
      <c r="A83" s="9" t="s">
        <v>177</v>
      </c>
    </row>
    <row r="84" spans="1:11">
      <c r="A84" s="3" t="s">
        <v>43</v>
      </c>
      <c r="B84" s="3" t="s">
        <v>35</v>
      </c>
      <c r="C84" s="3" t="s">
        <v>33</v>
      </c>
      <c r="D84" s="3" t="s">
        <v>31</v>
      </c>
      <c r="E84" s="3" t="s">
        <v>29</v>
      </c>
      <c r="F84" s="3" t="s">
        <v>27</v>
      </c>
      <c r="G84" s="3" t="s">
        <v>21</v>
      </c>
      <c r="H84" s="3" t="s">
        <v>148</v>
      </c>
      <c r="I84" s="3" t="s">
        <v>160</v>
      </c>
      <c r="J84" s="3" t="s">
        <v>161</v>
      </c>
      <c r="K84" s="3" t="s">
        <v>162</v>
      </c>
    </row>
    <row r="85" spans="1:11">
      <c r="A85" s="4" t="s">
        <v>163</v>
      </c>
      <c r="B85" s="6">
        <v>0</v>
      </c>
      <c r="C85" s="6">
        <v>1</v>
      </c>
      <c r="D85" s="6">
        <v>5</v>
      </c>
      <c r="E85" s="6">
        <v>8</v>
      </c>
      <c r="F85" s="6">
        <v>3</v>
      </c>
      <c r="G85" s="10">
        <f>B85*Parametros!$B$19+C85*Parametros!$B$18+D85*Parametros!$B$17+E85*Parametros!$B$16+F85*Parametros!$B$15</f>
        <v>39.0</v>
      </c>
      <c r="H85" s="11" t="str">
        <f>IF(G85=Parametros!$B$7,"OK","ERROR")</f>
        <v>OK</v>
      </c>
      <c r="I85" s="8">
        <f>B85*Parametros!$G$19+C85*Parametros!$G$18+D85*Parametros!$G$17+E85*Parametros!$G$16+F85*Parametros!$G$15</f>
        <v>130.3846153846154</v>
      </c>
      <c r="J85" s="8">
        <f>B85*Parametros!$D$19+C85*Parametros!$D$18+D85*Parametros!$D$17+E85*Parametros!$D$16+F85*Parametros!$D$15</f>
        <v>168.46153846153845</v>
      </c>
      <c r="K85" s="11" t="str">
        <f>IF(I85&lt;=Parametros!$B$11,"OK","ERROR")</f>
        <v>OK</v>
      </c>
    </row>
    <row r="86" spans="1:11">
      <c r="A86" s="4" t="s">
        <v>164</v>
      </c>
      <c r="B86" s="6">
        <v>0</v>
      </c>
      <c r="C86" s="6">
        <v>1</v>
      </c>
      <c r="D86" s="6">
        <v>5</v>
      </c>
      <c r="E86" s="6">
        <v>8</v>
      </c>
      <c r="F86" s="6">
        <v>3</v>
      </c>
      <c r="G86" s="10">
        <f>B86*Parametros!$B$19+C86*Parametros!$B$18+D86*Parametros!$B$17+E86*Parametros!$B$16+F86*Parametros!$B$15</f>
        <v>39.0</v>
      </c>
      <c r="H86" s="11" t="str">
        <f>IF(G86=Parametros!$B$7,"OK","ERROR")</f>
        <v>OK</v>
      </c>
      <c r="I86" s="8">
        <f>B86*Parametros!$G$19+C86*Parametros!$G$18+D86*Parametros!$G$17+E86*Parametros!$G$16+F86*Parametros!$G$15</f>
        <v>130.3846153846154</v>
      </c>
      <c r="J86" s="8">
        <f>B86*Parametros!$D$19+C86*Parametros!$D$18+D86*Parametros!$D$17+E86*Parametros!$D$16+F86*Parametros!$D$15</f>
        <v>168.46153846153845</v>
      </c>
      <c r="K86" s="11" t="str">
        <f>IF(I86&lt;=Parametros!$B$11,"OK","ERROR")</f>
        <v>OK</v>
      </c>
    </row>
    <row r="87" spans="1:11">
      <c r="A87" s="4" t="s">
        <v>165</v>
      </c>
      <c r="B87" s="6">
        <v>0</v>
      </c>
      <c r="C87" s="6">
        <v>1</v>
      </c>
      <c r="D87" s="6">
        <v>5</v>
      </c>
      <c r="E87" s="6">
        <v>7</v>
      </c>
      <c r="F87" s="6">
        <v>5</v>
      </c>
      <c r="G87" s="10">
        <f>B87*Parametros!$B$19+C87*Parametros!$B$18+D87*Parametros!$B$17+E87*Parametros!$B$16+F87*Parametros!$B$15</f>
        <v>39.0</v>
      </c>
      <c r="H87" s="11" t="str">
        <f>IF(G87=Parametros!$B$7,"OK","ERROR")</f>
        <v>OK</v>
      </c>
      <c r="I87" s="8">
        <f>B87*Parametros!$G$19+C87*Parametros!$G$18+D87*Parametros!$G$17+E87*Parametros!$G$16+F87*Parametros!$G$15</f>
        <v>128.46153846153848</v>
      </c>
      <c r="J87" s="8">
        <f>B87*Parametros!$D$19+C87*Parametros!$D$18+D87*Parametros!$D$17+E87*Parametros!$D$16+F87*Parametros!$D$15</f>
        <v>169.23076923076923</v>
      </c>
      <c r="K87" s="11" t="str">
        <f>IF(I87&lt;=Parametros!$B$11,"OK","ERROR")</f>
        <v>OK</v>
      </c>
    </row>
    <row r="88" spans="1:11">
      <c r="A88" s="4" t="s">
        <v>169</v>
      </c>
      <c r="B88" s="6">
        <v>0</v>
      </c>
      <c r="C88" s="6">
        <v>0</v>
      </c>
      <c r="D88" s="6">
        <v>5</v>
      </c>
      <c r="E88" s="6">
        <v>9</v>
      </c>
      <c r="F88" s="6">
        <v>6</v>
      </c>
      <c r="G88" s="10">
        <f>B88*Parametros!$B$19+C88*Parametros!$B$18+D88*Parametros!$B$17+E88*Parametros!$B$16+F88*Parametros!$B$15</f>
        <v>39.0</v>
      </c>
      <c r="H88" s="11" t="str">
        <f>IF(G88=Parametros!$B$7,"OK","ERROR")</f>
        <v>OK</v>
      </c>
      <c r="I88" s="8">
        <f>B88*Parametros!$G$19+C88*Parametros!$G$18+D88*Parametros!$G$17+E88*Parametros!$G$16+F88*Parametros!$G$15</f>
        <v>126.53846153846155</v>
      </c>
      <c r="J88" s="8">
        <f>B88*Parametros!$D$19+C88*Parametros!$D$18+D88*Parametros!$D$17+E88*Parametros!$D$16+F88*Parametros!$D$15</f>
        <v>169.23076923076923</v>
      </c>
      <c r="K88" s="11" t="str">
        <f>IF(I88&lt;=Parametros!$B$11,"OK","ERROR")</f>
        <v>OK</v>
      </c>
    </row>
    <row r="89" spans="1:11">
      <c r="A89" s="4" t="s">
        <v>171</v>
      </c>
      <c r="B89" s="6">
        <v>0</v>
      </c>
      <c r="C89" s="6">
        <v>1</v>
      </c>
      <c r="D89" s="6">
        <v>5</v>
      </c>
      <c r="E89" s="6">
        <v>8</v>
      </c>
      <c r="F89" s="6">
        <v>3</v>
      </c>
      <c r="G89" s="10">
        <f>B89*Parametros!$B$19+C89*Parametros!$B$18+D89*Parametros!$B$17+E89*Parametros!$B$16+F89*Parametros!$B$15</f>
        <v>39.0</v>
      </c>
      <c r="H89" s="11" t="str">
        <f>IF(G89=Parametros!$B$7,"OK","ERROR")</f>
        <v>OK</v>
      </c>
      <c r="I89" s="8">
        <f>B89*Parametros!$G$19+C89*Parametros!$G$18+D89*Parametros!$G$17+E89*Parametros!$G$16+F89*Parametros!$G$15</f>
        <v>130.3846153846154</v>
      </c>
      <c r="J89" s="8">
        <f>B89*Parametros!$D$19+C89*Parametros!$D$18+D89*Parametros!$D$17+E89*Parametros!$D$16+F89*Parametros!$D$15</f>
        <v>168.46153846153845</v>
      </c>
      <c r="K89" s="11" t="str">
        <f>IF(I89&lt;=Parametros!$B$11,"OK","ERROR")</f>
        <v>OK</v>
      </c>
    </row>
    <row r="90" spans="1:11">
      <c r="A90" s="9" t="s">
        <v>166</v>
      </c>
      <c r="B90" s="10">
        <f>SUM(B85:B89)</f>
        <v>0.0</v>
      </c>
      <c r="C90" s="10">
        <f>SUM(C85:C89)</f>
        <v>4.0</v>
      </c>
      <c r="D90" s="10">
        <f>SUM(D85:D89)</f>
        <v>25.0</v>
      </c>
      <c r="E90" s="10">
        <f>SUM(E85:E89)</f>
        <v>40.0</v>
      </c>
      <c r="F90" s="10">
        <f>SUM(F85:F89)</f>
        <v>20.0</v>
      </c>
      <c r="G90" s="10">
        <f>B90*Parametros!$B$19+C90*Parametros!$B$18+D90*Parametros!$B$17+E90*Parametros!$B$16+F90*Parametros!$B$15</f>
        <v>195.0</v>
      </c>
    </row>
    <row r="91" spans="1:11">
      <c r="A91" s="4" t="s">
        <v>167</v>
      </c>
      <c r="B91" s="7">
        <f>Mezclas!$E$46</f>
        <v>0</v>
      </c>
      <c r="C91" s="7">
        <f>Mezclas!$E$47</f>
        <v>4</v>
      </c>
      <c r="D91" s="7">
        <f>Mezclas!$E$48</f>
        <v>25</v>
      </c>
      <c r="E91" s="7">
        <f>Mezclas!$E$49</f>
        <v>40</v>
      </c>
      <c r="F91" s="7">
        <f>Mezclas!$E$50</f>
        <v>20</v>
      </c>
      <c r="G91" s="7">
        <f>Planes!$D$6</f>
        <v>195.0</v>
      </c>
    </row>
    <row r="92" spans="1:11">
      <c r="A92" s="4" t="s">
        <v>148</v>
      </c>
      <c r="B92" s="11" t="str">
        <f>IF(B90=B91,"OK","ERROR")</f>
        <v>OK</v>
      </c>
      <c r="C92" s="11" t="str">
        <f>IF(C90=C91,"OK","ERROR")</f>
        <v>OK</v>
      </c>
      <c r="D92" s="11" t="str">
        <f>IF(D90=D91,"OK","ERROR")</f>
        <v>OK</v>
      </c>
      <c r="E92" s="11" t="str">
        <f>IF(E90=E91,"OK","ERROR")</f>
        <v>OK</v>
      </c>
      <c r="F92" s="11" t="str">
        <f>IF(F90=F91,"OK","ERROR")</f>
        <v>OK</v>
      </c>
      <c r="G92" s="11" t="str">
        <f>IF(G90=G91,"OK","ERROR")</f>
        <v>OK</v>
      </c>
    </row>
  </sheetData>
  <conditionalFormatting sqref="H6">
    <cfRule type="cellIs" dxfId="0" priority="1" operator="equal">
      <formula>"ERROR"</formula>
    </cfRule>
  </conditionalFormatting>
  <conditionalFormatting sqref="K6">
    <cfRule type="cellIs" dxfId="0" priority="2" operator="equal">
      <formula>"ERROR"</formula>
    </cfRule>
  </conditionalFormatting>
  <conditionalFormatting sqref="H7">
    <cfRule type="cellIs" dxfId="0" priority="3" operator="equal">
      <formula>"ERROR"</formula>
    </cfRule>
  </conditionalFormatting>
  <conditionalFormatting sqref="K7">
    <cfRule type="cellIs" dxfId="0" priority="4" operator="equal">
      <formula>"ERROR"</formula>
    </cfRule>
  </conditionalFormatting>
  <conditionalFormatting sqref="H8">
    <cfRule type="cellIs" dxfId="0" priority="5" operator="equal">
      <formula>"ERROR"</formula>
    </cfRule>
  </conditionalFormatting>
  <conditionalFormatting sqref="K8">
    <cfRule type="cellIs" dxfId="0" priority="6" operator="equal">
      <formula>"ERROR"</formula>
    </cfRule>
  </conditionalFormatting>
  <conditionalFormatting sqref="B11">
    <cfRule type="cellIs" dxfId="0" priority="7" operator="equal">
      <formula>"ERROR"</formula>
    </cfRule>
  </conditionalFormatting>
  <conditionalFormatting sqref="C11">
    <cfRule type="cellIs" dxfId="0" priority="8" operator="equal">
      <formula>"ERROR"</formula>
    </cfRule>
  </conditionalFormatting>
  <conditionalFormatting sqref="D11">
    <cfRule type="cellIs" dxfId="0" priority="9" operator="equal">
      <formula>"ERROR"</formula>
    </cfRule>
  </conditionalFormatting>
  <conditionalFormatting sqref="E11">
    <cfRule type="cellIs" dxfId="0" priority="10" operator="equal">
      <formula>"ERROR"</formula>
    </cfRule>
  </conditionalFormatting>
  <conditionalFormatting sqref="F11">
    <cfRule type="cellIs" dxfId="0" priority="11" operator="equal">
      <formula>"ERROR"</formula>
    </cfRule>
  </conditionalFormatting>
  <conditionalFormatting sqref="G11">
    <cfRule type="cellIs" dxfId="0" priority="12" operator="equal">
      <formula>"ERROR"</formula>
    </cfRule>
  </conditionalFormatting>
  <conditionalFormatting sqref="H15">
    <cfRule type="cellIs" dxfId="0" priority="13" operator="equal">
      <formula>"ERROR"</formula>
    </cfRule>
  </conditionalFormatting>
  <conditionalFormatting sqref="K15">
    <cfRule type="cellIs" dxfId="0" priority="14" operator="equal">
      <formula>"ERROR"</formula>
    </cfRule>
  </conditionalFormatting>
  <conditionalFormatting sqref="H16">
    <cfRule type="cellIs" dxfId="0" priority="15" operator="equal">
      <formula>"ERROR"</formula>
    </cfRule>
  </conditionalFormatting>
  <conditionalFormatting sqref="K16">
    <cfRule type="cellIs" dxfId="0" priority="16" operator="equal">
      <formula>"ERROR"</formula>
    </cfRule>
  </conditionalFormatting>
  <conditionalFormatting sqref="H17">
    <cfRule type="cellIs" dxfId="0" priority="17" operator="equal">
      <formula>"ERROR"</formula>
    </cfRule>
  </conditionalFormatting>
  <conditionalFormatting sqref="K17">
    <cfRule type="cellIs" dxfId="0" priority="18" operator="equal">
      <formula>"ERROR"</formula>
    </cfRule>
  </conditionalFormatting>
  <conditionalFormatting sqref="H18">
    <cfRule type="cellIs" dxfId="0" priority="19" operator="equal">
      <formula>"ERROR"</formula>
    </cfRule>
  </conditionalFormatting>
  <conditionalFormatting sqref="K18">
    <cfRule type="cellIs" dxfId="0" priority="20" operator="equal">
      <formula>"ERROR"</formula>
    </cfRule>
  </conditionalFormatting>
  <conditionalFormatting sqref="B21">
    <cfRule type="cellIs" dxfId="0" priority="21" operator="equal">
      <formula>"ERROR"</formula>
    </cfRule>
  </conditionalFormatting>
  <conditionalFormatting sqref="C21">
    <cfRule type="cellIs" dxfId="0" priority="22" operator="equal">
      <formula>"ERROR"</formula>
    </cfRule>
  </conditionalFormatting>
  <conditionalFormatting sqref="D21">
    <cfRule type="cellIs" dxfId="0" priority="23" operator="equal">
      <formula>"ERROR"</formula>
    </cfRule>
  </conditionalFormatting>
  <conditionalFormatting sqref="E21">
    <cfRule type="cellIs" dxfId="0" priority="24" operator="equal">
      <formula>"ERROR"</formula>
    </cfRule>
  </conditionalFormatting>
  <conditionalFormatting sqref="F21">
    <cfRule type="cellIs" dxfId="0" priority="25" operator="equal">
      <formula>"ERROR"</formula>
    </cfRule>
  </conditionalFormatting>
  <conditionalFormatting sqref="G21">
    <cfRule type="cellIs" dxfId="0" priority="26" operator="equal">
      <formula>"ERROR"</formula>
    </cfRule>
  </conditionalFormatting>
  <conditionalFormatting sqref="H25">
    <cfRule type="cellIs" dxfId="0" priority="27" operator="equal">
      <formula>"ERROR"</formula>
    </cfRule>
  </conditionalFormatting>
  <conditionalFormatting sqref="K25">
    <cfRule type="cellIs" dxfId="0" priority="28" operator="equal">
      <formula>"ERROR"</formula>
    </cfRule>
  </conditionalFormatting>
  <conditionalFormatting sqref="H26">
    <cfRule type="cellIs" dxfId="0" priority="29" operator="equal">
      <formula>"ERROR"</formula>
    </cfRule>
  </conditionalFormatting>
  <conditionalFormatting sqref="K26">
    <cfRule type="cellIs" dxfId="0" priority="30" operator="equal">
      <formula>"ERROR"</formula>
    </cfRule>
  </conditionalFormatting>
  <conditionalFormatting sqref="H27">
    <cfRule type="cellIs" dxfId="0" priority="31" operator="equal">
      <formula>"ERROR"</formula>
    </cfRule>
  </conditionalFormatting>
  <conditionalFormatting sqref="K27">
    <cfRule type="cellIs" dxfId="0" priority="32" operator="equal">
      <formula>"ERROR"</formula>
    </cfRule>
  </conditionalFormatting>
  <conditionalFormatting sqref="H28">
    <cfRule type="cellIs" dxfId="0" priority="33" operator="equal">
      <formula>"ERROR"</formula>
    </cfRule>
  </conditionalFormatting>
  <conditionalFormatting sqref="K28">
    <cfRule type="cellIs" dxfId="0" priority="34" operator="equal">
      <formula>"ERROR"</formula>
    </cfRule>
  </conditionalFormatting>
  <conditionalFormatting sqref="H29">
    <cfRule type="cellIs" dxfId="0" priority="35" operator="equal">
      <formula>"ERROR"</formula>
    </cfRule>
  </conditionalFormatting>
  <conditionalFormatting sqref="K29">
    <cfRule type="cellIs" dxfId="0" priority="36" operator="equal">
      <formula>"ERROR"</formula>
    </cfRule>
  </conditionalFormatting>
  <conditionalFormatting sqref="B32">
    <cfRule type="cellIs" dxfId="0" priority="37" operator="equal">
      <formula>"ERROR"</formula>
    </cfRule>
  </conditionalFormatting>
  <conditionalFormatting sqref="C32">
    <cfRule type="cellIs" dxfId="0" priority="38" operator="equal">
      <formula>"ERROR"</formula>
    </cfRule>
  </conditionalFormatting>
  <conditionalFormatting sqref="D32">
    <cfRule type="cellIs" dxfId="0" priority="39" operator="equal">
      <formula>"ERROR"</formula>
    </cfRule>
  </conditionalFormatting>
  <conditionalFormatting sqref="E32">
    <cfRule type="cellIs" dxfId="0" priority="40" operator="equal">
      <formula>"ERROR"</formula>
    </cfRule>
  </conditionalFormatting>
  <conditionalFormatting sqref="F32">
    <cfRule type="cellIs" dxfId="0" priority="41" operator="equal">
      <formula>"ERROR"</formula>
    </cfRule>
  </conditionalFormatting>
  <conditionalFormatting sqref="G32">
    <cfRule type="cellIs" dxfId="0" priority="42" operator="equal">
      <formula>"ERROR"</formula>
    </cfRule>
  </conditionalFormatting>
  <conditionalFormatting sqref="H36">
    <cfRule type="cellIs" dxfId="0" priority="43" operator="equal">
      <formula>"ERROR"</formula>
    </cfRule>
  </conditionalFormatting>
  <conditionalFormatting sqref="K36">
    <cfRule type="cellIs" dxfId="0" priority="44" operator="equal">
      <formula>"ERROR"</formula>
    </cfRule>
  </conditionalFormatting>
  <conditionalFormatting sqref="H37">
    <cfRule type="cellIs" dxfId="0" priority="45" operator="equal">
      <formula>"ERROR"</formula>
    </cfRule>
  </conditionalFormatting>
  <conditionalFormatting sqref="K37">
    <cfRule type="cellIs" dxfId="0" priority="46" operator="equal">
      <formula>"ERROR"</formula>
    </cfRule>
  </conditionalFormatting>
  <conditionalFormatting sqref="H38">
    <cfRule type="cellIs" dxfId="0" priority="47" operator="equal">
      <formula>"ERROR"</formula>
    </cfRule>
  </conditionalFormatting>
  <conditionalFormatting sqref="K38">
    <cfRule type="cellIs" dxfId="0" priority="48" operator="equal">
      <formula>"ERROR"</formula>
    </cfRule>
  </conditionalFormatting>
  <conditionalFormatting sqref="B41">
    <cfRule type="cellIs" dxfId="0" priority="49" operator="equal">
      <formula>"ERROR"</formula>
    </cfRule>
  </conditionalFormatting>
  <conditionalFormatting sqref="C41">
    <cfRule type="cellIs" dxfId="0" priority="50" operator="equal">
      <formula>"ERROR"</formula>
    </cfRule>
  </conditionalFormatting>
  <conditionalFormatting sqref="D41">
    <cfRule type="cellIs" dxfId="0" priority="51" operator="equal">
      <formula>"ERROR"</formula>
    </cfRule>
  </conditionalFormatting>
  <conditionalFormatting sqref="E41">
    <cfRule type="cellIs" dxfId="0" priority="52" operator="equal">
      <formula>"ERROR"</formula>
    </cfRule>
  </conditionalFormatting>
  <conditionalFormatting sqref="F41">
    <cfRule type="cellIs" dxfId="0" priority="53" operator="equal">
      <formula>"ERROR"</formula>
    </cfRule>
  </conditionalFormatting>
  <conditionalFormatting sqref="G41">
    <cfRule type="cellIs" dxfId="0" priority="54" operator="equal">
      <formula>"ERROR"</formula>
    </cfRule>
  </conditionalFormatting>
  <conditionalFormatting sqref="H45">
    <cfRule type="cellIs" dxfId="0" priority="55" operator="equal">
      <formula>"ERROR"</formula>
    </cfRule>
  </conditionalFormatting>
  <conditionalFormatting sqref="K45">
    <cfRule type="cellIs" dxfId="0" priority="56" operator="equal">
      <formula>"ERROR"</formula>
    </cfRule>
  </conditionalFormatting>
  <conditionalFormatting sqref="H46">
    <cfRule type="cellIs" dxfId="0" priority="57" operator="equal">
      <formula>"ERROR"</formula>
    </cfRule>
  </conditionalFormatting>
  <conditionalFormatting sqref="K46">
    <cfRule type="cellIs" dxfId="0" priority="58" operator="equal">
      <formula>"ERROR"</formula>
    </cfRule>
  </conditionalFormatting>
  <conditionalFormatting sqref="H47">
    <cfRule type="cellIs" dxfId="0" priority="59" operator="equal">
      <formula>"ERROR"</formula>
    </cfRule>
  </conditionalFormatting>
  <conditionalFormatting sqref="K47">
    <cfRule type="cellIs" dxfId="0" priority="60" operator="equal">
      <formula>"ERROR"</formula>
    </cfRule>
  </conditionalFormatting>
  <conditionalFormatting sqref="H48">
    <cfRule type="cellIs" dxfId="0" priority="61" operator="equal">
      <formula>"ERROR"</formula>
    </cfRule>
  </conditionalFormatting>
  <conditionalFormatting sqref="K48">
    <cfRule type="cellIs" dxfId="0" priority="62" operator="equal">
      <formula>"ERROR"</formula>
    </cfRule>
  </conditionalFormatting>
  <conditionalFormatting sqref="B51">
    <cfRule type="cellIs" dxfId="0" priority="63" operator="equal">
      <formula>"ERROR"</formula>
    </cfRule>
  </conditionalFormatting>
  <conditionalFormatting sqref="C51">
    <cfRule type="cellIs" dxfId="0" priority="64" operator="equal">
      <formula>"ERROR"</formula>
    </cfRule>
  </conditionalFormatting>
  <conditionalFormatting sqref="D51">
    <cfRule type="cellIs" dxfId="0" priority="65" operator="equal">
      <formula>"ERROR"</formula>
    </cfRule>
  </conditionalFormatting>
  <conditionalFormatting sqref="E51">
    <cfRule type="cellIs" dxfId="0" priority="66" operator="equal">
      <formula>"ERROR"</formula>
    </cfRule>
  </conditionalFormatting>
  <conditionalFormatting sqref="F51">
    <cfRule type="cellIs" dxfId="0" priority="67" operator="equal">
      <formula>"ERROR"</formula>
    </cfRule>
  </conditionalFormatting>
  <conditionalFormatting sqref="G51">
    <cfRule type="cellIs" dxfId="0" priority="68" operator="equal">
      <formula>"ERROR"</formula>
    </cfRule>
  </conditionalFormatting>
  <conditionalFormatting sqref="H55">
    <cfRule type="cellIs" dxfId="0" priority="69" operator="equal">
      <formula>"ERROR"</formula>
    </cfRule>
  </conditionalFormatting>
  <conditionalFormatting sqref="K55">
    <cfRule type="cellIs" dxfId="0" priority="70" operator="equal">
      <formula>"ERROR"</formula>
    </cfRule>
  </conditionalFormatting>
  <conditionalFormatting sqref="H56">
    <cfRule type="cellIs" dxfId="0" priority="71" operator="equal">
      <formula>"ERROR"</formula>
    </cfRule>
  </conditionalFormatting>
  <conditionalFormatting sqref="K56">
    <cfRule type="cellIs" dxfId="0" priority="72" operator="equal">
      <formula>"ERROR"</formula>
    </cfRule>
  </conditionalFormatting>
  <conditionalFormatting sqref="H57">
    <cfRule type="cellIs" dxfId="0" priority="73" operator="equal">
      <formula>"ERROR"</formula>
    </cfRule>
  </conditionalFormatting>
  <conditionalFormatting sqref="K57">
    <cfRule type="cellIs" dxfId="0" priority="74" operator="equal">
      <formula>"ERROR"</formula>
    </cfRule>
  </conditionalFormatting>
  <conditionalFormatting sqref="H58">
    <cfRule type="cellIs" dxfId="0" priority="75" operator="equal">
      <formula>"ERROR"</formula>
    </cfRule>
  </conditionalFormatting>
  <conditionalFormatting sqref="K58">
    <cfRule type="cellIs" dxfId="0" priority="76" operator="equal">
      <formula>"ERROR"</formula>
    </cfRule>
  </conditionalFormatting>
  <conditionalFormatting sqref="H59">
    <cfRule type="cellIs" dxfId="0" priority="77" operator="equal">
      <formula>"ERROR"</formula>
    </cfRule>
  </conditionalFormatting>
  <conditionalFormatting sqref="K59">
    <cfRule type="cellIs" dxfId="0" priority="78" operator="equal">
      <formula>"ERROR"</formula>
    </cfRule>
  </conditionalFormatting>
  <conditionalFormatting sqref="B62">
    <cfRule type="cellIs" dxfId="0" priority="79" operator="equal">
      <formula>"ERROR"</formula>
    </cfRule>
  </conditionalFormatting>
  <conditionalFormatting sqref="C62">
    <cfRule type="cellIs" dxfId="0" priority="80" operator="equal">
      <formula>"ERROR"</formula>
    </cfRule>
  </conditionalFormatting>
  <conditionalFormatting sqref="D62">
    <cfRule type="cellIs" dxfId="0" priority="81" operator="equal">
      <formula>"ERROR"</formula>
    </cfRule>
  </conditionalFormatting>
  <conditionalFormatting sqref="E62">
    <cfRule type="cellIs" dxfId="0" priority="82" operator="equal">
      <formula>"ERROR"</formula>
    </cfRule>
  </conditionalFormatting>
  <conditionalFormatting sqref="F62">
    <cfRule type="cellIs" dxfId="0" priority="83" operator="equal">
      <formula>"ERROR"</formula>
    </cfRule>
  </conditionalFormatting>
  <conditionalFormatting sqref="G62">
    <cfRule type="cellIs" dxfId="0" priority="84" operator="equal">
      <formula>"ERROR"</formula>
    </cfRule>
  </conditionalFormatting>
  <conditionalFormatting sqref="H66">
    <cfRule type="cellIs" dxfId="0" priority="85" operator="equal">
      <formula>"ERROR"</formula>
    </cfRule>
  </conditionalFormatting>
  <conditionalFormatting sqref="K66">
    <cfRule type="cellIs" dxfId="0" priority="86" operator="equal">
      <formula>"ERROR"</formula>
    </cfRule>
  </conditionalFormatting>
  <conditionalFormatting sqref="H67">
    <cfRule type="cellIs" dxfId="0" priority="87" operator="equal">
      <formula>"ERROR"</formula>
    </cfRule>
  </conditionalFormatting>
  <conditionalFormatting sqref="K67">
    <cfRule type="cellIs" dxfId="0" priority="88" operator="equal">
      <formula>"ERROR"</formula>
    </cfRule>
  </conditionalFormatting>
  <conditionalFormatting sqref="H68">
    <cfRule type="cellIs" dxfId="0" priority="89" operator="equal">
      <formula>"ERROR"</formula>
    </cfRule>
  </conditionalFormatting>
  <conditionalFormatting sqref="K68">
    <cfRule type="cellIs" dxfId="0" priority="90" operator="equal">
      <formula>"ERROR"</formula>
    </cfRule>
  </conditionalFormatting>
  <conditionalFormatting sqref="B71">
    <cfRule type="cellIs" dxfId="0" priority="91" operator="equal">
      <formula>"ERROR"</formula>
    </cfRule>
  </conditionalFormatting>
  <conditionalFormatting sqref="C71">
    <cfRule type="cellIs" dxfId="0" priority="92" operator="equal">
      <formula>"ERROR"</formula>
    </cfRule>
  </conditionalFormatting>
  <conditionalFormatting sqref="D71">
    <cfRule type="cellIs" dxfId="0" priority="93" operator="equal">
      <formula>"ERROR"</formula>
    </cfRule>
  </conditionalFormatting>
  <conditionalFormatting sqref="E71">
    <cfRule type="cellIs" dxfId="0" priority="94" operator="equal">
      <formula>"ERROR"</formula>
    </cfRule>
  </conditionalFormatting>
  <conditionalFormatting sqref="F71">
    <cfRule type="cellIs" dxfId="0" priority="95" operator="equal">
      <formula>"ERROR"</formula>
    </cfRule>
  </conditionalFormatting>
  <conditionalFormatting sqref="G71">
    <cfRule type="cellIs" dxfId="0" priority="96" operator="equal">
      <formula>"ERROR"</formula>
    </cfRule>
  </conditionalFormatting>
  <conditionalFormatting sqref="H75">
    <cfRule type="cellIs" dxfId="0" priority="97" operator="equal">
      <formula>"ERROR"</formula>
    </cfRule>
  </conditionalFormatting>
  <conditionalFormatting sqref="K75">
    <cfRule type="cellIs" dxfId="0" priority="98" operator="equal">
      <formula>"ERROR"</formula>
    </cfRule>
  </conditionalFormatting>
  <conditionalFormatting sqref="H76">
    <cfRule type="cellIs" dxfId="0" priority="99" operator="equal">
      <formula>"ERROR"</formula>
    </cfRule>
  </conditionalFormatting>
  <conditionalFormatting sqref="K76">
    <cfRule type="cellIs" dxfId="0" priority="100" operator="equal">
      <formula>"ERROR"</formula>
    </cfRule>
  </conditionalFormatting>
  <conditionalFormatting sqref="H77">
    <cfRule type="cellIs" dxfId="0" priority="101" operator="equal">
      <formula>"ERROR"</formula>
    </cfRule>
  </conditionalFormatting>
  <conditionalFormatting sqref="K77">
    <cfRule type="cellIs" dxfId="0" priority="102" operator="equal">
      <formula>"ERROR"</formula>
    </cfRule>
  </conditionalFormatting>
  <conditionalFormatting sqref="H78">
    <cfRule type="cellIs" dxfId="0" priority="103" operator="equal">
      <formula>"ERROR"</formula>
    </cfRule>
  </conditionalFormatting>
  <conditionalFormatting sqref="K78">
    <cfRule type="cellIs" dxfId="0" priority="104" operator="equal">
      <formula>"ERROR"</formula>
    </cfRule>
  </conditionalFormatting>
  <conditionalFormatting sqref="B81">
    <cfRule type="cellIs" dxfId="0" priority="105" operator="equal">
      <formula>"ERROR"</formula>
    </cfRule>
  </conditionalFormatting>
  <conditionalFormatting sqref="C81">
    <cfRule type="cellIs" dxfId="0" priority="106" operator="equal">
      <formula>"ERROR"</formula>
    </cfRule>
  </conditionalFormatting>
  <conditionalFormatting sqref="D81">
    <cfRule type="cellIs" dxfId="0" priority="107" operator="equal">
      <formula>"ERROR"</formula>
    </cfRule>
  </conditionalFormatting>
  <conditionalFormatting sqref="E81">
    <cfRule type="cellIs" dxfId="0" priority="108" operator="equal">
      <formula>"ERROR"</formula>
    </cfRule>
  </conditionalFormatting>
  <conditionalFormatting sqref="F81">
    <cfRule type="cellIs" dxfId="0" priority="109" operator="equal">
      <formula>"ERROR"</formula>
    </cfRule>
  </conditionalFormatting>
  <conditionalFormatting sqref="G81">
    <cfRule type="cellIs" dxfId="0" priority="110" operator="equal">
      <formula>"ERROR"</formula>
    </cfRule>
  </conditionalFormatting>
  <conditionalFormatting sqref="H85">
    <cfRule type="cellIs" dxfId="0" priority="111" operator="equal">
      <formula>"ERROR"</formula>
    </cfRule>
  </conditionalFormatting>
  <conditionalFormatting sqref="K85">
    <cfRule type="cellIs" dxfId="0" priority="112" operator="equal">
      <formula>"ERROR"</formula>
    </cfRule>
  </conditionalFormatting>
  <conditionalFormatting sqref="H86">
    <cfRule type="cellIs" dxfId="0" priority="113" operator="equal">
      <formula>"ERROR"</formula>
    </cfRule>
  </conditionalFormatting>
  <conditionalFormatting sqref="K86">
    <cfRule type="cellIs" dxfId="0" priority="114" operator="equal">
      <formula>"ERROR"</formula>
    </cfRule>
  </conditionalFormatting>
  <conditionalFormatting sqref="H87">
    <cfRule type="cellIs" dxfId="0" priority="115" operator="equal">
      <formula>"ERROR"</formula>
    </cfRule>
  </conditionalFormatting>
  <conditionalFormatting sqref="K87">
    <cfRule type="cellIs" dxfId="0" priority="116" operator="equal">
      <formula>"ERROR"</formula>
    </cfRule>
  </conditionalFormatting>
  <conditionalFormatting sqref="H88">
    <cfRule type="cellIs" dxfId="0" priority="117" operator="equal">
      <formula>"ERROR"</formula>
    </cfRule>
  </conditionalFormatting>
  <conditionalFormatting sqref="K88">
    <cfRule type="cellIs" dxfId="0" priority="118" operator="equal">
      <formula>"ERROR"</formula>
    </cfRule>
  </conditionalFormatting>
  <conditionalFormatting sqref="H89">
    <cfRule type="cellIs" dxfId="0" priority="119" operator="equal">
      <formula>"ERROR"</formula>
    </cfRule>
  </conditionalFormatting>
  <conditionalFormatting sqref="K89">
    <cfRule type="cellIs" dxfId="0" priority="120" operator="equal">
      <formula>"ERROR"</formula>
    </cfRule>
  </conditionalFormatting>
  <conditionalFormatting sqref="B92">
    <cfRule type="cellIs" dxfId="0" priority="121" operator="equal">
      <formula>"ERROR"</formula>
    </cfRule>
  </conditionalFormatting>
  <conditionalFormatting sqref="C92">
    <cfRule type="cellIs" dxfId="0" priority="122" operator="equal">
      <formula>"ERROR"</formula>
    </cfRule>
  </conditionalFormatting>
  <conditionalFormatting sqref="D92">
    <cfRule type="cellIs" dxfId="0" priority="123" operator="equal">
      <formula>"ERROR"</formula>
    </cfRule>
  </conditionalFormatting>
  <conditionalFormatting sqref="E92">
    <cfRule type="cellIs" dxfId="0" priority="124" operator="equal">
      <formula>"ERROR"</formula>
    </cfRule>
  </conditionalFormatting>
  <conditionalFormatting sqref="F92">
    <cfRule type="cellIs" dxfId="0" priority="125" operator="equal">
      <formula>"ERROR"</formula>
    </cfRule>
  </conditionalFormatting>
  <conditionalFormatting sqref="G92">
    <cfRule type="cellIs" dxfId="0" priority="126" operator="equal">
      <formula>"ERROR"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7"/>
  <sheetViews>
    <sheetView showGridLines="0" tabSelected="1" workbookViewId="0"/>
  </sheetViews>
  <sheetFormatPr defaultRowHeight="15"/>
  <cols>
    <col min="1" max="1" width="70.7109375" customWidth="1"/>
    <col min="2" max="3" width="18.7109375" customWidth="1"/>
    <col min="4" max="4" width="12.7109375" customWidth="1"/>
  </cols>
  <sheetData>
    <row r="1" spans="1:4">
      <c r="A1" s="1" t="s">
        <v>178</v>
      </c>
    </row>
    <row r="2" spans="1:4">
      <c r="A2" s="2" t="s">
        <v>179</v>
      </c>
    </row>
    <row r="3" spans="1:4">
      <c r="A3" s="3" t="s">
        <v>180</v>
      </c>
      <c r="B3" s="3" t="s">
        <v>181</v>
      </c>
      <c r="C3" s="3" t="s">
        <v>182</v>
      </c>
      <c r="D3" s="3" t="s">
        <v>148</v>
      </c>
    </row>
    <row r="4" spans="1:4">
      <c r="A4" s="4" t="s">
        <v>183</v>
      </c>
      <c r="B4" s="7">
        <f>Septiembre!B4</f>
        <v>19</v>
      </c>
      <c r="C4" s="6">
        <v>19</v>
      </c>
      <c r="D4" s="11" t="str">
        <f>IF(B4=C4,"OK","ERROR")</f>
        <v>OK</v>
      </c>
    </row>
    <row r="5" spans="1:4">
      <c r="A5" s="4" t="s">
        <v>184</v>
      </c>
      <c r="B5" s="7">
        <f>Septiembre!B5</f>
        <v>564.0</v>
      </c>
      <c r="C5" s="6">
        <v>564</v>
      </c>
      <c r="D5" s="11" t="str">
        <f>IF(B5=C5,"OK","ERROR")</f>
        <v>OK</v>
      </c>
    </row>
    <row r="6" spans="1:4">
      <c r="A6" s="4" t="s">
        <v>185</v>
      </c>
      <c r="B6" s="7">
        <f>Septiembre!B6</f>
        <v>394.0</v>
      </c>
      <c r="C6" s="6">
        <v>394</v>
      </c>
      <c r="D6" s="11" t="str">
        <f>IF(B6=C6,"OK","ERROR")</f>
        <v>OK</v>
      </c>
    </row>
    <row r="7" spans="1:4">
      <c r="A7" s="4" t="s">
        <v>186</v>
      </c>
      <c r="B7" s="7">
        <f>Septiembre!B7</f>
        <v>130.0</v>
      </c>
      <c r="C7" s="6">
        <v>130</v>
      </c>
      <c r="D7" s="11" t="str">
        <f>IF(B7=C7,"OK","ERROR")</f>
        <v>OK</v>
      </c>
    </row>
    <row r="8" spans="1:4">
      <c r="A8" s="4" t="s">
        <v>100</v>
      </c>
      <c r="B8" s="7">
        <f>Septiembre!B8</f>
        <v>524.0</v>
      </c>
      <c r="C8" s="6">
        <v>524</v>
      </c>
      <c r="D8" s="11" t="str">
        <f>IF(B8=C8,"OK","ERROR")</f>
        <v>OK</v>
      </c>
    </row>
    <row r="9" spans="1:4">
      <c r="A9" s="4" t="s">
        <v>101</v>
      </c>
      <c r="B9" s="7">
        <f>Septiembre!B9</f>
        <v>164.0</v>
      </c>
      <c r="C9" s="6">
        <v>164</v>
      </c>
      <c r="D9" s="11" t="str">
        <f>IF(B9=C9,"OK","ERROR")</f>
        <v>OK</v>
      </c>
    </row>
    <row r="10" spans="1:4">
      <c r="A10" s="4" t="s">
        <v>187</v>
      </c>
      <c r="B10" s="7">
        <f>Septiembre!B10</f>
        <v>117.0</v>
      </c>
      <c r="C10" s="6">
        <v>117</v>
      </c>
      <c r="D10" s="11" t="str">
        <f>IF(B10=C10,"OK","ERROR")</f>
        <v>OK</v>
      </c>
    </row>
    <row r="11" spans="1:4">
      <c r="A11" s="4" t="s">
        <v>188</v>
      </c>
      <c r="B11" s="7">
        <f>Septiembre!B12</f>
        <v>153.0</v>
      </c>
      <c r="C11" s="6">
        <v>153</v>
      </c>
      <c r="D11" s="11" t="str">
        <f>IF(B11=C11,"OK","ERROR")</f>
        <v>OK</v>
      </c>
    </row>
    <row r="12" spans="1:4">
      <c r="A12" s="4" t="s">
        <v>125</v>
      </c>
      <c r="B12" s="7">
        <f>Parametros!B7</f>
        <v>39.0</v>
      </c>
      <c r="C12" s="6">
        <v>39</v>
      </c>
      <c r="D12" s="11" t="str">
        <f>IF(B12=C12,"OK","ERROR")</f>
        <v>OK</v>
      </c>
    </row>
    <row r="13" spans="1:4">
      <c r="A13" s="4" t="s">
        <v>189</v>
      </c>
      <c r="B13" s="7">
        <f>Planes!D4</f>
        <v>117.0</v>
      </c>
      <c r="C13" s="6">
        <v>117</v>
      </c>
      <c r="D13" s="11" t="str">
        <f>IF(B13=C13,"OK","ERROR")</f>
        <v>OK</v>
      </c>
    </row>
    <row r="14" spans="1:4">
      <c r="A14" s="4" t="s">
        <v>190</v>
      </c>
      <c r="B14" s="7">
        <f>Planes!D5</f>
        <v>156.0</v>
      </c>
      <c r="C14" s="6">
        <v>156</v>
      </c>
      <c r="D14" s="11" t="str">
        <f>IF(B14=C14,"OK","ERROR")</f>
        <v>OK</v>
      </c>
    </row>
    <row r="15" spans="1:4">
      <c r="A15" s="4" t="s">
        <v>191</v>
      </c>
      <c r="B15" s="7">
        <f>Planes!D6</f>
        <v>195.0</v>
      </c>
      <c r="C15" s="6">
        <v>195</v>
      </c>
      <c r="D15" s="11" t="str">
        <f>IF(B15=C15,"OK","ERROR")</f>
        <v>OK</v>
      </c>
    </row>
    <row r="16" spans="1:4">
      <c r="A16" s="4" t="s">
        <v>192</v>
      </c>
      <c r="B16" s="7">
        <f>Septiembre!C19</f>
        <v>10.0</v>
      </c>
      <c r="C16" s="6">
        <v>10</v>
      </c>
      <c r="D16" s="11" t="str">
        <f>IF(B16=C16,"OK","ERROR")</f>
        <v>OK</v>
      </c>
    </row>
    <row r="17" spans="1:4">
      <c r="A17" s="4" t="s">
        <v>193</v>
      </c>
      <c r="B17" s="7">
        <f>Septiembre!C20</f>
        <v>4.0</v>
      </c>
      <c r="C17" s="6">
        <v>4</v>
      </c>
      <c r="D17" s="11" t="str">
        <f>IF(B17=C17,"OK","ERROR")</f>
        <v>OK</v>
      </c>
    </row>
    <row r="18" spans="1:4">
      <c r="A18" s="4" t="s">
        <v>194</v>
      </c>
      <c r="B18" s="7">
        <f>Septiembre!C21</f>
        <v>1.0</v>
      </c>
      <c r="C18" s="6">
        <v>1</v>
      </c>
      <c r="D18" s="11" t="str">
        <f>IF(B18=C18,"OK","ERROR")</f>
        <v>OK</v>
      </c>
    </row>
    <row r="19" spans="1:4">
      <c r="A19" s="4" t="s">
        <v>195</v>
      </c>
      <c r="B19" s="7">
        <f>Septiembre!C22</f>
        <v>5.0</v>
      </c>
      <c r="C19" s="6">
        <v>5</v>
      </c>
      <c r="D19" s="11" t="str">
        <f>IF(B19=C19,"OK","ERROR")</f>
        <v>OK</v>
      </c>
    </row>
    <row r="20" spans="1:4">
      <c r="A20" s="4" t="s">
        <v>196</v>
      </c>
      <c r="B20" s="7">
        <f>Septiembre!C23</f>
        <v>4.0</v>
      </c>
      <c r="C20" s="6">
        <v>4</v>
      </c>
      <c r="D20" s="11" t="str">
        <f>IF(B20=C20,"OK","ERROR")</f>
        <v>OK</v>
      </c>
    </row>
    <row r="21" spans="1:4">
      <c r="A21" s="4" t="s">
        <v>197</v>
      </c>
      <c r="B21" s="7">
        <f>COUNTIF(Tareas!V5:V30,"OK")+COUNTIF(Tareas!AB5:AB30,"OK")</f>
        <v>52.0</v>
      </c>
      <c r="C21" s="6">
        <v>52</v>
      </c>
      <c r="D21" s="11" t="str">
        <f>IF(B21=C21,"OK","ERROR")</f>
        <v>OK</v>
      </c>
    </row>
    <row r="22" spans="1:4">
      <c r="A22" s="4" t="s">
        <v>198</v>
      </c>
      <c r="B22" s="7">
        <f>COUNTIF(Mezclas!C15,"OK")+COUNTIF(Mezclas!D15,"OK")+COUNTIF(Mezclas!E15,"OK")+COUNTIF(Mezclas!C35,"OK")+COUNTIF(Mezclas!D35,"OK")+COUNTIF(Mezclas!E35,"OK")+COUNTIF(Mezclas!C55,"OK")+COUNTIF(Mezclas!D55,"OK")+COUNTIF(Mezclas!E55,"OK")</f>
        <v>9.0</v>
      </c>
      <c r="C22" s="6">
        <v>9</v>
      </c>
      <c r="D22" s="11" t="str">
        <f>IF(B22=C22,"OK","ERROR")</f>
        <v>OK</v>
      </c>
    </row>
    <row r="23" spans="1:4">
      <c r="A23" s="4" t="s">
        <v>199</v>
      </c>
      <c r="B23" s="7">
        <f>COUNTIF(Equipo!H6,"OK")+COUNTIF(Equipo!H7,"OK")+COUNTIF(Equipo!H8,"OK")+COUNTIF(Equipo!B11,"OK")+COUNTIF(Equipo!C11,"OK")+COUNTIF(Equipo!D11,"OK")+COUNTIF(Equipo!E11,"OK")+COUNTIF(Equipo!F11,"OK")+COUNTIF(Equipo!G11,"OK")+COUNTIF(Equipo!H15,"OK")+COUNTIF(Equipo!H16,"OK")+COUNTIF(Equipo!H17,"OK")+COUNTIF(Equipo!H18,"OK")+COUNTIF(Equipo!B21,"OK")+COUNTIF(Equipo!C21,"OK")+COUNTIF(Equipo!D21,"OK")+COUNTIF(Equipo!E21,"OK")+COUNTIF(Equipo!F21,"OK")+COUNTIF(Equipo!G21,"OK")+COUNTIF(Equipo!H25,"OK")+COUNTIF(Equipo!H26,"OK")+COUNTIF(Equipo!H27,"OK")+COUNTIF(Equipo!H28,"OK")+COUNTIF(Equipo!H29,"OK")+COUNTIF(Equipo!B32,"OK")+COUNTIF(Equipo!C32,"OK")+COUNTIF(Equipo!D32,"OK")+COUNTIF(Equipo!E32,"OK")+COUNTIF(Equipo!F32,"OK")+COUNTIF(Equipo!G32,"OK")+COUNTIF(Equipo!H36,"OK")+COUNTIF(Equipo!H37,"OK")+COUNTIF(Equipo!H38,"OK")+COUNTIF(Equipo!B41,"OK")+COUNTIF(Equipo!C41,"OK")+COUNTIF(Equipo!D41,"OK")+COUNTIF(Equipo!E41,"OK")+COUNTIF(Equipo!F41,"OK")+COUNTIF(Equipo!G41,"OK")+COUNTIF(Equipo!H45,"OK")+COUNTIF(Equipo!H46,"OK")+COUNTIF(Equipo!H47,"OK")+COUNTIF(Equipo!H48,"OK")+COUNTIF(Equipo!B51,"OK")+COUNTIF(Equipo!C51,"OK")+COUNTIF(Equipo!D51,"OK")+COUNTIF(Equipo!E51,"OK")+COUNTIF(Equipo!F51,"OK")+COUNTIF(Equipo!G51,"OK")+COUNTIF(Equipo!H55,"OK")+COUNTIF(Equipo!H56,"OK")+COUNTIF(Equipo!H57,"OK")+COUNTIF(Equipo!H58,"OK")+COUNTIF(Equipo!H59,"OK")+COUNTIF(Equipo!B62,"OK")+COUNTIF(Equipo!C62,"OK")+COUNTIF(Equipo!D62,"OK")+COUNTIF(Equipo!E62,"OK")+COUNTIF(Equipo!F62,"OK")+COUNTIF(Equipo!G62,"OK")+COUNTIF(Equipo!H66,"OK")+COUNTIF(Equipo!H67,"OK")+COUNTIF(Equipo!H68,"OK")+COUNTIF(Equipo!B71,"OK")+COUNTIF(Equipo!C71,"OK")+COUNTIF(Equipo!D71,"OK")+COUNTIF(Equipo!E71,"OK")+COUNTIF(Equipo!F71,"OK")+COUNTIF(Equipo!G71,"OK")+COUNTIF(Equipo!H75,"OK")+COUNTIF(Equipo!H76,"OK")+COUNTIF(Equipo!H77,"OK")+COUNTIF(Equipo!H78,"OK")+COUNTIF(Equipo!B81,"OK")+COUNTIF(Equipo!C81,"OK")+COUNTIF(Equipo!D81,"OK")+COUNTIF(Equipo!E81,"OK")+COUNTIF(Equipo!F81,"OK")+COUNTIF(Equipo!G81,"OK")+COUNTIF(Equipo!H85,"OK")+COUNTIF(Equipo!H86,"OK")+COUNTIF(Equipo!H87,"OK")+COUNTIF(Equipo!H88,"OK")+COUNTIF(Equipo!H89,"OK")+COUNTIF(Equipo!B92,"OK")+COUNTIF(Equipo!C92,"OK")+COUNTIF(Equipo!D92,"OK")+COUNTIF(Equipo!E92,"OK")+COUNTIF(Equipo!F92,"OK")+COUNTIF(Equipo!G92,"OK")</f>
        <v>90.0</v>
      </c>
      <c r="C23" s="6">
        <v>90</v>
      </c>
      <c r="D23" s="11" t="str">
        <f>IF(B23=C23,"OK","ERROR")</f>
        <v>OK</v>
      </c>
    </row>
    <row r="24" spans="1:4">
      <c r="A24" s="4" t="s">
        <v>200</v>
      </c>
      <c r="B24" s="7">
        <f>COUNTIF(Mezclas!C21,"OK")+COUNTIF(Mezclas!D21,"OK")+COUNTIF(Mezclas!E21,"OK")+COUNTIF(Mezclas!C41,"OK")+COUNTIF(Mezclas!D41,"OK")+COUNTIF(Mezclas!E41,"OK")+COUNTIF(Mezclas!C61,"OK")+COUNTIF(Mezclas!D61,"OK")+COUNTIF(Mezclas!E61,"OK")</f>
        <v>9.0</v>
      </c>
      <c r="C24" s="6">
        <v>9</v>
      </c>
      <c r="D24" s="11" t="str">
        <f>IF(B24=C24,"OK","ERROR")</f>
        <v>OK</v>
      </c>
    </row>
    <row r="25" spans="1:4">
      <c r="A25" s="4" t="s">
        <v>201</v>
      </c>
      <c r="B25" s="7">
        <f>COUNTIF(Equipo!K6,"OK")+COUNTIF(Equipo!K7,"OK")+COUNTIF(Equipo!K8,"OK")+COUNTIF(Equipo!K15,"OK")+COUNTIF(Equipo!K16,"OK")+COUNTIF(Equipo!K17,"OK")+COUNTIF(Equipo!K18,"OK")+COUNTIF(Equipo!K25,"OK")+COUNTIF(Equipo!K26,"OK")+COUNTIF(Equipo!K27,"OK")+COUNTIF(Equipo!K28,"OK")+COUNTIF(Equipo!K29,"OK")+COUNTIF(Equipo!K36,"OK")+COUNTIF(Equipo!K37,"OK")+COUNTIF(Equipo!K38,"OK")+COUNTIF(Equipo!K45,"OK")+COUNTIF(Equipo!K46,"OK")+COUNTIF(Equipo!K47,"OK")+COUNTIF(Equipo!K48,"OK")+COUNTIF(Equipo!K55,"OK")+COUNTIF(Equipo!K56,"OK")+COUNTIF(Equipo!K57,"OK")+COUNTIF(Equipo!K58,"OK")+COUNTIF(Equipo!K59,"OK")+COUNTIF(Equipo!K66,"OK")+COUNTIF(Equipo!K67,"OK")+COUNTIF(Equipo!K68,"OK")+COUNTIF(Equipo!K75,"OK")+COUNTIF(Equipo!K76,"OK")+COUNTIF(Equipo!K77,"OK")+COUNTIF(Equipo!K78,"OK")+COUNTIF(Equipo!K85,"OK")+COUNTIF(Equipo!K86,"OK")+COUNTIF(Equipo!K87,"OK")+COUNTIF(Equipo!K88,"OK")+COUNTIF(Equipo!K89,"OK")</f>
        <v>36.0</v>
      </c>
      <c r="C25" s="6">
        <v>36</v>
      </c>
      <c r="D25" s="11" t="str">
        <f>IF(B25=C25,"OK","ERROR")</f>
        <v>OK</v>
      </c>
    </row>
    <row r="27" spans="1:4">
      <c r="A27" s="9" t="s">
        <v>202</v>
      </c>
      <c r="D27" s="11" t="str">
        <f>IF(COUNTIF(D4:D25,"OK")=22,"OK","ERROR")</f>
        <v>OK</v>
      </c>
    </row>
  </sheetData>
  <conditionalFormatting sqref="D4">
    <cfRule type="cellIs" dxfId="0" priority="1" operator="equal">
      <formula>"ERROR"</formula>
    </cfRule>
  </conditionalFormatting>
  <conditionalFormatting sqref="D5">
    <cfRule type="cellIs" dxfId="0" priority="2" operator="equal">
      <formula>"ERROR"</formula>
    </cfRule>
  </conditionalFormatting>
  <conditionalFormatting sqref="D6">
    <cfRule type="cellIs" dxfId="0" priority="3" operator="equal">
      <formula>"ERROR"</formula>
    </cfRule>
  </conditionalFormatting>
  <conditionalFormatting sqref="D7">
    <cfRule type="cellIs" dxfId="0" priority="4" operator="equal">
      <formula>"ERROR"</formula>
    </cfRule>
  </conditionalFormatting>
  <conditionalFormatting sqref="D8">
    <cfRule type="cellIs" dxfId="0" priority="5" operator="equal">
      <formula>"ERROR"</formula>
    </cfRule>
  </conditionalFormatting>
  <conditionalFormatting sqref="D9">
    <cfRule type="cellIs" dxfId="0" priority="6" operator="equal">
      <formula>"ERROR"</formula>
    </cfRule>
  </conditionalFormatting>
  <conditionalFormatting sqref="D10">
    <cfRule type="cellIs" dxfId="0" priority="7" operator="equal">
      <formula>"ERROR"</formula>
    </cfRule>
  </conditionalFormatting>
  <conditionalFormatting sqref="D11">
    <cfRule type="cellIs" dxfId="0" priority="8" operator="equal">
      <formula>"ERROR"</formula>
    </cfRule>
  </conditionalFormatting>
  <conditionalFormatting sqref="D12">
    <cfRule type="cellIs" dxfId="0" priority="9" operator="equal">
      <formula>"ERROR"</formula>
    </cfRule>
  </conditionalFormatting>
  <conditionalFormatting sqref="D13">
    <cfRule type="cellIs" dxfId="0" priority="10" operator="equal">
      <formula>"ERROR"</formula>
    </cfRule>
  </conditionalFormatting>
  <conditionalFormatting sqref="D14">
    <cfRule type="cellIs" dxfId="0" priority="11" operator="equal">
      <formula>"ERROR"</formula>
    </cfRule>
  </conditionalFormatting>
  <conditionalFormatting sqref="D15">
    <cfRule type="cellIs" dxfId="0" priority="12" operator="equal">
      <formula>"ERROR"</formula>
    </cfRule>
  </conditionalFormatting>
  <conditionalFormatting sqref="D16">
    <cfRule type="cellIs" dxfId="0" priority="13" operator="equal">
      <formula>"ERROR"</formula>
    </cfRule>
  </conditionalFormatting>
  <conditionalFormatting sqref="D17">
    <cfRule type="cellIs" dxfId="0" priority="14" operator="equal">
      <formula>"ERROR"</formula>
    </cfRule>
  </conditionalFormatting>
  <conditionalFormatting sqref="D18">
    <cfRule type="cellIs" dxfId="0" priority="15" operator="equal">
      <formula>"ERROR"</formula>
    </cfRule>
  </conditionalFormatting>
  <conditionalFormatting sqref="D19">
    <cfRule type="cellIs" dxfId="0" priority="16" operator="equal">
      <formula>"ERROR"</formula>
    </cfRule>
  </conditionalFormatting>
  <conditionalFormatting sqref="D20">
    <cfRule type="cellIs" dxfId="0" priority="17" operator="equal">
      <formula>"ERROR"</formula>
    </cfRule>
  </conditionalFormatting>
  <conditionalFormatting sqref="D21">
    <cfRule type="cellIs" dxfId="0" priority="18" operator="equal">
      <formula>"ERROR"</formula>
    </cfRule>
  </conditionalFormatting>
  <conditionalFormatting sqref="D22">
    <cfRule type="cellIs" dxfId="0" priority="19" operator="equal">
      <formula>"ERROR"</formula>
    </cfRule>
  </conditionalFormatting>
  <conditionalFormatting sqref="D23">
    <cfRule type="cellIs" dxfId="0" priority="20" operator="equal">
      <formula>"ERROR"</formula>
    </cfRule>
  </conditionalFormatting>
  <conditionalFormatting sqref="D24">
    <cfRule type="cellIs" dxfId="0" priority="21" operator="equal">
      <formula>"ERROR"</formula>
    </cfRule>
  </conditionalFormatting>
  <conditionalFormatting sqref="D25">
    <cfRule type="cellIs" dxfId="0" priority="22" operator="equal">
      <formula>"ERROR"</formula>
    </cfRule>
  </conditionalFormatting>
  <conditionalFormatting sqref="D27">
    <cfRule type="cellIs" dxfId="0" priority="23" operator="equal">
      <formula>"ERROR"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Parametros</vt:lpstr>
      <vt:lpstr>Tareas</vt:lpstr>
      <vt:lpstr>Septiembre</vt:lpstr>
      <vt:lpstr>Planes</vt:lpstr>
      <vt:lpstr>Mezclas</vt:lpstr>
      <vt:lpstr>Equipo</vt:lpstr>
      <vt:lpstr>Verificacion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2026-10-23T20:08:16Z</dcterms:created>
  <dcterms:modified xsi:type="dcterms:W3CDTF">2026-10-23T20:08:16Z</dcterms:modified>
</cp:coreProperties>
</file>