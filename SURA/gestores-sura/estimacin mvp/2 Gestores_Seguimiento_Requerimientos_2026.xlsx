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Requisitos'!$A$4:$Q$187</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33">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
      <name val="Sura Sans"/>
      <b val="1"/>
      <sz val="10"/>
    </font>
    <font>
      <name val="Sura Sans"/>
      <b val="1"/>
      <sz val="9"/>
    </font>
    <font>
      <name val="Sura Sans"/>
      <sz val="9"/>
    </font>
    <font/>
  </fonts>
  <fills count="31">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
      <patternFill patternType="solid">
        <fgColor rgb="00FFC7CE"/>
      </patternFill>
    </fill>
    <fill>
      <patternFill patternType="solid">
        <fgColor rgb="00FCE4D6"/>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21">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19" fillId="30" borderId="7" applyAlignment="1" pivotButton="0" quotePrefix="0" xfId="0">
      <alignment vertical="top" wrapText="1"/>
    </xf>
    <xf numFmtId="0" fontId="19" fillId="29" borderId="7" applyAlignment="1" pivotButton="0" quotePrefix="0" xfId="0">
      <alignment vertical="top" wrapText="1"/>
    </xf>
    <xf numFmtId="0" fontId="19" fillId="29" borderId="7" applyAlignment="1" pivotButton="0" quotePrefix="0" xfId="0">
      <alignment horizontal="center" vertical="center" wrapText="1"/>
    </xf>
    <xf numFmtId="0" fontId="29" fillId="0" borderId="0" pivotButton="0" quotePrefix="0" xfId="0"/>
    <xf numFmtId="0" fontId="30" fillId="27" borderId="0" pivotButton="0" quotePrefix="0" xfId="0"/>
    <xf numFmtId="0" fontId="31" fillId="0" borderId="0" applyAlignment="1" pivotButton="0" quotePrefix="0" xfId="0">
      <alignment vertical="top" wrapText="1"/>
    </xf>
    <xf numFmtId="0" fontId="30" fillId="30" borderId="0" pivotButton="0" quotePrefix="0" xfId="0"/>
    <xf numFmtId="0" fontId="30" fillId="29" borderId="0" pivotButton="0" quotePrefix="0" xfId="0"/>
    <xf numFmtId="0" fontId="30" fillId="28" borderId="0" pivotButton="0" quotePrefix="0" xfId="0"/>
    <xf numFmtId="0" fontId="30" fillId="0" borderId="0" pivotButton="0" quotePrefix="0" xfId="0"/>
    <xf numFmtId="0" fontId="32" fillId="0" borderId="0" pivotButton="0" quotePrefix="0" xfId="0"/>
    <xf numFmtId="0" fontId="30" fillId="27" borderId="0" applyAlignment="1" pivotButton="0" quotePrefix="0" xfId="0">
      <alignment vertical="center" wrapText="1"/>
    </xf>
    <xf numFmtId="0" fontId="30" fillId="29" borderId="0" applyAlignment="1" pivotButton="0" quotePrefix="0" xfId="0">
      <alignment vertical="center" wrapText="1"/>
    </xf>
    <xf numFmtId="0" fontId="30" fillId="30" borderId="0" applyAlignment="1" pivotButton="0" quotePrefix="0" xfId="0">
      <alignment vertical="center" wrapText="1"/>
    </xf>
    <xf numFmtId="0" fontId="30" fillId="28" borderId="0" applyAlignment="1" pivotButton="0" quotePrefix="0" xfId="0">
      <alignment vertical="center" wrapText="1"/>
    </xf>
    <xf numFmtId="0" fontId="3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87"/>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L6" s="56" t="inlineStr">
        <is>
          <t>M</t>
        </is>
      </c>
      <c r="M6" s="56" t="n">
        <v>5</v>
      </c>
      <c r="N6" s="56">
        <f>M6/10</f>
        <v/>
      </c>
    </row>
    <row r="7" ht="30" customHeight="1">
      <c r="A7" s="105" t="inlineStr">
        <is>
          <t>RF-003</t>
        </is>
      </c>
      <c r="B7" s="105" t="inlineStr">
        <is>
          <t>Funcional</t>
        </is>
      </c>
      <c r="C7" s="105" t="inlineStr">
        <is>
          <t>Canales / Front Externos</t>
        </is>
      </c>
      <c r="D7" s="105" t="inlineStr">
        <is>
          <t>Omnicanalidad real: el historial de solicitudes/autorizaciones debe verse igual sin importar el canal de origen.</t>
        </is>
      </c>
      <c r="E7" s="54" t="inlineStr">
        <is>
          <t>L</t>
        </is>
      </c>
      <c r="F7" s="105">
        <f>IF($E7="",0,INDEX($M$5:$M$8,MATCH($E7,$L$5:$L$8,0)))</f>
        <v/>
      </c>
      <c r="G7" s="105">
        <f>IF($F7=0,0,$F7/10)</f>
        <v/>
      </c>
      <c r="H7" s="105">
        <f>IFERROR(INDEX($O$15:$O$29,MATCH($C7,$L$15:$L$29,0)),"🟨 validar")</f>
        <v/>
      </c>
      <c r="I7" s="105" t="inlineStr">
        <is>
          <t>Estimado acotado a los canales que el MVP habilita. La omnicanalidad sobre los ocho canales dibujados exige AVA y Nexo, que son de 2027.</t>
        </is>
      </c>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L8" s="56" t="inlineStr">
        <is>
          <t>XL</t>
        </is>
      </c>
      <c r="M8" s="56" t="n">
        <v>20</v>
      </c>
      <c r="N8" s="56">
        <f>M8/10</f>
        <v/>
      </c>
    </row>
    <row r="9" ht="30" customHeight="1">
      <c r="A9" s="106" t="inlineStr">
        <is>
          <t>RF-005</t>
        </is>
      </c>
      <c r="B9" s="106" t="inlineStr">
        <is>
          <t>Funcional</t>
        </is>
      </c>
      <c r="C9" s="106" t="inlineStr">
        <is>
          <t>Canales / Front Externos</t>
        </is>
      </c>
      <c r="D9" s="106" t="inlineStr">
        <is>
          <t>Habilitar el canal de acceso para que los 3 tipos de publico puedan realizar solicitudes de autorización: prestador (70-80% del volumen, foco prioritario), cliente/asegurado (~15%) y asesor (~5%, tendencia a minimizarse).
(Portal Prestador, SVP, AVA/NEXO, Super App, WH)</t>
        </is>
      </c>
      <c r="E9" s="107" t="n"/>
      <c r="F9" s="106">
        <f>IF($E9="",0,INDEX($M$5:$M$8,MATCH($E9,$L$5:$L$8,0)))</f>
        <v/>
      </c>
      <c r="G9" s="106">
        <f>IF($F9=0,0,$F9/10)</f>
        <v/>
      </c>
      <c r="H9" s="106">
        <f>IFERROR(INDEX($O$15:$O$29,MATCH($C9,$L$15:$L$29,0)),"🟨 validar")</f>
        <v/>
      </c>
      <c r="I9" s="106" t="inlineStr">
        <is>
          <t>🟥 No estimable como está redactado. Pide habilitar los cinco canales (Portal Prestador, SVP, AVA/Nexo, Super App, WhatsApp) para los tres públicos, pero el MVP 2026 habilita Portal Proveedor y SVP; AVA y Nexo son épicas de 2027. Acotar el requisito a los canales del MVP y volver a tallar.</t>
        </is>
      </c>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105" t="inlineStr">
        <is>
          <t>RF-011</t>
        </is>
      </c>
      <c r="B15" s="105" t="inlineStr">
        <is>
          <t>Funcional</t>
        </is>
      </c>
      <c r="C15" s="105" t="inlineStr">
        <is>
          <t>Gestor de Evaluación</t>
        </is>
      </c>
      <c r="D15" s="105" t="inlineStr">
        <is>
          <t>Extrae mediante agente IA la información de los documentos adjuntos (orden médica + historia clínica).</t>
        </is>
      </c>
      <c r="E15" s="54" t="inlineStr">
        <is>
          <t>L</t>
        </is>
      </c>
      <c r="F15" s="105">
        <f>IF($E15="",0,INDEX($M$5:$M$8,MATCH($E15,$L$5:$L$8,0)))</f>
        <v/>
      </c>
      <c r="G15" s="105">
        <f>IF($F15=0,0,$F15/10)</f>
        <v/>
      </c>
      <c r="H15" s="105">
        <f>IFERROR(INDEX($O$15:$O$29,MATCH($C15,$L$15:$L$29,0)),"🟨 validar")</f>
        <v/>
      </c>
      <c r="I15" s="105" t="inlineStr">
        <is>
          <t>El dibujo del MVP ubica los extractores en la capa de agentes expertos del Gestor de Solicitud, no en Evaluación; RT-017 confirma que Evaluación consume lo ya extraído. La talla cubre los dos extractores del MVP (historia clínica y orden).</t>
        </is>
      </c>
      <c r="L15" s="58" t="inlineStr">
        <is>
          <t>Gestor de Monitoreo (Torre de Control)</t>
        </is>
      </c>
      <c r="M15" s="58">
        <f>COUNTIFS($C$5:$C$187,L15,$B$5:$B$187,"Funcional")</f>
        <v/>
      </c>
      <c r="N15" s="58">
        <f>COUNTIFS($C$5:$C$187,L15,$B$5:$B$187,"Técnico")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L16" s="58" t="inlineStr">
        <is>
          <t>Interoperabilidad (Prestadores)</t>
        </is>
      </c>
      <c r="M16" s="58">
        <f>COUNTIFS($C$5:$C$187,L16,$B$5:$B$187,"Funcional")</f>
        <v/>
      </c>
      <c r="N16" s="58">
        <f>COUNTIFS($C$5:$C$187,L16,$B$5:$B$187,"Técnico")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L17" s="60" t="inlineStr">
        <is>
          <t>Gestor de Evaluación</t>
        </is>
      </c>
      <c r="M17" s="60">
        <f>COUNTIFS($C$5:$C$187,L17,$B$5:$B$187,"Funcional")</f>
        <v/>
      </c>
      <c r="N17" s="60">
        <f>COUNTIFS($C$5:$C$187,L17,$B$5:$B$187,"Técnico")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L18" s="60" t="inlineStr">
        <is>
          <t>Gestor de Solicitud</t>
        </is>
      </c>
      <c r="M18" s="60">
        <f>COUNTIFS($C$5:$C$187,L18,$B$5:$B$187,"Funcional")</f>
        <v/>
      </c>
      <c r="N18" s="60">
        <f>COUNTIFS($C$5:$C$187,L18,$B$5:$B$187,"Técnico")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L19" s="62" t="inlineStr">
        <is>
          <t>Gestor de Coordinación</t>
        </is>
      </c>
      <c r="M19" s="62">
        <f>COUNTIFS($C$5:$C$187,L19,$B$5:$B$187,"Funcional")</f>
        <v/>
      </c>
      <c r="N19" s="62">
        <f>COUNTIFS($C$5:$C$187,L19,$B$5:$B$187,"Técnico")</f>
        <v/>
      </c>
      <c r="O19" s="62" t="inlineStr">
        <is>
          <t>No</t>
        </is>
      </c>
      <c r="P19" s="62" t="inlineStr">
        <is>
          <t>No aplica (absorbido por Core)</t>
        </is>
      </c>
      <c r="Q19" s="57" t="inlineStr">
        <is>
          <t>Decidido el 03-ago-2026 (con Viviana Monsalve): NO se implementa como gestor agéntico independiente. La asignación de prestador queda encapsulada en SuraHis (Core), principio KISS.</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L20" s="60" t="inlineStr">
        <is>
          <t>Canales / Front Externos</t>
        </is>
      </c>
      <c r="M20" s="60">
        <f>COUNTIFS($C$5:$C$187,L20,$B$5:$B$187,"Funcional")</f>
        <v/>
      </c>
      <c r="N20" s="60">
        <f>COUNTIFS($C$5:$C$187,L20,$B$5:$B$187,"Técnico")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L21" s="60" t="inlineStr">
        <is>
          <t>Transversal / Principios generales</t>
        </is>
      </c>
      <c r="M21" s="60">
        <f>COUNTIFS($C$5:$C$187,L21,$B$5:$B$187,"Funcional")</f>
        <v/>
      </c>
      <c r="N21" s="60">
        <f>COUNTIFS($C$5:$C$187,L21,$B$5:$B$187,"Técnico")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106" t="inlineStr">
        <is>
          <t>RF-018</t>
        </is>
      </c>
      <c r="B22" s="106" t="inlineStr">
        <is>
          <t>Funcional</t>
        </is>
      </c>
      <c r="C22" s="106" t="inlineStr">
        <is>
          <t>Siniestro Integral</t>
        </is>
      </c>
      <c r="D22" s="106" t="inlineStr">
        <is>
          <t>Validar si se debe publicar eventos antes de generar la solicitud oficial por parte del core</t>
        </is>
      </c>
      <c r="E22" s="107" t="n"/>
      <c r="F22" s="106">
        <f>IF($E22="",0,INDEX($M$5:$M$8,MATCH($E22,$L$5:$L$8,0)))</f>
        <v/>
      </c>
      <c r="G22" s="106">
        <f>IF($F22=0,0,$F22/10)</f>
        <v/>
      </c>
      <c r="H22" s="106">
        <f>IFERROR(INDEX($O$15:$O$29,MATCH($C22,$L$15:$L$29,0)),"🟨 validar")</f>
        <v/>
      </c>
      <c r="I22" s="106" t="inlineStr">
        <is>
          <t>🟥 No estimable: está redactado como una validación pendiente («Validar si se debe publicar eventos antes de generar la solicitud oficial»). El dibujo del MVP sí exige un evento por cada cambio de estado; falta decidir si se emite antes o después de la creación en el core.</t>
        </is>
      </c>
      <c r="L22" s="58" t="inlineStr">
        <is>
          <t>Gestor de Asignación</t>
        </is>
      </c>
      <c r="M22" s="58">
        <f>COUNTIFS($C$5:$C$187,L22,$B$5:$B$187,"Funcional")</f>
        <v/>
      </c>
      <c r="N22" s="58">
        <f>COUNTIFS($C$5:$C$187,L22,$B$5:$B$187,"Técnico")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L23" s="60" t="inlineStr">
        <is>
          <t>Siniestro Integral</t>
        </is>
      </c>
      <c r="M23" s="60">
        <f>COUNTIFS($C$5:$C$187,L23,$B$5:$B$187,"Funcional")</f>
        <v/>
      </c>
      <c r="N23" s="60">
        <f>COUNTIFS($C$5:$C$187,L23,$B$5:$B$187,"Técnico")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L24" s="62" t="inlineStr">
        <is>
          <t>NEXO (Asesores)</t>
        </is>
      </c>
      <c r="M24" s="62">
        <f>COUNTIFS($C$5:$C$187,L24,$B$5:$B$187,"Funcional")</f>
        <v/>
      </c>
      <c r="N24" s="62">
        <f>COUNTIFS($C$5:$C$187,L24,$B$5:$B$187,"Técnico")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L25" s="62" t="inlineStr">
        <is>
          <t>Gestor de Prestación</t>
        </is>
      </c>
      <c r="M25" s="62">
        <f>COUNTIFS($C$5:$C$187,L25,$B$5:$B$187,"Funcional")</f>
        <v/>
      </c>
      <c r="N25" s="62">
        <f>COUNTIFS($C$5:$C$187,L25,$B$5:$B$187,"Técnico")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105" t="inlineStr">
        <is>
          <t>RF-022</t>
        </is>
      </c>
      <c r="B26" s="105" t="inlineStr">
        <is>
          <t>Funcional</t>
        </is>
      </c>
      <c r="C26" s="105" t="inlineStr">
        <is>
          <t>Gestor de Evaluación</t>
        </is>
      </c>
      <c r="D26" s="105" t="inlineStr">
        <is>
          <t>Revisar la integración para consultar mora (ir directamente al core de PDN o pasar por SuraHis).</t>
        </is>
      </c>
      <c r="E26" s="54" t="inlineStr">
        <is>
          <t>S</t>
        </is>
      </c>
      <c r="F26" s="105">
        <f>IF($E26="",0,INDEX($M$5:$M$8,MATCH($E26,$L$5:$L$8,0)))</f>
        <v/>
      </c>
      <c r="G26" s="105">
        <f>IF($F26=0,0,$F26/10)</f>
        <v/>
      </c>
      <c r="H26" s="105">
        <f>IFERROR(INDEX($O$15:$O$29,MATCH($C26,$L$15:$L$29,0)),"🟨 validar")</f>
        <v/>
      </c>
      <c r="I26" s="105" t="inlineStr">
        <is>
          <t>El dibujo lo resuelve: el dato se pide primero a SuraHis y la conexión directa solo se justifica si el core no lo tiene. La talla cubre el ajuste de la integración, no la decisión.</t>
        </is>
      </c>
      <c r="L26" s="62" t="inlineStr">
        <is>
          <t>AVA (Asesores — AVA)</t>
        </is>
      </c>
      <c r="M26" s="62">
        <f>COUNTIFS($C$5:$C$187,L26,$B$5:$B$187,"Funcional")</f>
        <v/>
      </c>
      <c r="N26" s="62">
        <f>COUNTIFS($C$5:$C$187,L26,$B$5:$B$187,"Técnico")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L27" s="60" t="inlineStr">
        <is>
          <t>Transversal</t>
        </is>
      </c>
      <c r="M27" s="60">
        <f>COUNTIFS($C$5:$C$187,L27,$B$5:$B$187,"Funcional")</f>
        <v/>
      </c>
      <c r="N27" s="60">
        <f>COUNTIFS($C$5:$C$187,L27,$B$5:$B$187,"Técnico")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L28" s="62" t="inlineStr">
        <is>
          <t>Gestor de Finalización</t>
        </is>
      </c>
      <c r="M28" s="62">
        <f>COUNTIFS($C$5:$C$187,L28,$B$5:$B$187,"Funcional")</f>
        <v/>
      </c>
      <c r="N28" s="62">
        <f>COUNTIFS($C$5:$C$187,L28,$B$5:$B$187,"Técnico")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L29" s="62" t="inlineStr">
        <is>
          <t>Surahis</t>
        </is>
      </c>
      <c r="M29" s="62">
        <f>COUNTIFS($C$5:$C$187,L29,$B$5:$B$187,"Funcional")</f>
        <v/>
      </c>
      <c r="N29" s="62">
        <f>COUNTIFS($C$5:$C$187,L29,$B$5:$B$187,"Técnico")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row>
    <row r="3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c r="L31" s="115" t="n"/>
      <c r="M31" s="115" t="n"/>
      <c r="N31" s="115" t="n"/>
      <c r="O31" s="115" t="n"/>
      <c r="P31" s="115" t="n"/>
      <c r="Q31" s="115" t="n"/>
    </row>
    <row r="32">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c r="L32" s="108" t="inlineStr">
        <is>
          <t>Leyenda y criterio de esta estimación (Tech and Solve)</t>
        </is>
      </c>
      <c r="M32" s="115" t="n"/>
      <c r="N32" s="115" t="n"/>
      <c r="O32" s="115" t="n"/>
      <c r="P32" s="115" t="n"/>
      <c r="Q32" s="115" t="n"/>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c r="L33" s="116" t="inlineStr">
        <is>
          <t>Fila adicionada</t>
        </is>
      </c>
      <c r="M33" s="110" t="inlineStr">
        <is>
          <t>Requisito funcional nuevo, RF-109 a RF-129. Elementos que el dibujo del MVP y la vista de tecnología exigen y que la hoja no tenía.</t>
        </is>
      </c>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c r="L34" s="117" t="inlineStr">
        <is>
          <t>Alerta · sin tallar</t>
        </is>
      </c>
      <c r="M34" s="110" t="inlineStr">
        <is>
          <t>Requisito que no se pudo estimar. La duda concreta queda escrita en Observaciones. Son 11.</t>
        </is>
      </c>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c r="L35" s="118" t="inlineStr">
        <is>
          <t>Fila modificada</t>
        </is>
      </c>
      <c r="M35" s="110" t="inlineStr">
        <is>
          <t>Requisito que entra al MVP con una salvedad sobre qué cubre la talla, o cuya duda ya se cerró con una decisión del equipo; en ambos casos queda escrita en Observaciones. Son 9.</t>
        </is>
      </c>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c r="L36" s="119" t="inlineStr">
        <is>
          <t>Talla diligenciada</t>
        </is>
      </c>
      <c r="M36" s="110" t="inlineStr">
        <is>
          <t>Fila sin color con valor en Talla: requisito del MVP estimado sin salvedades.</t>
        </is>
      </c>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c r="L37" s="120" t="inlineStr">
        <is>
          <t>Sin color y sin talla</t>
        </is>
      </c>
      <c r="M37" s="110" t="inlineStr">
        <is>
          <t>Requisito fuera del MVP. No se modificó ninguna de estas filas.</t>
        </is>
      </c>
    </row>
    <row r="38">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c r="L38" s="115" t="n"/>
      <c r="M38" s="115" t="n"/>
      <c r="N38" s="115" t="n"/>
      <c r="O38" s="115" t="n"/>
      <c r="P38" s="115" t="n"/>
      <c r="Q38" s="115" t="n"/>
    </row>
    <row r="39">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c r="L39" s="108" t="inlineStr">
        <is>
          <t>Resultado</t>
        </is>
      </c>
      <c r="M39" s="115" t="n"/>
      <c r="N39" s="115" t="n"/>
      <c r="O39" s="115" t="n"/>
      <c r="P39" s="115" t="n"/>
      <c r="Q39" s="115" t="n"/>
    </row>
    <row r="40" ht="46"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c r="L40" s="120" t="inlineStr">
        <is>
          <t>Suma y margen</t>
        </is>
      </c>
      <c r="M40" s="110" t="inlineStr">
        <is>
          <t>76 requisitos del MVP tallados: 525 días hábiles, 52 sprints de un frente, con la escala de la propia hoja. La suma va sin margen de incertidumbre. Reparto: Gestor de Evaluación 138 d · Gestor de Monitoreo 97 d · Gestor de Solicitud 84 d · Transversal (principios) 59 d · Siniestro Integral 52 d · Transversal 50 d · Canales / Front Externos 43 d · Interoperabilidad (Prestadores) 2 d.</t>
        </is>
      </c>
    </row>
    <row r="4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c r="L41" s="115" t="n"/>
      <c r="M41" s="115" t="n"/>
      <c r="N41" s="115" t="n"/>
      <c r="O41" s="115" t="n"/>
      <c r="P41" s="115" t="n"/>
      <c r="Q41" s="115" t="n"/>
    </row>
    <row r="42">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n"/>
      <c r="F42" s="53">
        <f>IF($E42="",0,INDEX($M$5:$M$8,MATCH($E42,$L$5:$L$8,0)))</f>
        <v/>
      </c>
      <c r="G42" s="53">
        <f>IF($F42=0,0,$F42/10)</f>
        <v/>
      </c>
      <c r="H42" s="53">
        <f>IFERROR(INDEX($O$15:$O$29,MATCH($C42,$L$15:$L$29,0)),"🟨 validar")</f>
        <v/>
      </c>
      <c r="I42" s="53" t="n"/>
      <c r="L42" s="108" t="inlineStr">
        <is>
          <t>Criterio de alcance</t>
        </is>
      </c>
      <c r="M42" s="115" t="n"/>
      <c r="N42" s="115" t="n"/>
      <c r="O42" s="115" t="n"/>
      <c r="P42" s="115" t="n"/>
      <c r="Q42" s="115" t="n"/>
    </row>
    <row r="43" ht="6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n"/>
      <c r="F43" s="53">
        <f>IF($E43="",0,INDEX($M$5:$M$8,MATCH($E43,$L$5:$L$8,0)))</f>
        <v/>
      </c>
      <c r="G43" s="53">
        <f>IF($F43=0,0,$F43/10)</f>
        <v/>
      </c>
      <c r="H43" s="53">
        <f>IFERROR(INDEX($O$15:$O$29,MATCH($C43,$L$15:$L$29,0)),"🟨 validar")</f>
        <v/>
      </c>
      <c r="I43" s="53" t="n"/>
      <c r="L43" s="120" t="inlineStr">
        <is>
          <t>Qué entra</t>
        </is>
      </c>
      <c r="M43" s="110" t="inlineStr">
        <is>
          <t>La pertenencia al MVP se decidió requisito por requisito contra «resumen-arquitectura-gestores — Arquitectura MVP» y «arquitectura-tecnologia», no contra la columna «¿En MVP?», que se deriva por épica y por eso marca «Sí» a épicas donde solo una parte entra. Entran Solicitud, Evaluación, Siniestro Integral, los canales que el MVP habilita, las capas 1 y 2 de la torre, el acceso al dato vía el core y los transversales del ciclo de mejora y del plano de control. Quedan fuera Coordinación, Prestación, Finalización, Asignación, Nexo, AVA, la interoperabilidad de autorizaciones y las capas 3, 4 y 5 de la torre.</t>
        </is>
      </c>
    </row>
    <row r="44">
      <c r="A44" s="57" t="inlineStr">
        <is>
          <t>RF-040</t>
        </is>
      </c>
      <c r="B44" s="57" t="inlineStr">
        <is>
          <t>Funcional</t>
        </is>
      </c>
      <c r="C44" s="57" t="inlineStr">
        <is>
          <t>Gestor de Coordinación</t>
        </is>
      </c>
      <c r="D44" s="57" t="inlineStr">
        <is>
          <t>Criterios de priorización de prestadores: quejas (Medallia), satisfacción, disponibilidad de citas, "suficiencia de la red" y tarifa del prestador.</t>
        </is>
      </c>
      <c r="E44" s="54" t="n"/>
      <c r="F44" s="53">
        <f>IF($E44="",0,INDEX($M$5:$M$8,MATCH($E44,$L$5:$L$8,0)))</f>
        <v/>
      </c>
      <c r="G44" s="53">
        <f>IF($F44=0,0,$F44/10)</f>
        <v/>
      </c>
      <c r="H44" s="53">
        <f>IFERROR(INDEX($O$15:$O$29,MATCH($C44,$L$15:$L$29,0)),"🟨 validar")</f>
        <v/>
      </c>
      <c r="I44" s="53" t="n"/>
      <c r="L44" s="115" t="n"/>
      <c r="M44" s="115" t="n"/>
      <c r="N44" s="115" t="n"/>
      <c r="O44" s="115" t="n"/>
      <c r="P44" s="115" t="n"/>
      <c r="Q44" s="115" t="n"/>
    </row>
    <row r="45">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n"/>
      <c r="F45" s="53">
        <f>IF($E45="",0,INDEX($M$5:$M$8,MATCH($E45,$L$5:$L$8,0)))</f>
        <v/>
      </c>
      <c r="G45" s="53">
        <f>IF($F45=0,0,$F45/10)</f>
        <v/>
      </c>
      <c r="H45" s="53">
        <f>IFERROR(INDEX($O$15:$O$29,MATCH($C45,$L$15:$L$29,0)),"🟨 validar")</f>
        <v/>
      </c>
      <c r="I45" s="53" t="n"/>
      <c r="L45" s="108" t="inlineStr">
        <is>
          <t>Tres cosas que conviene saber antes de leer el total</t>
        </is>
      </c>
      <c r="M45" s="115" t="n"/>
      <c r="N45" s="115" t="n"/>
      <c r="O45" s="115" t="n"/>
      <c r="P45" s="115" t="n"/>
      <c r="Q45" s="115" t="n"/>
    </row>
    <row r="46" ht="32"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n"/>
      <c r="F46" s="53">
        <f>IF($E46="",0,INDEX($M$5:$M$8,MATCH($E46,$L$5:$L$8,0)))</f>
        <v/>
      </c>
      <c r="G46" s="53">
        <f>IF($F46=0,0,$F46/10)</f>
        <v/>
      </c>
      <c r="H46" s="53">
        <f>IFERROR(INDEX($O$15:$O$29,MATCH($C46,$L$15:$L$29,0)),"🟨 validar")</f>
        <v/>
      </c>
      <c r="I46" s="53" t="n"/>
      <c r="L46" s="120" t="inlineStr">
        <is>
          <t>La escala se contradice</t>
        </is>
      </c>
      <c r="M46" s="110" t="inlineStr">
        <is>
          <t>La tabla de tallaje dice S = 2 días y la nota de al lado dice S ≈ 3 días. Se usó la tabla, porque es la que alimenta la fórmula de la columna F. Si el equipo confirma los 3 días, el total sube 15 días (hay 15 requisitos en S).</t>
        </is>
      </c>
    </row>
    <row r="47" ht="32"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n"/>
      <c r="F47" s="53">
        <f>IF($E47="",0,INDEX($M$5:$M$8,MATCH($E47,$L$5:$L$8,0)))</f>
        <v/>
      </c>
      <c r="G47" s="53">
        <f>IF($F47=0,0,$F47/10)</f>
        <v/>
      </c>
      <c r="H47" s="53">
        <f>IFERROR(INDEX($O$15:$O$29,MATCH($C47,$L$15:$L$29,0)),"🟨 validar")</f>
        <v/>
      </c>
      <c r="I47" s="53" t="n"/>
      <c r="L47" s="120" t="inlineStr">
        <is>
          <t>Funcionales y técnicos se suman</t>
        </is>
      </c>
      <c r="M47" s="110" t="inlineStr">
        <is>
          <t>La hoja talla por separado el requisito funcional y el técnico, y así se respetó. Hay pares que describen la misma capacidad —RF-021 con RT-018, RF-024 con RT-020, RF-025 con RT-021, RF-001 con RT-011, RF-011 con RT-017—. Si el equipo decide contarlos una sola vez, el total baja hasta 32 días.</t>
        </is>
      </c>
    </row>
    <row r="48" ht="26"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c r="L48" s="120" t="inlineStr">
        <is>
          <t>Mínimos del acta</t>
        </is>
      </c>
      <c r="M48" s="110" t="inlineStr">
        <is>
          <t>El acta del 21-ago-2026 fija talla mínima L para el Gestor de Solicitud y mínimo 1 sprint para Siniestro Integral. Ambos se cumplen: 59 y 52 días.</t>
        </is>
      </c>
    </row>
    <row r="49">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c r="L49" s="115" t="n"/>
      <c r="M49" s="115" t="n"/>
      <c r="N49" s="115" t="n"/>
      <c r="O49" s="115" t="n"/>
      <c r="P49" s="115" t="n"/>
      <c r="Q49" s="115" t="n"/>
    </row>
    <row r="50" ht="30" customHeight="1">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row>
    <row r="51" ht="30" customHeight="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row>
    <row r="52" ht="30" customHeight="1">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row>
    <row r="53" ht="30" customHeight="1">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row>
    <row r="54" ht="30" customHeight="1">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row>
    <row r="55" ht="30" customHeight="1">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row>
    <row r="56" ht="30" customHeight="1">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row>
    <row r="57" ht="30"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row>
    <row r="58" ht="30" customHeight="1">
      <c r="A58" s="105" t="inlineStr">
        <is>
          <t>RF-054</t>
        </is>
      </c>
      <c r="B58" s="105" t="inlineStr">
        <is>
          <t>Funcional</t>
        </is>
      </c>
      <c r="C58" s="105" t="inlineStr">
        <is>
          <t>Gestor de Evaluación</t>
        </is>
      </c>
      <c r="D58" s="105"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105">
        <f>IF($E58="",0,INDEX($M$5:$M$8,MATCH($E58,$L$5:$L$8,0)))</f>
        <v/>
      </c>
      <c r="G58" s="105">
        <f>IF($F58=0,0,$F58/10)</f>
        <v/>
      </c>
      <c r="H58" s="105">
        <f>IFERROR(INDEX($O$15:$O$29,MATCH($C58,$L$15:$L$29,0)),"🟨 validar")</f>
        <v/>
      </c>
      <c r="I58" s="105" t="inlineStr">
        <is>
          <t>Entra la detección de solicitudes repetidas, que el dibujo resuelve en la capa de duplicidad. La talla cubre solo eso: el flujo de rescate que el requisito invoca (RF-019) y la notificación al asegurado quedan fuera del MVP, así que el requisito no se cumple completo con esta talla.</t>
        </is>
      </c>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row>
    <row r="62" ht="30" customHeight="1">
      <c r="A62" s="105" t="inlineStr">
        <is>
          <t>RF-058</t>
        </is>
      </c>
      <c r="B62" s="105" t="inlineStr">
        <is>
          <t>Funcional</t>
        </is>
      </c>
      <c r="C62" s="105" t="inlineStr">
        <is>
          <t>Canales / Front Externos</t>
        </is>
      </c>
      <c r="D62" s="105" t="inlineStr">
        <is>
          <t>La selección de prestador no es necesaria en la solicitud inicial, se debe sugerir el prestador cuando se tenga idetificado el servicio que solicita.</t>
        </is>
      </c>
      <c r="E62" s="54" t="inlineStr">
        <is>
          <t>S</t>
        </is>
      </c>
      <c r="F62" s="105">
        <f>IF($E62="",0,INDEX($M$5:$M$8,MATCH($E62,$L$5:$L$8,0)))</f>
        <v/>
      </c>
      <c r="G62" s="105">
        <f>IF($F62=0,0,$F62/10)</f>
        <v/>
      </c>
      <c r="H62" s="105">
        <f>IFERROR(INDEX($O$15:$O$29,MATCH($C62,$L$15:$L$29,0)),"🟨 validar")</f>
        <v/>
      </c>
      <c r="I62" s="105" t="inlineStr">
        <is>
          <t>Entra la parte del front: no exigir la selección de prestador en la solicitud inicial. Sugerir el prestador es del Gestor de Coordinación, que queda fuera del MVP.</t>
        </is>
      </c>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row>
    <row r="74" ht="30" customHeight="1">
      <c r="A74" s="105" t="inlineStr">
        <is>
          <t>RF-070</t>
        </is>
      </c>
      <c r="B74" s="105" t="inlineStr">
        <is>
          <t>Funcional</t>
        </is>
      </c>
      <c r="C74" s="105" t="inlineStr">
        <is>
          <t>Interoperabilidad (Prestadores)</t>
        </is>
      </c>
      <c r="D74" s="105"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105">
        <f>IF($E74="",0,INDEX($M$5:$M$8,MATCH($E74,$L$5:$L$8,0)))</f>
        <v/>
      </c>
      <c r="G74" s="105">
        <f>IF($F74=0,0,$F74/10)</f>
        <v/>
      </c>
      <c r="H74" s="105">
        <f>IFERROR(INDEX($O$15:$O$29,MATCH($C74,$L$15:$L$29,0)),"🟨 validar")</f>
        <v/>
      </c>
      <c r="I74" s="105" t="inlineStr">
        <is>
          <t>Entra el principio de acceso al dato vía el core, que el dibujo del MVP recoge explícitamente. La interoperabilidad de autorizaciones como tal queda fuera.</t>
        </is>
      </c>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row>
    <row r="81" ht="30" customHeight="1">
      <c r="A81" s="106" t="inlineStr">
        <is>
          <t>RF-077</t>
        </is>
      </c>
      <c r="B81" s="106" t="inlineStr">
        <is>
          <t>Funcional</t>
        </is>
      </c>
      <c r="C81" s="106" t="inlineStr">
        <is>
          <t>Gestor de Solicitud</t>
        </is>
      </c>
      <c r="D81" s="106" t="inlineStr">
        <is>
          <t>reglas de visibilidad en el portal de solicitudes — si el prestador que originó una orden puede ver las solicitudes que quedaron asignadas a otro prestador. Señalada explícitamente como decisión "muy importante" sin dueño claro todavía.</t>
        </is>
      </c>
      <c r="E81" s="107" t="n"/>
      <c r="F81" s="106">
        <f>IF($E81="",0,INDEX($M$5:$M$8,MATCH($E81,$L$5:$L$8,0)))</f>
        <v/>
      </c>
      <c r="G81" s="106">
        <f>IF($F81=0,0,$F81/10)</f>
        <v/>
      </c>
      <c r="H81" s="106">
        <f>IFERROR(INDEX($O$15:$O$29,MATCH($C81,$L$15:$L$29,0)),"🟨 validar")</f>
        <v/>
      </c>
      <c r="I81" s="106" t="inlineStr">
        <is>
          <t>🟥 No estimable: las reglas de visibilidad entre prestadores están señaladas en la propia hoja como decisión importante sin dueño. Definir la regla antes de tallar.</t>
        </is>
      </c>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row>
    <row r="101" ht="30" customHeight="1">
      <c r="A101" s="105" t="inlineStr">
        <is>
          <t>RF-097</t>
        </is>
      </c>
      <c r="B101" s="105" t="inlineStr">
        <is>
          <t>Funcional</t>
        </is>
      </c>
      <c r="C101" s="105" t="inlineStr">
        <is>
          <t>Gestor de Monitoreo (Torre de Control)</t>
        </is>
      </c>
      <c r="D101" s="105" t="inlineStr">
        <is>
          <t xml:space="preserve">Concepto de “gestor auditor” dentro de cada gestor y en torre de control nos permita ver el comportamiento y sugerencias para mejorar la autonomía del gestor </t>
        </is>
      </c>
      <c r="E101" s="54" t="inlineStr">
        <is>
          <t>L</t>
        </is>
      </c>
      <c r="F101" s="105">
        <f>IF($E101="",0,INDEX($M$5:$M$8,MATCH($E101,$L$5:$L$8,0)))</f>
        <v/>
      </c>
      <c r="G101" s="105">
        <f>IF($F101=0,0,$F101/10)</f>
        <v/>
      </c>
      <c r="H101" s="105">
        <f>IFERROR(INDEX($O$15:$O$29,MATCH($C101,$L$15:$L$29,0)),"🟨 validar")</f>
        <v/>
      </c>
      <c r="I101" s="105" t="inlineStr">
        <is>
          <t>Entra el agente auditor dentro de cada gestor, que el dibujo del MVP incluye en Solicitud y en Evaluación. El auditor de la torre es capa 3 y queda fuera.</t>
        </is>
      </c>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row>
    <row r="109" ht="30" customHeight="1">
      <c r="A109" s="53" t="inlineStr">
        <is>
          <t>RF-105</t>
        </is>
      </c>
      <c r="B109" s="53" t="inlineStr">
        <is>
          <t>Funcional</t>
        </is>
      </c>
      <c r="C109" s="53" t="inlineStr">
        <is>
          <t>Gestor de Coordinación</t>
        </is>
      </c>
      <c r="D109" s="53" t="inlineStr">
        <is>
          <t>Registrar los requisitos funcionales de cara a la asignación de proveedor, cambio de proveedor y lo que la IA podrá interactuar con el cliente</t>
        </is>
      </c>
      <c r="E109" s="54" t="n"/>
      <c r="F109" s="53">
        <f>IF($E109="",0,INDEX($M$5:$M$8,MATCH($E109,$L$5:$L$8,0)))</f>
        <v/>
      </c>
      <c r="G109" s="53">
        <f>IF($F109=0,0,$F109/10)</f>
        <v/>
      </c>
      <c r="H109" s="53">
        <f>IFERROR(INDEX($O$15:$O$29,MATCH($C109,$L$15:$L$29,0)),"🟨 validar")</f>
        <v/>
      </c>
      <c r="I109" s="53" t="n"/>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row>
    <row r="115" ht="30" customHeight="1">
      <c r="A115" s="106" t="inlineStr">
        <is>
          <t>RT-003</t>
        </is>
      </c>
      <c r="B115" s="106" t="inlineStr">
        <is>
          <t>Técnico</t>
        </is>
      </c>
      <c r="C115" s="106" t="inlineStr">
        <is>
          <t>Transversal / Principios generales</t>
        </is>
      </c>
      <c r="D115" s="106" t="inlineStr">
        <is>
          <t>Riesgo/premisa explícita: el proyecto solo tiene sentido si los cores implementan la capacidad de exponer información vía API a tiempo.</t>
        </is>
      </c>
      <c r="E115" s="107" t="n"/>
      <c r="F115" s="106">
        <f>IF($E115="",0,INDEX($M$5:$M$8,MATCH($E115,$L$5:$L$8,0)))</f>
        <v/>
      </c>
      <c r="G115" s="106">
        <f>IF($F115=0,0,$F115/10)</f>
        <v/>
      </c>
      <c r="H115" s="106">
        <f>IFERROR(INDEX($O$15:$O$29,MATCH($C115,$L$15:$L$29,0)),"🟨 validar")</f>
        <v/>
      </c>
      <c r="I115" s="106" t="inlineStr">
        <is>
          <t>🟥 No es un entregable de construcción sino una premisa de riesgo del proyecto. No se talla; se gestiona como dependencia externa de los cores.</t>
        </is>
      </c>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row>
    <row r="120" ht="30" customHeight="1">
      <c r="A120" s="105" t="inlineStr">
        <is>
          <t>RT-008</t>
        </is>
      </c>
      <c r="B120" s="105" t="inlineStr">
        <is>
          <t>Técnico</t>
        </is>
      </c>
      <c r="C120" s="105" t="inlineStr">
        <is>
          <t>Gestor de Solicitud</t>
        </is>
      </c>
      <c r="D120" s="105" t="inlineStr">
        <is>
          <t>Front nuevo (Flutter), embebido en Sucursal Virtual Personas, AVA y Portal de Prestadores; reutiliza el back/orquestador de Siniestro Integral.</t>
        </is>
      </c>
      <c r="E120" s="99" t="inlineStr">
        <is>
          <t>XL</t>
        </is>
      </c>
      <c r="F120" s="105">
        <f>IF($E120="",0,INDEX($M$5:$M$8,MATCH($E120,$L$5:$L$8,0)))</f>
        <v/>
      </c>
      <c r="G120" s="105">
        <f>IF($F120=0,0,$F120/10)</f>
        <v/>
      </c>
      <c r="H120" s="105">
        <f>IFERROR(INDEX($O$15:$O$29,MATCH($C120,$L$15:$L$29,0)),"🟨 validar")</f>
        <v/>
      </c>
      <c r="I120" s="105" t="inlineStr">
        <is>
          <t>El equipo confirmó Angular, con lo que se cierra el conflicto: coincide con lo que fija el lineamiento AI First, «La experiencia conversacional se materializa en una Static Web App basada en Angular SPA» (Arquitectura de implementación, página 6243680318). La talla cubre el front nuevo embebido en los dos canales del MVP, Portal Proveedor y SVP; AVA es 2027 y no está incluida.</t>
        </is>
      </c>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row>
    <row r="124" ht="30" customHeight="1">
      <c r="A124" s="106" t="inlineStr">
        <is>
          <t>RT-012</t>
        </is>
      </c>
      <c r="B124" s="106" t="inlineStr">
        <is>
          <t>Técnico</t>
        </is>
      </c>
      <c r="C124" s="106" t="inlineStr">
        <is>
          <t>Gestor de Solicitud</t>
        </is>
      </c>
      <c r="D124" s="106" t="inlineStr">
        <is>
          <t>OCR/IA: LLM multimodal interpreta documentos directamente (15-40 seg); reutiliza el agente de pre-radicación de EPS (~93% de precisión).</t>
        </is>
      </c>
      <c r="E124" s="107" t="n"/>
      <c r="F124" s="106">
        <f>IF($E124="",0,INDEX($M$5:$M$8,MATCH($E124,$L$5:$L$8,0)))</f>
        <v/>
      </c>
      <c r="G124" s="106">
        <f>IF($F124=0,0,$F124/10)</f>
        <v/>
      </c>
      <c r="H124" s="106">
        <f>IFERROR(INDEX($O$15:$O$29,MATCH($C124,$L$15:$L$29,0)),"🟨 validar")</f>
        <v/>
      </c>
      <c r="I124" s="106" t="inlineStr">
        <is>
          <t>🟥 Conflicto con el lineamiento. El requisito dice que un LLM multimodal interpreta los documentos directamente; el stack v0.5 declara Azure Document Intelligence obligatorio para OCR y extracción estructurada (Diseño Datos RAG/Knowledge/Memory, página 5900140571). El esfuerzo cambia según cuál se adopte.</t>
        </is>
      </c>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row>
    <row r="128" ht="30" customHeight="1">
      <c r="A128" s="106" t="inlineStr">
        <is>
          <t>RT-016</t>
        </is>
      </c>
      <c r="B128" s="106" t="inlineStr">
        <is>
          <t>Técnico</t>
        </is>
      </c>
      <c r="C128" s="106" t="inlineStr">
        <is>
          <t>Gestor de Solicitud</t>
        </is>
      </c>
      <c r="D128" s="106" t="inlineStr">
        <is>
          <t>Riesgo técnico abierto: Super App en Google Cloud vs. resto del ecosistema en Azure.</t>
        </is>
      </c>
      <c r="E128" s="107" t="n"/>
      <c r="F128" s="106">
        <f>IF($E128="",0,INDEX($M$5:$M$8,MATCH($E128,$L$5:$L$8,0)))</f>
        <v/>
      </c>
      <c r="G128" s="106">
        <f>IF($F128=0,0,$F128/10)</f>
        <v/>
      </c>
      <c r="H128" s="106">
        <f>IFERROR(INDEX($O$15:$O$29,MATCH($C128,$L$15:$L$29,0)),"🟨 validar")</f>
        <v/>
      </c>
      <c r="I128" s="106" t="inlineStr">
        <is>
          <t>🟥 Riesgo abierto, no entregable: la Super App opera en Google Cloud y el resto del ecosistema en Azure. Afecta a dos canales dibujados en el MVP. Requiere decisión de arquitectura antes de poder tallarlo.</t>
        </is>
      </c>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row>
    <row r="131" ht="30" customHeight="1">
      <c r="A131" s="106" t="inlineStr">
        <is>
          <t>RT-019</t>
        </is>
      </c>
      <c r="B131" s="106" t="inlineStr">
        <is>
          <t>Técnico</t>
        </is>
      </c>
      <c r="C131" s="106" t="inlineStr">
        <is>
          <t>Gestor de Evaluación</t>
        </is>
      </c>
      <c r="D131" s="106" t="inlineStr">
        <is>
          <t>Debe consultar políticas/reglas a SuraHis manteniendo también reglas propias de agente (modelo híbrido).</t>
        </is>
      </c>
      <c r="E131" s="107" t="n"/>
      <c r="F131" s="106">
        <f>IF($E131="",0,INDEX($M$5:$M$8,MATCH($E131,$L$5:$L$8,0)))</f>
        <v/>
      </c>
      <c r="G131" s="106">
        <f>IF($F131=0,0,$F131/10)</f>
        <v/>
      </c>
      <c r="H131" s="106">
        <f>IFERROR(INDEX($O$15:$O$29,MATCH($C131,$L$15:$L$29,0)),"🟨 validar")</f>
        <v/>
      </c>
      <c r="I131" s="106" t="inlineStr">
        <is>
          <t>🟥 Duplicado exacto de RT-018. Se deja sin tallar para no contar dos veces el mismo esfuerzo; conviene eliminarlo o diferenciarlo.</t>
        </is>
      </c>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n"/>
      <c r="F134" s="53">
        <f>IF($E134="",0,INDEX($M$5:$M$8,MATCH($E134,$L$5:$L$8,0)))</f>
        <v/>
      </c>
      <c r="G134" s="53">
        <f>IF($F134=0,0,$F134/10)</f>
        <v/>
      </c>
      <c r="H134" s="53">
        <f>IFERROR(INDEX($O$15:$O$29,MATCH($C134,$L$15:$L$29,0)),"🟨 validar")</f>
        <v/>
      </c>
      <c r="I134" s="53" t="n"/>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row>
    <row r="136" ht="30" customHeight="1">
      <c r="A136" s="57" t="inlineStr">
        <is>
          <t>RT-024</t>
        </is>
      </c>
      <c r="B136" s="57" t="inlineStr">
        <is>
          <t>Técnico</t>
        </is>
      </c>
      <c r="C136" s="57" t="inlineStr">
        <is>
          <t>Gestor de Coordinación</t>
        </is>
      </c>
      <c r="D136" s="57" t="inlineStr">
        <is>
          <t>Niveles de madurez agéntica: Nivel 1 determinístico → Nivel 2 + asistente explicativo → Nivel 3 agente autónomo (futuro, fuera de alcance actual).</t>
        </is>
      </c>
      <c r="E136" s="54" t="n"/>
      <c r="F136" s="53">
        <f>IF($E136="",0,INDEX($M$5:$M$8,MATCH($E136,$L$5:$L$8,0)))</f>
        <v/>
      </c>
      <c r="G136" s="53">
        <f>IF($F136=0,0,$F136/10)</f>
        <v/>
      </c>
      <c r="H136" s="53">
        <f>IFERROR(INDEX($O$15:$O$29,MATCH($C136,$L$15:$L$29,0)),"🟨 validar")</f>
        <v/>
      </c>
      <c r="I136" s="53" t="n"/>
    </row>
    <row r="137" ht="30" customHeight="1">
      <c r="A137" s="53" t="inlineStr">
        <is>
          <t>RT-025</t>
        </is>
      </c>
      <c r="B137" s="53" t="inlineStr">
        <is>
          <t>Técnico</t>
        </is>
      </c>
      <c r="C137" s="53" t="inlineStr">
        <is>
          <t>Gestor de Coordinación</t>
        </is>
      </c>
      <c r="D137" s="53" t="inlineStr">
        <is>
          <t>Integración con prestadores externos preferiblemente vía API con retroalimentación de estados.</t>
        </is>
      </c>
      <c r="E137" s="54" t="n"/>
      <c r="F137" s="53">
        <f>IF($E137="",0,INDEX($M$5:$M$8,MATCH($E137,$L$5:$L$8,0)))</f>
        <v/>
      </c>
      <c r="G137" s="53">
        <f>IF($F137=0,0,$F137/10)</f>
        <v/>
      </c>
      <c r="H137" s="53">
        <f>IFERROR(INDEX($O$15:$O$29,MATCH($C137,$L$15:$L$29,0)),"🟨 validar")</f>
        <v/>
      </c>
      <c r="I137" s="53" t="n"/>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n"/>
      <c r="F138" s="53">
        <f>IF($E138="",0,INDEX($M$5:$M$8,MATCH($E138,$L$5:$L$8,0)))</f>
        <v/>
      </c>
      <c r="G138" s="53">
        <f>IF($F138=0,0,$F138/10)</f>
        <v/>
      </c>
      <c r="H138" s="53">
        <f>IFERROR(INDEX($O$15:$O$29,MATCH($C138,$L$15:$L$29,0)),"🟨 validar")</f>
        <v/>
      </c>
      <c r="I138" s="53" t="n"/>
    </row>
    <row r="139" ht="30" customHeight="1">
      <c r="A139" s="53" t="inlineStr">
        <is>
          <t>RT-027</t>
        </is>
      </c>
      <c r="B139" s="53" t="inlineStr">
        <is>
          <t>Técnico</t>
        </is>
      </c>
      <c r="C139" s="53" t="inlineStr">
        <is>
          <t>Gestor de Coordinación</t>
        </is>
      </c>
      <c r="D139" s="53" t="inlineStr">
        <is>
          <t>Es uno de los gestores menos profundizados técnicamente a la fecha — "no se ha hecho zoom" todavía.</t>
        </is>
      </c>
      <c r="E139" s="54" t="n"/>
      <c r="F139" s="53">
        <f>IF($E139="",0,INDEX($M$5:$M$8,MATCH($E139,$L$5:$L$8,0)))</f>
        <v/>
      </c>
      <c r="G139" s="53">
        <f>IF($F139=0,0,$F139/10)</f>
        <v/>
      </c>
      <c r="H139" s="53">
        <f>IFERROR(INDEX($O$15:$O$29,MATCH($C139,$L$15:$L$29,0)),"🟨 validar")</f>
        <v/>
      </c>
      <c r="I139" s="53" t="n"/>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row>
    <row r="149" ht="30" customHeight="1">
      <c r="A149" s="106" t="inlineStr">
        <is>
          <t>RT-037</t>
        </is>
      </c>
      <c r="B149" s="106" t="inlineStr">
        <is>
          <t>Técnico</t>
        </is>
      </c>
      <c r="C149" s="106" t="inlineStr">
        <is>
          <t>Transversal / Principios generales</t>
        </is>
      </c>
      <c r="D149" s="106" t="inlineStr">
        <is>
          <t>Toda estimación presentada a patrocinadores en fase de estructuración debe declarar explícitamente un margen de incertidumbre del 30%.</t>
        </is>
      </c>
      <c r="E149" s="107" t="n"/>
      <c r="F149" s="106">
        <f>IF($E149="",0,INDEX($M$5:$M$8,MATCH($E149,$L$5:$L$8,0)))</f>
        <v/>
      </c>
      <c r="G149" s="106">
        <f>IF($F149=0,0,$F149/10)</f>
        <v/>
      </c>
      <c r="H149" s="106">
        <f>IFERROR(INDEX($O$15:$O$29,MATCH($C149,$L$15:$L$29,0)),"🟨 validar")</f>
        <v/>
      </c>
      <c r="I149" s="106" t="inlineStr">
        <is>
          <t>🟥 No es un entregable de construcción: es la regla de presentación de la estimación (declarar un 30% de incertidumbre ante patrocinadores). El equipo decidió estimar sin aplicar ese margen, así que la suma de esta hoja va sin él. No se talla.</t>
        </is>
      </c>
    </row>
    <row r="150" ht="30" customHeight="1">
      <c r="A150" s="106" t="inlineStr">
        <is>
          <t>RT-038</t>
        </is>
      </c>
      <c r="B150" s="106" t="inlineStr">
        <is>
          <t>Técnico</t>
        </is>
      </c>
      <c r="C150" s="106" t="inlineStr">
        <is>
          <t>Transversal / Principios generales</t>
        </is>
      </c>
      <c r="D150" s="106" t="inlineStr">
        <is>
          <t>El backlog se talla con escala estándar M≈5 días (medio sprint), L≈10 días (1 sprint), XL≈20 días (2 sprints), aplicada de forma consistente entre gestores para poder comparar esfuerzo.</t>
        </is>
      </c>
      <c r="E150" s="107" t="n"/>
      <c r="F150" s="106">
        <f>IF($E150="",0,INDEX($M$5:$M$8,MATCH($E150,$L$5:$L$8,0)))</f>
        <v/>
      </c>
      <c r="G150" s="106">
        <f>IF($F150=0,0,$F150/10)</f>
        <v/>
      </c>
      <c r="H150" s="106">
        <f>IFERROR(INDEX($O$15:$O$29,MATCH($C150,$L$15:$L$29,0)),"🟨 validar")</f>
        <v/>
      </c>
      <c r="I150" s="106" t="inlineStr">
        <is>
          <t>🟥 No es un entregable: es la propia escala de tallaje que usa esta hoja (M≈5, L≈10, XL≈20). Aplica a este ejercicio, no se talla.</t>
        </is>
      </c>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row>
    <row r="155" ht="30" customHeight="1">
      <c r="A155" s="106" t="inlineStr">
        <is>
          <t>RT-043</t>
        </is>
      </c>
      <c r="B155" s="106" t="inlineStr">
        <is>
          <t>Técnico</t>
        </is>
      </c>
      <c r="C155" s="106" t="inlineStr">
        <is>
          <t>Transversal / Principios generales</t>
        </is>
      </c>
      <c r="D155" s="106" t="inlineStr">
        <is>
          <t xml:space="preserve">Tener en cuenta en el ejercicio de estimación y costos la capacidad requerida en infrastructura de Siniestro Integral por el crecimiento en transacciones </t>
        </is>
      </c>
      <c r="E155" s="107" t="n"/>
      <c r="F155" s="106">
        <f>IF($E155="",0,INDEX($M$5:$M$8,MATCH($E155,$L$5:$L$8,0)))</f>
        <v/>
      </c>
      <c r="G155" s="106">
        <f>IF($F155=0,0,$F155/10)</f>
        <v/>
      </c>
      <c r="H155" s="106">
        <f>IFERROR(INDEX($O$15:$O$29,MATCH($C155,$L$15:$L$29,0)),"🟨 validar")</f>
        <v/>
      </c>
      <c r="I155" s="106" t="inlineStr">
        <is>
          <t>🟥 No estimable como desarrollo: es dimensionamiento de infraestructura de Siniestro Integral por crecimiento transaccional. Necesita el volumen esperado para poder dimensionarse.</t>
        </is>
      </c>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row>
    <row r="157" ht="30" customHeight="1">
      <c r="A157" s="105" t="inlineStr">
        <is>
          <t>RT-045</t>
        </is>
      </c>
      <c r="B157" s="105" t="inlineStr">
        <is>
          <t>Técnico</t>
        </is>
      </c>
      <c r="C157" s="105" t="inlineStr">
        <is>
          <t>Gestor de Solicitud</t>
        </is>
      </c>
      <c r="D157" s="105"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99" t="inlineStr">
        <is>
          <t>M</t>
        </is>
      </c>
      <c r="F157" s="105">
        <f>IF($E157="",0,INDEX($M$5:$M$8,MATCH($E157,$L$5:$L$8,0)))</f>
        <v/>
      </c>
      <c r="G157" s="105">
        <f>IF($F157=0,0,$F157/10)</f>
        <v/>
      </c>
      <c r="H157" s="105">
        <f>IFERROR(INDEX($O$15:$O$29,MATCH($C157,$L$15:$L$29,0)),"🟨 validar")</f>
        <v/>
      </c>
      <c r="I157" s="105" t="inlineStr">
        <is>
          <t>El equipo confirmó Angular. La talla cubre solo la diferenciación por rol del web component único —el prestador suma 2 o 3 campos frente al cliente—, porque la decisión del front único reutilizable ya está tallada en RT-006 y no se cuenta dos veces.</t>
        </is>
      </c>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row>
    <row r="163" ht="30" customHeight="1">
      <c r="A163" s="106" t="inlineStr">
        <is>
          <t>RT-051</t>
        </is>
      </c>
      <c r="B163" s="106" t="inlineStr">
        <is>
          <t>Técnico</t>
        </is>
      </c>
      <c r="C163" s="106" t="inlineStr">
        <is>
          <t>Gestor de Monitoreo (Torre de Control)</t>
        </is>
      </c>
      <c r="D163" s="106"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107" t="n"/>
      <c r="F163" s="106">
        <f>IF($E163="",0,INDEX($M$5:$M$8,MATCH($E163,$L$5:$L$8,0)))</f>
        <v/>
      </c>
      <c r="G163" s="106">
        <f>IF($F163=0,0,$F163/10)</f>
        <v/>
      </c>
      <c r="H163" s="106">
        <f>IFERROR(INDEX($O$15:$O$29,MATCH($C163,$L$15:$L$29,0)),"🟨 validar")</f>
        <v/>
      </c>
      <c r="I163" s="106" t="inlineStr">
        <is>
          <t>🟥 El propio requisito dice que el nivel de autonomía de cada agente está «pendiente de definir antes de dimensionar el desarrollo». Se respeta: no se talla hasta que se defina.</t>
        </is>
      </c>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row>
  </sheetData>
  <autoFilter ref="A4:Q187"/>
  <mergeCells count="15">
    <mergeCell ref="M48:Q48"/>
    <mergeCell ref="M40:Q40"/>
    <mergeCell ref="M35:Q35"/>
    <mergeCell ref="M43:Q43"/>
    <mergeCell ref="M34:Q34"/>
    <mergeCell ref="A2:I2"/>
    <mergeCell ref="M47:Q47"/>
    <mergeCell ref="M37:Q37"/>
    <mergeCell ref="A1:I1"/>
    <mergeCell ref="L9:N12"/>
    <mergeCell ref="L13:Q13"/>
    <mergeCell ref="M33:Q33"/>
    <mergeCell ref="M46:Q46"/>
    <mergeCell ref="M36:Q36"/>
    <mergeCell ref="L3:N3"/>
  </mergeCells>
  <dataValidations count="1">
    <dataValidation sqref="E5:E187" showDropDown="0" showInputMessage="0" showErrorMessage="0" allowBlank="1" type="list">
      <formula1>$L$5:$L$8</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2026-09-07T15:33:26Z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