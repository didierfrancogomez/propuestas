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500" firstSheet="4" activeTab="4" autoFilterDateGrouping="1"/>
  </bookViews>
  <sheets>
    <sheet name="Estimación por Requisitos" sheetId="1" state="visible" r:id="rId1"/>
    <sheet name="Estimación por Costos" sheetId="2" state="visible" r:id="rId2"/>
    <sheet name="Notificaciones" sheetId="3" state="visible" r:id="rId3"/>
    <sheet name="Requisitos Funcionales" sheetId="4" state="visible" r:id="rId4"/>
    <sheet name="Requisitos Técnicos" sheetId="5" state="visible" r:id="rId5"/>
    <sheet name="Cronograma Releases Alto Nivel" sheetId="6" state="visible" r:id="rId6"/>
    <sheet name="Variables de monitoreo" sheetId="7" state="hidden" r:id="rId7"/>
  </sheets>
  <definedNames>
    <definedName name="_xlnm._FilterDatabase" localSheetId="0" hidden="1">'Estimación por Requisitos'!$A$4:$Q$187</definedName>
    <definedName name="_xlnm._FilterDatabase" localSheetId="3" hidden="1">'Requisitos Funcionales'!$A$1:$G$111</definedName>
    <definedName name="_xlnm._FilterDatabase" localSheetId="4" hidden="1">'Requisitos Técnicos'!$A$1:$F$53</definedName>
  </definedNames>
  <calcPr calcId="191028" fullCalcOnLoad="1" iterateDelta="0.0001"/>
</workbook>
</file>

<file path=xl/styles.xml><?xml version="1.0" encoding="utf-8"?>
<styleSheet xmlns="http://schemas.openxmlformats.org/spreadsheetml/2006/main">
  <numFmts count="2">
    <numFmt numFmtId="164" formatCode="0.0%"/>
    <numFmt numFmtId="165" formatCode="\$#,##0"/>
  </numFmts>
  <fonts count="33">
    <font>
      <name val="Calibri"/>
      <charset val="1"/>
      <family val="2"/>
      <color theme="1"/>
      <sz val="11"/>
    </font>
    <font>
      <name val="Sura Sans"/>
      <family val="3"/>
      <b val="1"/>
      <color rgb="FFFFFFFF"/>
      <sz val="10"/>
    </font>
    <font>
      <name val="Sura Sans"/>
      <family val="3"/>
      <color theme="1"/>
      <sz val="11"/>
    </font>
    <font>
      <name val="Sura Sans"/>
      <family val="3"/>
      <color rgb="FF1A1A1A"/>
      <sz val="10"/>
    </font>
    <font>
      <name val="Sura Sans"/>
      <color rgb="FF1A1A1A"/>
      <sz val="10"/>
    </font>
    <font>
      <name val="Cambria"/>
      <family val="1"/>
      <b val="1"/>
      <color rgb="FFFFFFFF"/>
      <sz val="11"/>
    </font>
    <font>
      <name val="Cambria"/>
      <family val="1"/>
      <color rgb="FF008000"/>
      <sz val="11"/>
    </font>
    <font>
      <name val="Cambria"/>
      <family val="1"/>
      <color rgb="FF0000FF"/>
      <sz val="11"/>
    </font>
    <font>
      <name val="Sura Sans"/>
      <family val="3"/>
      <color theme="1"/>
      <sz val="10"/>
    </font>
    <font>
      <name val="Aptos Narrow"/>
      <b val="1"/>
      <color rgb="FFFFFFFF"/>
      <sz val="18"/>
    </font>
    <font>
      <name val="Aptos Narrow"/>
      <color rgb="FF000000"/>
      <sz val="11"/>
    </font>
    <font>
      <name val="Aptos Narrow"/>
      <b val="1"/>
      <color rgb="FFFFFFFF"/>
      <sz val="12"/>
    </font>
    <font>
      <name val="Aptos Narrow"/>
      <b val="1"/>
      <color rgb="FFFFFFFF"/>
      <sz val="11"/>
    </font>
    <font>
      <name val="Aptos Narrow"/>
      <color rgb="FF664D03"/>
      <sz val="11"/>
    </font>
    <font>
      <name val="Aptos Narrow"/>
      <b val="1"/>
      <color rgb="FF842029"/>
      <sz val="11"/>
    </font>
    <font>
      <name val="Sura Sans"/>
      <charset val="1"/>
      <b val="1"/>
      <color rgb="FFFFFFFF"/>
      <sz val="14"/>
    </font>
    <font>
      <name val="Sura Sans"/>
      <charset val="1"/>
      <i val="1"/>
      <color rgb="FF555555"/>
      <sz val="9"/>
    </font>
    <font>
      <name val="Sura Sans"/>
      <charset val="1"/>
      <b val="1"/>
      <color rgb="FFFFFFFF"/>
      <sz val="10"/>
    </font>
    <font>
      <name val="Sura Sans"/>
      <charset val="1"/>
      <b val="1"/>
      <color rgb="FFFFFFFF"/>
      <sz val="9"/>
    </font>
    <font>
      <name val="Sura Sans"/>
      <charset val="1"/>
      <color rgb="FF000000"/>
      <sz val="9"/>
    </font>
    <font>
      <name val="Sura Sans"/>
      <charset val="1"/>
      <i val="1"/>
      <color rgb="FF9C6500"/>
      <sz val="9"/>
    </font>
    <font>
      <name val="Sura Sans"/>
      <charset val="1"/>
      <i val="1"/>
      <color rgb="FF555555"/>
      <sz val="8"/>
    </font>
    <font>
      <name val="Sura Sans"/>
      <charset val="1"/>
      <b val="1"/>
      <color rgb="FFFFFFFF"/>
      <sz val="11"/>
    </font>
    <font>
      <name val="Sura Sans"/>
      <charset val="1"/>
      <b val="1"/>
      <color rgb="FF000000"/>
      <sz val="10"/>
    </font>
    <font>
      <name val="Sura Sans"/>
      <charset val="1"/>
      <color rgb="FF000000"/>
      <sz val="8"/>
    </font>
    <font>
      <name val="Sura Sans"/>
      <charset val="1"/>
      <b val="1"/>
      <color rgb="FF000000"/>
      <sz val="9"/>
    </font>
    <font>
      <name val="Sura Sans"/>
      <charset val="1"/>
      <b val="1"/>
      <color rgb="FF0033A0"/>
      <sz val="8"/>
    </font>
    <font>
      <name val="Sura Sans"/>
      <charset val="1"/>
      <b val="1"/>
      <color rgb="FFFFFFFF"/>
      <sz val="8"/>
    </font>
    <font>
      <name val="Sura Sans"/>
      <charset val="1"/>
      <b val="1"/>
      <color rgb="FF0033A0"/>
      <sz val="10"/>
    </font>
    <font>
      <name val="Sura Sans"/>
      <b val="1"/>
      <sz val="10"/>
    </font>
    <font>
      <name val="Sura Sans"/>
      <b val="1"/>
      <sz val="9"/>
    </font>
    <font>
      <name val="Sura Sans"/>
      <sz val="9"/>
    </font>
    <font/>
  </fonts>
  <fills count="31">
    <fill>
      <patternFill/>
    </fill>
    <fill>
      <patternFill patternType="gray125"/>
    </fill>
    <fill>
      <patternFill patternType="solid">
        <fgColor rgb="FF2D6DF6"/>
        <bgColor rgb="FF0066CC"/>
      </patternFill>
    </fill>
    <fill>
      <patternFill patternType="solid">
        <fgColor rgb="FF92D050"/>
        <bgColor indexed="64"/>
      </patternFill>
    </fill>
    <fill>
      <patternFill patternType="solid">
        <fgColor rgb="FFBDD7EE"/>
      </patternFill>
    </fill>
    <fill>
      <patternFill patternType="solid">
        <fgColor rgb="FF92D050"/>
      </patternFill>
    </fill>
    <fill>
      <patternFill patternType="solid">
        <fgColor rgb="FFFFFF00"/>
        <bgColor indexed="64"/>
      </patternFill>
    </fill>
    <fill>
      <patternFill patternType="solid">
        <fgColor rgb="FFD8BFD8"/>
        <bgColor rgb="FFD8BFD8"/>
      </patternFill>
    </fill>
    <fill>
      <patternFill patternType="solid">
        <fgColor rgb="FF92D050"/>
        <bgColor rgb="FF92D050"/>
      </patternFill>
    </fill>
    <fill>
      <patternFill patternType="solid">
        <fgColor theme="0"/>
        <bgColor rgb="FFD8BFD8"/>
      </patternFill>
    </fill>
    <fill>
      <patternFill patternType="solid">
        <fgColor theme="0"/>
        <bgColor indexed="64"/>
      </patternFill>
    </fill>
    <fill>
      <patternFill patternType="solid">
        <fgColor rgb="FF005EB8"/>
        <bgColor rgb="FF008080"/>
      </patternFill>
    </fill>
    <fill>
      <patternFill patternType="solid">
        <fgColor rgb="FFF3F8FC"/>
        <bgColor rgb="FFF9F9F9"/>
      </patternFill>
    </fill>
    <fill>
      <patternFill patternType="solid">
        <fgColor rgb="FF0B3B66"/>
        <bgColor rgb="FF000000"/>
      </patternFill>
    </fill>
    <fill>
      <patternFill patternType="solid">
        <fgColor rgb="FF12639E"/>
        <bgColor rgb="FF000000"/>
      </patternFill>
    </fill>
    <fill>
      <patternFill patternType="solid">
        <fgColor rgb="FF0E7C8C"/>
        <bgColor rgb="FF000000"/>
      </patternFill>
    </fill>
    <fill>
      <patternFill patternType="solid">
        <fgColor rgb="FFC0E6F5"/>
        <bgColor rgb="FFC0E6F5"/>
      </patternFill>
    </fill>
    <fill>
      <patternFill patternType="solid">
        <fgColor rgb="FFFFF3CD"/>
        <bgColor rgb="FF000000"/>
      </patternFill>
    </fill>
    <fill>
      <patternFill patternType="solid">
        <fgColor rgb="FFF8D7DA"/>
        <bgColor rgb="FF000000"/>
      </patternFill>
    </fill>
    <fill>
      <patternFill patternType="solid">
        <fgColor rgb="FF0033A0"/>
        <bgColor rgb="FF0B3B66"/>
      </patternFill>
    </fill>
    <fill>
      <patternFill patternType="solid">
        <fgColor rgb="FF2D6DF6"/>
        <bgColor rgb="FF12639E"/>
      </patternFill>
    </fill>
    <fill>
      <patternFill patternType="solid">
        <fgColor rgb="FFFFF2CC"/>
        <bgColor rgb="FFFFF3CD"/>
      </patternFill>
    </fill>
    <fill>
      <patternFill patternType="solid">
        <fgColor rgb="FFF5F5F5"/>
        <bgColor rgb="FFF3F8FC"/>
      </patternFill>
    </fill>
    <fill>
      <patternFill patternType="solid">
        <fgColor rgb="FFEBFAEF"/>
        <bgColor rgb="FFF3F8FC"/>
      </patternFill>
    </fill>
    <fill>
      <patternFill patternType="solid">
        <fgColor rgb="FFDFEAFF"/>
        <bgColor rgb="FFEBFAEF"/>
      </patternFill>
    </fill>
    <fill>
      <patternFill patternType="solid">
        <fgColor rgb="FFC9D9F5"/>
        <bgColor rgb="FFBDD7EE"/>
      </patternFill>
    </fill>
    <fill>
      <patternFill patternType="solid">
        <fgColor theme="0"/>
        <bgColor rgb="FFF3F8FC"/>
      </patternFill>
    </fill>
    <fill>
      <patternFill patternType="solid">
        <fgColor rgb="00C6EFCE"/>
      </patternFill>
    </fill>
    <fill>
      <patternFill patternType="solid">
        <fgColor rgb="00FFF2CC"/>
      </patternFill>
    </fill>
    <fill>
      <patternFill patternType="solid">
        <fgColor rgb="00FFC7CE"/>
      </patternFill>
    </fill>
    <fill>
      <patternFill patternType="solid">
        <fgColor rgb="00FCE4D6"/>
      </patternFill>
    </fill>
  </fills>
  <borders count="18">
    <border>
      <left/>
      <right/>
      <top/>
      <bottom/>
      <diagonal/>
    </border>
    <border>
      <left/>
      <right/>
      <top/>
      <bottom style="thin">
        <color rgb="FF0033A0"/>
      </bottom>
      <diagonal/>
    </border>
    <border>
      <left/>
      <right/>
      <top/>
      <bottom style="hair">
        <color rgb="FFDDDDDD"/>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right/>
      <top/>
      <bottom style="thin">
        <color rgb="FF44B3E1"/>
      </bottom>
      <diagonal/>
    </border>
    <border>
      <left style="thin">
        <color rgb="FFDCDCDC"/>
      </left>
      <right style="thin">
        <color rgb="FFDCDCDC"/>
      </right>
      <top style="thin">
        <color rgb="FFDCDCDC"/>
      </top>
      <bottom style="thin">
        <color rgb="FFDCDCDC"/>
      </bottom>
      <diagonal/>
    </border>
    <border>
      <left style="dashed">
        <color rgb="FF2D6DF6"/>
      </left>
      <right style="dashed">
        <color rgb="FF2D6DF6"/>
      </right>
      <top style="dashed">
        <color rgb="FF2D6DF6"/>
      </top>
      <bottom style="dashed">
        <color rgb="FF2D6DF6"/>
      </bottom>
      <diagonal/>
    </border>
    <border>
      <left style="medium">
        <color rgb="FF2D6DF6"/>
      </left>
      <right style="medium">
        <color rgb="FF2D6DF6"/>
      </right>
      <top style="medium">
        <color rgb="FF2D6DF6"/>
      </top>
      <bottom style="medium">
        <color rgb="FF2D6DF6"/>
      </bottom>
      <diagonal/>
    </border>
    <border>
      <left/>
      <right/>
      <top style="dashed">
        <color rgb="FF2D6DF6"/>
      </top>
      <bottom/>
      <diagonal/>
    </border>
    <border>
      <left/>
      <right style="dashed">
        <color rgb="FF2D6DF6"/>
      </right>
      <top style="dashed">
        <color rgb="FF2D6DF6"/>
      </top>
      <bottom/>
      <diagonal/>
    </border>
    <border>
      <left/>
      <right/>
      <top style="dashed">
        <color rgb="FF2D6DF6"/>
      </top>
      <bottom style="dashed">
        <color rgb="FF2D6DF6"/>
      </bottom>
      <diagonal/>
    </border>
    <border>
      <left/>
      <right style="dashed">
        <color rgb="FF2D6DF6"/>
      </right>
      <top style="dashed">
        <color rgb="FF2D6DF6"/>
      </top>
      <bottom style="dashed">
        <color rgb="FF2D6DF6"/>
      </bottom>
      <diagonal/>
    </border>
    <border>
      <left/>
      <right/>
      <top style="medium">
        <color rgb="FF2D6DF6"/>
      </top>
      <bottom/>
      <diagonal/>
    </border>
    <border>
      <left/>
      <right style="medium">
        <color rgb="FF2D6DF6"/>
      </right>
      <top style="medium">
        <color rgb="FF2D6DF6"/>
      </top>
      <bottom/>
      <diagonal/>
    </border>
    <border>
      <left/>
      <right/>
      <top style="medium">
        <color rgb="FF2D6DF6"/>
      </top>
      <bottom style="medium">
        <color rgb="FF2D6DF6"/>
      </bottom>
      <diagonal/>
    </border>
    <border>
      <left/>
      <right style="medium">
        <color rgb="FF2D6DF6"/>
      </right>
      <top style="medium">
        <color rgb="FF2D6DF6"/>
      </top>
      <bottom style="medium">
        <color rgb="FF2D6DF6"/>
      </bottom>
      <diagonal/>
    </border>
  </borders>
  <cellStyleXfs count="1">
    <xf numFmtId="0" fontId="0" fillId="0" borderId="0"/>
  </cellStyleXfs>
  <cellXfs count="123">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left" vertical="center" wrapText="1"/>
    </xf>
    <xf numFmtId="0" fontId="2" fillId="0" borderId="0" pivotButton="0" quotePrefix="0" xfId="0"/>
    <xf numFmtId="49" fontId="3" fillId="0" borderId="2" applyAlignment="1" pivotButton="0" quotePrefix="0" xfId="0">
      <alignment horizontal="left" vertical="top" wrapText="1"/>
    </xf>
    <xf numFmtId="49" fontId="3" fillId="0" borderId="2"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49" fontId="3" fillId="3" borderId="2" applyAlignment="1" pivotButton="0" quotePrefix="0" xfId="0">
      <alignment horizontal="center" vertical="top" wrapText="1"/>
    </xf>
    <xf numFmtId="49" fontId="3" fillId="0" borderId="2" applyAlignment="1" pivotButton="0" quotePrefix="0" xfId="0">
      <alignment horizontal="center" vertical="center" wrapText="1"/>
    </xf>
    <xf numFmtId="49" fontId="3" fillId="0" borderId="2" applyAlignment="1" pivotButton="0" quotePrefix="0" xfId="0">
      <alignment horizontal="left" vertical="center" wrapText="1"/>
    </xf>
    <xf numFmtId="0" fontId="0" fillId="0" borderId="0" applyAlignment="1" pivotButton="0" quotePrefix="0" xfId="0">
      <alignment vertical="center"/>
    </xf>
    <xf numFmtId="49" fontId="3" fillId="0" borderId="0" applyAlignment="1" pivotButton="0" quotePrefix="0" xfId="0">
      <alignment horizontal="left" vertical="top" wrapText="1"/>
    </xf>
    <xf numFmtId="49" fontId="3" fillId="4" borderId="2" applyAlignment="1" pivotButton="0" quotePrefix="0" xfId="0">
      <alignment horizontal="left" vertical="top" wrapText="1"/>
    </xf>
    <xf numFmtId="49" fontId="3" fillId="5" borderId="2" applyAlignment="1" pivotButton="0" quotePrefix="0" xfId="0">
      <alignment horizontal="center" vertical="top" wrapText="1"/>
    </xf>
    <xf numFmtId="0" fontId="2" fillId="0" borderId="0" applyAlignment="1" pivotButton="0" quotePrefix="0" xfId="0">
      <alignment horizontal="center" wrapText="1"/>
    </xf>
    <xf numFmtId="49" fontId="3" fillId="6" borderId="2" applyAlignment="1" pivotButton="0" quotePrefix="0" xfId="0">
      <alignment horizontal="left" vertical="top" wrapText="1"/>
    </xf>
    <xf numFmtId="49" fontId="3" fillId="6" borderId="2" applyAlignment="1" pivotButton="0" quotePrefix="0" xfId="0">
      <alignment horizontal="center" vertical="top" wrapText="1"/>
    </xf>
    <xf numFmtId="49" fontId="3" fillId="7" borderId="2" applyAlignment="1" pivotButton="0" quotePrefix="0" xfId="0">
      <alignment horizontal="left" vertical="top" wrapText="1"/>
    </xf>
    <xf numFmtId="49" fontId="3" fillId="8" borderId="2" applyAlignment="1" pivotButton="0" quotePrefix="0" xfId="0">
      <alignment horizontal="center" vertical="top" wrapText="1"/>
    </xf>
    <xf numFmtId="49" fontId="3" fillId="9" borderId="2" applyAlignment="1" pivotButton="0" quotePrefix="0" xfId="0">
      <alignment horizontal="left" vertical="top" wrapText="1"/>
    </xf>
    <xf numFmtId="49" fontId="3" fillId="10" borderId="2" applyAlignment="1" pivotButton="0" quotePrefix="0" xfId="0">
      <alignment horizontal="center" vertical="top" wrapText="1"/>
    </xf>
    <xf numFmtId="49" fontId="3" fillId="10" borderId="2" applyAlignment="1" pivotButton="0" quotePrefix="0" xfId="0">
      <alignment horizontal="left" vertical="top" wrapText="1"/>
    </xf>
    <xf numFmtId="0" fontId="4" fillId="0" borderId="0" applyAlignment="1" pivotButton="0" quotePrefix="0" xfId="0">
      <alignment wrapText="1"/>
    </xf>
    <xf numFmtId="0" fontId="5" fillId="11" borderId="0" applyAlignment="1" pivotButton="0" quotePrefix="0" xfId="0">
      <alignment wrapText="1"/>
    </xf>
    <xf numFmtId="0" fontId="6" fillId="12" borderId="0" applyAlignment="1" pivotButton="0" quotePrefix="0" xfId="0">
      <alignment wrapText="1"/>
    </xf>
    <xf numFmtId="0" fontId="7" fillId="12" borderId="0" applyAlignment="1" pivotButton="0" quotePrefix="0" xfId="0">
      <alignment wrapText="1"/>
    </xf>
    <xf numFmtId="0" fontId="6" fillId="0" borderId="0" applyAlignment="1" pivotButton="0" quotePrefix="0" xfId="0">
      <alignment wrapText="1"/>
    </xf>
    <xf numFmtId="0" fontId="7" fillId="0" borderId="0" applyAlignment="1" pivotButton="0" quotePrefix="0" xfId="0">
      <alignment wrapText="1"/>
    </xf>
    <xf numFmtId="49" fontId="3" fillId="9" borderId="0" applyAlignment="1" pivotButton="0" quotePrefix="0" xfId="0">
      <alignment horizontal="left" vertical="top" wrapText="1"/>
    </xf>
    <xf numFmtId="0" fontId="8" fillId="10" borderId="0" applyAlignment="1" pivotButton="0" quotePrefix="0" xfId="0">
      <alignment horizontal="left" vertical="center" wrapText="1" indent="1"/>
    </xf>
    <xf numFmtId="0" fontId="2" fillId="6" borderId="0" pivotButton="0" quotePrefix="0" xfId="0"/>
    <xf numFmtId="0" fontId="2" fillId="6" borderId="0" applyAlignment="1" pivotButton="0" quotePrefix="0" xfId="0">
      <alignment horizontal="center"/>
    </xf>
    <xf numFmtId="49" fontId="3" fillId="6" borderId="2" applyAlignment="1" pivotButton="0" quotePrefix="0" xfId="0">
      <alignment horizontal="left" vertical="center" wrapText="1"/>
    </xf>
    <xf numFmtId="0" fontId="0" fillId="6" borderId="0" pivotButton="0" quotePrefix="0" xfId="0"/>
    <xf numFmtId="0" fontId="10" fillId="0" borderId="0" pivotButton="0" quotePrefix="0" xfId="0"/>
    <xf numFmtId="0" fontId="12" fillId="15" borderId="3" pivotButton="0" quotePrefix="0" xfId="0"/>
    <xf numFmtId="0" fontId="12" fillId="15" borderId="4" pivotButton="0" quotePrefix="0" xfId="0"/>
    <xf numFmtId="0" fontId="12" fillId="15" borderId="5" pivotButton="0" quotePrefix="0" xfId="0"/>
    <xf numFmtId="0" fontId="10" fillId="16" borderId="3" pivotButton="0" quotePrefix="0" xfId="0"/>
    <xf numFmtId="0" fontId="10" fillId="16" borderId="4" applyAlignment="1" pivotButton="0" quotePrefix="0" xfId="0">
      <alignment wrapText="1"/>
    </xf>
    <xf numFmtId="0" fontId="13" fillId="17" borderId="4" pivotButton="0" quotePrefix="0" xfId="0"/>
    <xf numFmtId="0" fontId="10" fillId="16" borderId="5" applyAlignment="1" pivotButton="0" quotePrefix="0" xfId="0">
      <alignment wrapText="1"/>
    </xf>
    <xf numFmtId="0" fontId="10" fillId="0" borderId="3" pivotButton="0" quotePrefix="0" xfId="0"/>
    <xf numFmtId="0" fontId="10" fillId="0" borderId="4" applyAlignment="1" pivotButton="0" quotePrefix="0" xfId="0">
      <alignment wrapText="1"/>
    </xf>
    <xf numFmtId="0" fontId="10" fillId="0" borderId="5" applyAlignment="1" pivotButton="0" quotePrefix="0" xfId="0">
      <alignment wrapText="1"/>
    </xf>
    <xf numFmtId="0" fontId="14" fillId="18" borderId="4" pivotButton="0" quotePrefix="0" xfId="0"/>
    <xf numFmtId="0" fontId="2" fillId="0" borderId="0" applyAlignment="1" pivotButton="0" quotePrefix="0" xfId="0">
      <alignment wrapText="1"/>
    </xf>
    <xf numFmtId="0" fontId="4" fillId="6" borderId="2" applyAlignment="1" pivotButton="0" quotePrefix="0" xfId="0">
      <alignment horizontal="left" vertical="top" wrapText="1"/>
    </xf>
    <xf numFmtId="0" fontId="4" fillId="6" borderId="2" applyAlignment="1" pivotButton="0" quotePrefix="0" xfId="0">
      <alignment horizontal="center" vertical="top" wrapText="1"/>
    </xf>
    <xf numFmtId="0" fontId="3" fillId="6" borderId="2" applyAlignment="1" pivotButton="0" quotePrefix="0" xfId="0">
      <alignment horizontal="left" vertical="top" wrapText="1"/>
    </xf>
    <xf numFmtId="0" fontId="17" fillId="20" borderId="7" applyAlignment="1" pivotButton="0" quotePrefix="0" xfId="0">
      <alignment horizontal="center" vertical="center" wrapText="1"/>
    </xf>
    <xf numFmtId="0" fontId="18" fillId="20" borderId="7" applyAlignment="1" pivotButton="0" quotePrefix="0" xfId="0">
      <alignment horizontal="center" vertical="center" wrapText="1"/>
    </xf>
    <xf numFmtId="0" fontId="19" fillId="0" borderId="7" applyAlignment="1" pivotButton="0" quotePrefix="0" xfId="0">
      <alignment vertical="top" wrapText="1"/>
    </xf>
    <xf numFmtId="0" fontId="19" fillId="21" borderId="7" applyAlignment="1" pivotButton="0" quotePrefix="0" xfId="0">
      <alignment horizontal="center" vertical="center" wrapText="1"/>
    </xf>
    <xf numFmtId="0" fontId="20" fillId="0" borderId="7" applyAlignment="1" pivotButton="0" quotePrefix="0" xfId="0">
      <alignment vertical="top" wrapText="1"/>
    </xf>
    <xf numFmtId="0" fontId="19" fillId="22" borderId="7" applyAlignment="1" pivotButton="0" quotePrefix="0" xfId="0">
      <alignment horizontal="center" vertical="center" wrapText="1"/>
    </xf>
    <xf numFmtId="0" fontId="19" fillId="22" borderId="7" applyAlignment="1" pivotButton="0" quotePrefix="0" xfId="0">
      <alignment vertical="top" wrapText="1"/>
    </xf>
    <xf numFmtId="0" fontId="19" fillId="23" borderId="7" applyAlignment="1" pivotButton="0" quotePrefix="0" xfId="0">
      <alignment horizontal="left" vertical="center" wrapText="1"/>
    </xf>
    <xf numFmtId="0" fontId="19" fillId="23" borderId="7" applyAlignment="1" pivotButton="0" quotePrefix="0" xfId="0">
      <alignment vertical="top" wrapText="1"/>
    </xf>
    <xf numFmtId="0" fontId="19" fillId="24" borderId="7" applyAlignment="1" pivotButton="0" quotePrefix="0" xfId="0">
      <alignment horizontal="left" vertical="center" wrapText="1"/>
    </xf>
    <xf numFmtId="0" fontId="19" fillId="24" borderId="7" applyAlignment="1" pivotButton="0" quotePrefix="0" xfId="0">
      <alignment vertical="top" wrapText="1"/>
    </xf>
    <xf numFmtId="0" fontId="19" fillId="22" borderId="7" applyAlignment="1" pivotButton="0" quotePrefix="0" xfId="0">
      <alignment horizontal="left" vertical="center" wrapText="1"/>
    </xf>
    <xf numFmtId="164" fontId="19" fillId="0" borderId="7" applyAlignment="1" pivotButton="0" quotePrefix="0" xfId="0">
      <alignment horizontal="center" vertical="center" wrapText="1"/>
    </xf>
    <xf numFmtId="165" fontId="19" fillId="0" borderId="7" applyAlignment="1" pivotButton="0" quotePrefix="0" xfId="0">
      <alignment horizontal="center" vertical="center" wrapText="1"/>
    </xf>
    <xf numFmtId="0" fontId="19" fillId="0" borderId="7" applyAlignment="1" pivotButton="0" quotePrefix="0" xfId="0">
      <alignment horizontal="center" vertical="center" wrapText="1"/>
    </xf>
    <xf numFmtId="0" fontId="23" fillId="25" borderId="7" pivotButton="0" quotePrefix="0" xfId="0"/>
    <xf numFmtId="164" fontId="23" fillId="25" borderId="7" pivotButton="0" quotePrefix="0" xfId="0"/>
    <xf numFmtId="165" fontId="23" fillId="25" borderId="7" pivotButton="0" quotePrefix="0" xfId="0"/>
    <xf numFmtId="0" fontId="17" fillId="19" borderId="7" pivotButton="0" quotePrefix="0" xfId="0"/>
    <xf numFmtId="164" fontId="19" fillId="22" borderId="7" applyAlignment="1" pivotButton="0" quotePrefix="0" xfId="0">
      <alignment horizontal="center" vertical="center" wrapText="1"/>
    </xf>
    <xf numFmtId="165" fontId="19" fillId="22" borderId="7" applyAlignment="1" pivotButton="0" quotePrefix="0" xfId="0">
      <alignment horizontal="center" vertical="center" wrapText="1"/>
    </xf>
    <xf numFmtId="164" fontId="19" fillId="24" borderId="7" applyAlignment="1" pivotButton="0" quotePrefix="0" xfId="0">
      <alignment horizontal="center" vertical="center" wrapText="1"/>
    </xf>
    <xf numFmtId="165" fontId="19" fillId="24" borderId="7" applyAlignment="1" pivotButton="0" quotePrefix="0" xfId="0">
      <alignment horizontal="center" vertical="center" wrapText="1"/>
    </xf>
    <xf numFmtId="0" fontId="19" fillId="24" borderId="7" applyAlignment="1" pivotButton="0" quotePrefix="0" xfId="0">
      <alignment horizontal="center" vertical="center" wrapText="1"/>
    </xf>
    <xf numFmtId="164" fontId="19" fillId="23" borderId="7" applyAlignment="1" pivotButton="0" quotePrefix="0" xfId="0">
      <alignment horizontal="center" vertical="center" wrapText="1"/>
    </xf>
    <xf numFmtId="165" fontId="19" fillId="23" borderId="7" applyAlignment="1" pivotButton="0" quotePrefix="0" xfId="0">
      <alignment horizontal="center" vertical="center" wrapText="1"/>
    </xf>
    <xf numFmtId="0" fontId="19" fillId="23" borderId="7" applyAlignment="1" pivotButton="0" quotePrefix="0" xfId="0">
      <alignment horizontal="center" vertical="center" wrapText="1"/>
    </xf>
    <xf numFmtId="165" fontId="23" fillId="21" borderId="7" applyAlignment="1" pivotButton="0" quotePrefix="0" xfId="0">
      <alignment horizontal="center" vertical="center" wrapText="1"/>
    </xf>
    <xf numFmtId="0" fontId="23" fillId="0" borderId="0" pivotButton="0" quotePrefix="0" xfId="0"/>
    <xf numFmtId="9" fontId="23" fillId="21" borderId="7" applyAlignment="1" pivotButton="0" quotePrefix="0" xfId="0">
      <alignment horizontal="center" vertical="center" wrapText="1"/>
    </xf>
    <xf numFmtId="0" fontId="24" fillId="0" borderId="7" applyAlignment="1" pivotButton="0" quotePrefix="0" xfId="0">
      <alignment vertical="top" wrapText="1"/>
    </xf>
    <xf numFmtId="0" fontId="0" fillId="26" borderId="7" pivotButton="0" quotePrefix="0" xfId="0"/>
    <xf numFmtId="0" fontId="25" fillId="0" borderId="7" applyAlignment="1" pivotButton="0" quotePrefix="0" xfId="0">
      <alignment vertical="top" wrapText="1"/>
    </xf>
    <xf numFmtId="0" fontId="27" fillId="20" borderId="9" applyAlignment="1" pivotButton="0" quotePrefix="0" xfId="0">
      <alignment horizontal="center" vertical="center" wrapText="1"/>
    </xf>
    <xf numFmtId="0" fontId="2" fillId="10" borderId="0" pivotButton="0" quotePrefix="0" xfId="0"/>
    <xf numFmtId="49" fontId="3" fillId="0" borderId="0" applyAlignment="1" pivotButton="0" quotePrefix="0" xfId="0">
      <alignment horizontal="center" vertical="top" wrapText="1"/>
    </xf>
    <xf numFmtId="0" fontId="0" fillId="0" borderId="0" applyAlignment="1" pivotButton="0" quotePrefix="0" xfId="0">
      <alignment wrapText="1"/>
    </xf>
    <xf numFmtId="0" fontId="15" fillId="19" borderId="0" applyAlignment="1" pivotButton="0" quotePrefix="0" xfId="0">
      <alignment horizontal="left" vertical="center" wrapText="1"/>
    </xf>
    <xf numFmtId="0" fontId="16" fillId="0" borderId="0" applyAlignment="1" pivotButton="0" quotePrefix="0" xfId="0">
      <alignment vertical="top" wrapText="1"/>
    </xf>
    <xf numFmtId="0" fontId="17" fillId="19" borderId="0" applyAlignment="1" pivotButton="0" quotePrefix="0" xfId="0">
      <alignment horizontal="center" vertical="center" wrapText="1"/>
    </xf>
    <xf numFmtId="0" fontId="21" fillId="0" borderId="0" applyAlignment="1" pivotButton="0" quotePrefix="0" xfId="0">
      <alignment vertical="top" wrapText="1"/>
    </xf>
    <xf numFmtId="0" fontId="9" fillId="13" borderId="0" applyAlignment="1" pivotButton="0" quotePrefix="0" xfId="0">
      <alignment horizontal="center"/>
    </xf>
    <xf numFmtId="0" fontId="11" fillId="14" borderId="6" applyAlignment="1" pivotButton="0" quotePrefix="0" xfId="0">
      <alignment horizontal="center"/>
    </xf>
    <xf numFmtId="0" fontId="26" fillId="24" borderId="8" applyAlignment="1" pivotButton="0" quotePrefix="0" xfId="0">
      <alignment horizontal="center" vertical="center" wrapText="1"/>
    </xf>
    <xf numFmtId="0" fontId="28" fillId="24" borderId="0" applyAlignment="1" pivotButton="0" quotePrefix="0" xfId="0">
      <alignment vertical="top" wrapText="1"/>
    </xf>
    <xf numFmtId="0" fontId="27" fillId="20" borderId="9" applyAlignment="1" pivotButton="0" quotePrefix="0" xfId="0">
      <alignment horizontal="center" vertical="center" wrapText="1"/>
    </xf>
    <xf numFmtId="0" fontId="22" fillId="19" borderId="0" pivotButton="0" quotePrefix="0" xfId="0"/>
    <xf numFmtId="0" fontId="19" fillId="27" borderId="7" applyAlignment="1" pivotButton="0" quotePrefix="0" xfId="0">
      <alignment vertical="top" wrapText="1"/>
    </xf>
    <xf numFmtId="0" fontId="19" fillId="28" borderId="7" applyAlignment="1" pivotButton="0" quotePrefix="0" xfId="0">
      <alignment horizontal="center" vertical="center" wrapText="1"/>
    </xf>
    <xf numFmtId="0" fontId="0" fillId="0" borderId="6" pivotButton="0" quotePrefix="0" xfId="0"/>
    <xf numFmtId="0" fontId="0" fillId="0" borderId="12" pivotButton="0" quotePrefix="0" xfId="0"/>
    <xf numFmtId="0" fontId="0" fillId="0" borderId="13" pivotButton="0" quotePrefix="0" xfId="0"/>
    <xf numFmtId="0" fontId="0" fillId="0" borderId="16" pivotButton="0" quotePrefix="0" xfId="0"/>
    <xf numFmtId="0" fontId="0" fillId="0" borderId="17" pivotButton="0" quotePrefix="0" xfId="0"/>
    <xf numFmtId="0" fontId="19" fillId="30" borderId="7" applyAlignment="1" pivotButton="0" quotePrefix="0" xfId="0">
      <alignment vertical="top" wrapText="1"/>
    </xf>
    <xf numFmtId="0" fontId="19" fillId="29" borderId="7" applyAlignment="1" pivotButton="0" quotePrefix="0" xfId="0">
      <alignment vertical="top" wrapText="1"/>
    </xf>
    <xf numFmtId="0" fontId="19" fillId="29" borderId="7" applyAlignment="1" pivotButton="0" quotePrefix="0" xfId="0">
      <alignment horizontal="center" vertical="center" wrapText="1"/>
    </xf>
    <xf numFmtId="0" fontId="29" fillId="0" borderId="0" pivotButton="0" quotePrefix="0" xfId="0"/>
    <xf numFmtId="0" fontId="30" fillId="27" borderId="0" pivotButton="0" quotePrefix="0" xfId="0"/>
    <xf numFmtId="0" fontId="31" fillId="0" borderId="0" applyAlignment="1" pivotButton="0" quotePrefix="0" xfId="0">
      <alignment vertical="top" wrapText="1"/>
    </xf>
    <xf numFmtId="0" fontId="30" fillId="30" borderId="0" pivotButton="0" quotePrefix="0" xfId="0"/>
    <xf numFmtId="0" fontId="30" fillId="29" borderId="0" pivotButton="0" quotePrefix="0" xfId="0"/>
    <xf numFmtId="0" fontId="30" fillId="28" borderId="0" pivotButton="0" quotePrefix="0" xfId="0"/>
    <xf numFmtId="0" fontId="30" fillId="0" borderId="0" pivotButton="0" quotePrefix="0" xfId="0"/>
    <xf numFmtId="0" fontId="32" fillId="0" borderId="0" pivotButton="0" quotePrefix="0" xfId="0"/>
    <xf numFmtId="0" fontId="30" fillId="27" borderId="0" applyAlignment="1" pivotButton="0" quotePrefix="0" xfId="0">
      <alignment vertical="center" wrapText="1"/>
    </xf>
    <xf numFmtId="0" fontId="30" fillId="29" borderId="0" applyAlignment="1" pivotButton="0" quotePrefix="0" xfId="0">
      <alignment vertical="center" wrapText="1"/>
    </xf>
    <xf numFmtId="0" fontId="30" fillId="30" borderId="0" applyAlignment="1" pivotButton="0" quotePrefix="0" xfId="0">
      <alignment vertical="center" wrapText="1"/>
    </xf>
    <xf numFmtId="0" fontId="30" fillId="28" borderId="0" applyAlignment="1" pivotButton="0" quotePrefix="0" xfId="0">
      <alignment vertical="center" wrapText="1"/>
    </xf>
    <xf numFmtId="0" fontId="30" fillId="0" borderId="0" applyAlignment="1" pivotButton="0" quotePrefix="0" xfId="0">
      <alignment vertical="center" wrapText="1"/>
    </xf>
    <xf numFmtId="0" fontId="31" fillId="0" borderId="0" pivotButton="0" quotePrefix="0" xfId="0"/>
    <xf numFmtId="164" fontId="31"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D6DF6"/>
      <rgbColor rgb="FF33CCCC"/>
      <rgbColor rgb="FF99CC00"/>
      <rgbColor rgb="FFFFCC00"/>
      <rgbColor rgb="FFFF9900"/>
      <rgbColor rgb="FFFF6600"/>
      <rgbColor rgb="FF666699"/>
      <rgbColor rgb="FF969696"/>
      <rgbColor rgb="FF0033A0"/>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theme="8" tint="-0.249977111117893"/>
    <outlinePr summaryBelow="1" summaryRight="1"/>
    <pageSetUpPr/>
  </sheetPr>
  <dimension ref="A1:Q187"/>
  <sheetViews>
    <sheetView showGridLines="0" zoomScaleNormal="100" workbookViewId="0">
      <pane ySplit="4" topLeftCell="A5" activePane="bottomLeft" state="frozen"/>
      <selection pane="bottomLeft" activeCell="A1" sqref="A1:XFD1048576"/>
    </sheetView>
  </sheetViews>
  <sheetFormatPr baseColWidth="8" defaultColWidth="8.5703125" defaultRowHeight="14.45"/>
  <cols>
    <col width="10" customWidth="1" min="1" max="1"/>
    <col width="11" customWidth="1" min="2" max="2"/>
    <col width="30" customWidth="1" min="3" max="3"/>
    <col width="70" customWidth="1" min="4" max="4"/>
    <col width="8" customWidth="1" min="5" max="5"/>
    <col width="12" customWidth="1" min="6" max="8"/>
    <col width="34" customWidth="1" min="9" max="9"/>
    <col width="18" customWidth="1" min="10" max="10"/>
    <col width="30" customWidth="1" min="12" max="12"/>
    <col width="13" customWidth="1" min="13" max="13"/>
    <col width="12" customWidth="1" min="14" max="15"/>
    <col width="22" customWidth="1" min="16" max="16"/>
    <col width="46" customWidth="1" min="17" max="17"/>
  </cols>
  <sheetData>
    <row r="1" ht="25.5" customHeight="1">
      <c r="A1" s="88" t="inlineStr">
        <is>
          <t>Estimación por Requisitos — Épicas Gestores 2026 (Funcionales + Técnicos)</t>
        </is>
      </c>
    </row>
    <row r="2" ht="27.75" customHeight="1">
      <c r="A2" s="89" t="inlineStr">
        <is>
          <t>Plantilla para tallar cada requisito (Funcional y Técnico) con la escala S/M/L/XL usada por el equipo. Complete la columna "Talla" (fondo amarillo) — "Días estimados" y "Sprints" se calculan automáticamente. La columna "¿En MVP?" se trae de la hoja de referencia de Épicas (a la derecha).</t>
        </is>
      </c>
    </row>
    <row r="3" ht="15" customHeight="1">
      <c r="L3" s="90" t="inlineStr">
        <is>
          <t>Referencia de tallaje (equipo Gestores)</t>
        </is>
      </c>
    </row>
    <row r="4" ht="30" customHeight="1">
      <c r="A4" s="51" t="inlineStr">
        <is>
          <t>ID</t>
        </is>
      </c>
      <c r="B4" s="51" t="inlineStr">
        <is>
          <t>Tipo</t>
        </is>
      </c>
      <c r="C4" s="51" t="inlineStr">
        <is>
          <t>Épica / Gestor-Frente</t>
        </is>
      </c>
      <c r="D4" s="51" t="inlineStr">
        <is>
          <t>Requisito</t>
        </is>
      </c>
      <c r="E4" s="51" t="inlineStr">
        <is>
          <t>Talla</t>
        </is>
      </c>
      <c r="F4" s="51" t="inlineStr">
        <is>
          <t>Días estimados</t>
        </is>
      </c>
      <c r="G4" s="51" t="inlineStr">
        <is>
          <t>Sprints estimados</t>
        </is>
      </c>
      <c r="H4" s="51" t="inlineStr">
        <is>
          <t>¿En MVP?</t>
        </is>
      </c>
      <c r="I4" s="51" t="inlineStr">
        <is>
          <t>Observaciones</t>
        </is>
      </c>
      <c r="J4" s="51" t="inlineStr">
        <is>
          <t>Capacidad agéntica</t>
        </is>
      </c>
      <c r="L4" s="52" t="inlineStr">
        <is>
          <t>Talla</t>
        </is>
      </c>
      <c r="M4" s="52" t="inlineStr">
        <is>
          <t>Días hábiles (ref.)</t>
        </is>
      </c>
      <c r="N4" s="52" t="inlineStr">
        <is>
          <t>Sprints (ref.)</t>
        </is>
      </c>
    </row>
    <row r="5" ht="30" customHeight="1">
      <c r="A5" s="53" t="inlineStr">
        <is>
          <t>RF-001</t>
        </is>
      </c>
      <c r="B5" s="53" t="inlineStr">
        <is>
          <t>Funcional</t>
        </is>
      </c>
      <c r="C5" s="53" t="inlineStr">
        <is>
          <t>Canales / Front Externos</t>
        </is>
      </c>
      <c r="D5" s="53" t="inlineStr">
        <is>
          <t>Se debe realizar la comprobación de derechos (vigencia de póliza, mora) de forma obligatoria desde que se ingresan de los datos del asegurado en la radicación de la solicitud</t>
        </is>
      </c>
      <c r="E5" s="54" t="inlineStr">
        <is>
          <t>M</t>
        </is>
      </c>
      <c r="F5" s="53">
        <f>IF($E5="",0,INDEX($M$5:$M$8,MATCH($E5,$L$5:$L$8,0)))</f>
        <v/>
      </c>
      <c r="G5" s="53">
        <f>IF($F5=0,0,$F5/10)</f>
        <v/>
      </c>
      <c r="H5" s="53">
        <f>IFERROR(INDEX($O$15:$O$29,MATCH($C5,$L$15:$L$29,0)),"🟨 validar")</f>
        <v/>
      </c>
      <c r="I5" s="55" t="n"/>
      <c r="J5" s="55" t="inlineStr">
        <is>
          <t>Determinística</t>
        </is>
      </c>
      <c r="L5" s="56" t="inlineStr">
        <is>
          <t>S</t>
        </is>
      </c>
      <c r="M5" s="56" t="n">
        <v>2</v>
      </c>
      <c r="N5" s="56">
        <f>M5/10</f>
        <v/>
      </c>
    </row>
    <row r="6" ht="30" customHeight="1">
      <c r="A6" s="57" t="inlineStr">
        <is>
          <t>RF-002</t>
        </is>
      </c>
      <c r="B6" s="57" t="inlineStr">
        <is>
          <t>Funcional</t>
        </is>
      </c>
      <c r="C6" s="57" t="inlineStr">
        <is>
          <t>Canales / Front Externos</t>
        </is>
      </c>
      <c r="D6" s="57" t="inlineStr">
        <is>
          <t>Documentos aparentemente inválidos se debe sugerir en pantalla que se revisen antes de enviar la solicitud, sin embargo no se debe restringir el ingreso (agente IA light).</t>
        </is>
      </c>
      <c r="E6" s="54" t="inlineStr">
        <is>
          <t>M</t>
        </is>
      </c>
      <c r="F6" s="53">
        <f>IF($E6="",0,INDEX($M$5:$M$8,MATCH($E6,$L$5:$L$8,0)))</f>
        <v/>
      </c>
      <c r="G6" s="53">
        <f>IF($F6=0,0,$F6/10)</f>
        <v/>
      </c>
      <c r="H6" s="53">
        <f>IFERROR(INDEX($O$15:$O$29,MATCH($C6,$L$15:$L$29,0)),"🟨 validar")</f>
        <v/>
      </c>
      <c r="I6" s="53" t="n"/>
      <c r="J6" s="53" t="inlineStr">
        <is>
          <t>Agéntica</t>
        </is>
      </c>
      <c r="L6" s="56" t="inlineStr">
        <is>
          <t>M</t>
        </is>
      </c>
      <c r="M6" s="56" t="n">
        <v>5</v>
      </c>
      <c r="N6" s="56">
        <f>M6/10</f>
        <v/>
      </c>
    </row>
    <row r="7" ht="30" customHeight="1">
      <c r="A7" s="105" t="inlineStr">
        <is>
          <t>RF-003</t>
        </is>
      </c>
      <c r="B7" s="105" t="inlineStr">
        <is>
          <t>Funcional</t>
        </is>
      </c>
      <c r="C7" s="105" t="inlineStr">
        <is>
          <t>Canales / Front Externos</t>
        </is>
      </c>
      <c r="D7" s="105" t="inlineStr">
        <is>
          <t>Omnicanalidad real: el historial de solicitudes/autorizaciones debe verse igual sin importar el canal de origen.</t>
        </is>
      </c>
      <c r="E7" s="54" t="inlineStr">
        <is>
          <t>L</t>
        </is>
      </c>
      <c r="F7" s="105">
        <f>IF($E7="",0,INDEX($M$5:$M$8,MATCH($E7,$L$5:$L$8,0)))</f>
        <v/>
      </c>
      <c r="G7" s="105">
        <f>IF($F7=0,0,$F7/10)</f>
        <v/>
      </c>
      <c r="H7" s="105">
        <f>IFERROR(INDEX($O$15:$O$29,MATCH($C7,$L$15:$L$29,0)),"🟨 validar")</f>
        <v/>
      </c>
      <c r="I7" s="105" t="inlineStr">
        <is>
          <t>Estimado acotado a los canales que el MVP habilita. La omnicanalidad sobre los ocho canales dibujados exige AVA y Nexo, que son de 2027.</t>
        </is>
      </c>
      <c r="J7" s="53" t="inlineStr">
        <is>
          <t>Determinística</t>
        </is>
      </c>
      <c r="L7" s="56" t="inlineStr">
        <is>
          <t>L</t>
        </is>
      </c>
      <c r="M7" s="56" t="n">
        <v>10</v>
      </c>
      <c r="N7" s="56">
        <f>M7/10</f>
        <v/>
      </c>
    </row>
    <row r="8" ht="30" customHeight="1">
      <c r="A8" s="57" t="inlineStr">
        <is>
          <t>RF-004</t>
        </is>
      </c>
      <c r="B8" s="57" t="inlineStr">
        <is>
          <t>Funcional</t>
        </is>
      </c>
      <c r="C8" s="57" t="inlineStr">
        <is>
          <t>Canales / Front Externos</t>
        </is>
      </c>
      <c r="D8" s="57" t="inlineStr">
        <is>
          <t>Para el prestador se deben habilitar 2 alternativas para realizar la radicación de la solicitud:
1. Con documentos (orden médica e historia clinica)
2. Sin documentos: Se debe habilitar todos los datos requeridos para que se ingresen de forma manual
Para el asegurado y asesor SIEMPRE se deben solicitar los documentos adjuntos (orden médica e historia clinica), no se debe habilitar el ingreso de datos manuales.</t>
        </is>
      </c>
      <c r="E8" s="54" t="inlineStr">
        <is>
          <t>L</t>
        </is>
      </c>
      <c r="F8" s="53">
        <f>IF($E8="",0,INDEX($M$5:$M$8,MATCH($E8,$L$5:$L$8,0)))</f>
        <v/>
      </c>
      <c r="G8" s="53">
        <f>IF($F8=0,0,$F8/10)</f>
        <v/>
      </c>
      <c r="H8" s="53">
        <f>IFERROR(INDEX($O$15:$O$29,MATCH($C8,$L$15:$L$29,0)),"🟨 validar")</f>
        <v/>
      </c>
      <c r="I8" s="53" t="n"/>
      <c r="J8" s="53" t="inlineStr">
        <is>
          <t>Determinística</t>
        </is>
      </c>
      <c r="L8" s="56" t="inlineStr">
        <is>
          <t>XL</t>
        </is>
      </c>
      <c r="M8" s="56" t="n">
        <v>20</v>
      </c>
      <c r="N8" s="56">
        <f>M8/10</f>
        <v/>
      </c>
    </row>
    <row r="9" ht="30" customHeight="1">
      <c r="A9" s="106" t="inlineStr">
        <is>
          <t>RF-005</t>
        </is>
      </c>
      <c r="B9" s="106" t="inlineStr">
        <is>
          <t>Funcional</t>
        </is>
      </c>
      <c r="C9" s="106" t="inlineStr">
        <is>
          <t>Canales / Front Externos</t>
        </is>
      </c>
      <c r="D9" s="106" t="inlineStr">
        <is>
          <t>Habilitar el canal de acceso para que los 3 tipos de publico puedan realizar solicitudes de autorización: prestador (70-80% del volumen, foco prioritario), cliente/asegurado (~15%) y asesor (~5%, tendencia a minimizarse).
(Portal Prestador, SVP, AVA/NEXO, Super App, WH)</t>
        </is>
      </c>
      <c r="E9" s="107" t="n"/>
      <c r="F9" s="106">
        <f>IF($E9="",0,INDEX($M$5:$M$8,MATCH($E9,$L$5:$L$8,0)))</f>
        <v/>
      </c>
      <c r="G9" s="106">
        <f>IF($F9=0,0,$F9/10)</f>
        <v/>
      </c>
      <c r="H9" s="106">
        <f>IFERROR(INDEX($O$15:$O$29,MATCH($C9,$L$15:$L$29,0)),"🟨 validar")</f>
        <v/>
      </c>
      <c r="I9" s="106" t="inlineStr">
        <is>
          <t>🟥 No estimable como está redactado. Pide habilitar los cinco canales (Portal Prestador, SVP, AVA/Nexo, Super App, WhatsApp) para los tres públicos, pero el MVP 2026 habilita Portal Proveedor y SVP; AVA y Nexo son épicas de 2027. Acotar el requisito a los canales del MVP y volver a tallar.</t>
        </is>
      </c>
      <c r="J9" s="53" t="n"/>
      <c r="L9" s="91" t="inlineStr">
        <is>
          <t>🟨 Escala de referencia (no oficial para todas las tallas): M ≈ 5 días (medio sprint) y L ≈ 10 días (1 sprint) están tomados literalmente del Acta de Estimación de Costo y Releases (21-ago-2026). S (≈3 días) y XL (≈20 días, el doble de L, por la regla de coherencia de tallaje de Víctor Martínez) son un supuesto para completar la escala — ajústelos si el equipo define otro valor. 1 sprint = 10 días hábiles (estándar SuraHis).</t>
        </is>
      </c>
    </row>
    <row r="10" ht="30" customHeight="1">
      <c r="A10" s="57" t="inlineStr">
        <is>
          <t>RF-006</t>
        </is>
      </c>
      <c r="B10" s="57" t="inlineStr">
        <is>
          <t>Funcional</t>
        </is>
      </c>
      <c r="C10" s="57" t="inlineStr">
        <is>
          <t>Canales / Front Externos</t>
        </is>
      </c>
      <c r="D10" s="57" t="inlineStr">
        <is>
          <t>Rescate digital automático: si falla el canal al radicar, se contacta tibbot desde el canal</t>
        </is>
      </c>
      <c r="E10" s="54" t="n"/>
      <c r="F10" s="53">
        <f>IF($E10="",0,INDEX($M$5:$M$8,MATCH($E10,$L$5:$L$8,0)))</f>
        <v/>
      </c>
      <c r="G10" s="53">
        <f>IF($F10=0,0,$F10/10)</f>
        <v/>
      </c>
      <c r="H10" s="53">
        <f>IFERROR(INDEX($O$15:$O$29,MATCH($C10,$L$15:$L$29,0)),"🟨 validar")</f>
        <v/>
      </c>
      <c r="I10" s="53" t="n"/>
      <c r="J10" s="53" t="n"/>
    </row>
    <row r="11" ht="30" customHeight="1">
      <c r="A11" s="53" t="inlineStr">
        <is>
          <t>RF-007</t>
        </is>
      </c>
      <c r="B11" s="53" t="inlineStr">
        <is>
          <t>Funcional</t>
        </is>
      </c>
      <c r="C11" s="53" t="inlineStr">
        <is>
          <t>Canales / Front Externos</t>
        </is>
      </c>
      <c r="D11" s="53" t="inlineStr">
        <is>
          <t>Solicitar solo la identificación del asegurado (aplica solo para prestador y asesor) + 2 documentos (historia clínica y orden médica); el usuario selecciona la persona del grupo familiar para el cual requiere la autorización, indica el proveedor en el cual desea recibir la atención y adjunta los documentos.</t>
        </is>
      </c>
      <c r="E11" s="54" t="inlineStr">
        <is>
          <t>M</t>
        </is>
      </c>
      <c r="F11" s="53">
        <f>IF($E11="",0,INDEX($M$5:$M$8,MATCH($E11,$L$5:$L$8,0)))</f>
        <v/>
      </c>
      <c r="G11" s="53">
        <f>IF($F11=0,0,$F11/10)</f>
        <v/>
      </c>
      <c r="H11" s="53">
        <f>IFERROR(INDEX($O$15:$O$29,MATCH($C11,$L$15:$L$29,0)),"🟨 validar")</f>
        <v/>
      </c>
      <c r="I11" s="53" t="n"/>
      <c r="J11" s="53" t="inlineStr">
        <is>
          <t>Determinística</t>
        </is>
      </c>
    </row>
    <row r="12" ht="30" customHeight="1">
      <c r="A12" s="57" t="inlineStr">
        <is>
          <t>RF-008</t>
        </is>
      </c>
      <c r="B12" s="57" t="inlineStr">
        <is>
          <t>Funcional</t>
        </is>
      </c>
      <c r="C12" s="57" t="inlineStr">
        <is>
          <t>Gestor de Solicitud</t>
        </is>
      </c>
      <c r="D12" s="57" t="inlineStr">
        <is>
          <t>Documento no legible nunca bloquea al usuario, le sugiere en pantalla que revise si el documento adjunto es correcto y le debe permitir volverlo a ingresar y en caso de que no actualice el documento y envie la solicitud, se debe pasar a bandeja de revisión manual en Surahis</t>
        </is>
      </c>
      <c r="E12" s="54" t="inlineStr">
        <is>
          <t>S</t>
        </is>
      </c>
      <c r="F12" s="53">
        <f>IF($E12="",0,INDEX($M$5:$M$8,MATCH($E12,$L$5:$L$8,0)))</f>
        <v/>
      </c>
      <c r="G12" s="53">
        <f>IF($F12=0,0,$F12/10)</f>
        <v/>
      </c>
      <c r="H12" s="53">
        <f>IFERROR(INDEX($O$15:$O$29,MATCH($C12,$L$15:$L$29,0)),"🟨 validar")</f>
        <v/>
      </c>
      <c r="I12" s="53" t="n"/>
      <c r="J12" s="53" t="inlineStr">
        <is>
          <t>Agéntica</t>
        </is>
      </c>
    </row>
    <row r="13" ht="30" customHeight="1">
      <c r="A13" s="53" t="inlineStr">
        <is>
          <t>RF-009</t>
        </is>
      </c>
      <c r="B13" s="53" t="inlineStr">
        <is>
          <t>Funcional</t>
        </is>
      </c>
      <c r="C13" s="53" t="inlineStr">
        <is>
          <t>Siniestro Integral</t>
        </is>
      </c>
      <c r="D13" s="53" t="inlineStr">
        <is>
          <t>Modelo de datos "padre-hijo": la solicitud es el padre; cada servicio o cups es una solicitud hijo y debe tener un estado propio.</t>
        </is>
      </c>
      <c r="E13" s="54" t="inlineStr">
        <is>
          <t>L</t>
        </is>
      </c>
      <c r="F13" s="53">
        <f>IF($E13="",0,INDEX($M$5:$M$8,MATCH($E13,$L$5:$L$8,0)))</f>
        <v/>
      </c>
      <c r="G13" s="53">
        <f>IF($F13=0,0,$F13/10)</f>
        <v/>
      </c>
      <c r="H13" s="53">
        <f>IFERROR(INDEX($O$15:$O$29,MATCH($C13,$L$15:$L$29,0)),"🟨 validar")</f>
        <v/>
      </c>
      <c r="I13" s="53" t="n"/>
      <c r="J13" s="53" t="inlineStr">
        <is>
          <t>Determinística</t>
        </is>
      </c>
      <c r="L13" s="90" t="inlineStr">
        <is>
          <t>Referencia de Épicas (usada por la columna "¿En MVP?")</t>
        </is>
      </c>
    </row>
    <row r="14" ht="30" customHeight="1">
      <c r="A14" s="57" t="inlineStr">
        <is>
          <t>RF-010</t>
        </is>
      </c>
      <c r="B14" s="57" t="inlineStr">
        <is>
          <t>Funcional</t>
        </is>
      </c>
      <c r="C14" s="57" t="inlineStr">
        <is>
          <t>Siniestro Integral</t>
        </is>
      </c>
      <c r="D14" s="57" t="inlineStr">
        <is>
          <t>Genera un ID temporal como número radicador (correlation ID), y almacena la información de forma temporal. (Siniestro Padre)</t>
        </is>
      </c>
      <c r="E14" s="54" t="inlineStr">
        <is>
          <t>M</t>
        </is>
      </c>
      <c r="F14" s="53">
        <f>IF($E14="",0,INDEX($M$5:$M$8,MATCH($E14,$L$5:$L$8,0)))</f>
        <v/>
      </c>
      <c r="G14" s="53">
        <f>IF($F14=0,0,$F14/10)</f>
        <v/>
      </c>
      <c r="H14" s="53">
        <f>IFERROR(INDEX($O$15:$O$29,MATCH($C14,$L$15:$L$29,0)),"🟨 validar")</f>
        <v/>
      </c>
      <c r="I14" s="53" t="n"/>
      <c r="J14" s="53" t="inlineStr">
        <is>
          <t>Determinística</t>
        </is>
      </c>
      <c r="L14" s="52" t="inlineStr">
        <is>
          <t>Épica / Gestor-Frente</t>
        </is>
      </c>
      <c r="M14" s="52" t="inlineStr">
        <is>
          <t># Funcionales</t>
        </is>
      </c>
      <c r="N14" s="52" t="inlineStr">
        <is>
          <t># Técnicos</t>
        </is>
      </c>
      <c r="O14" s="52" t="inlineStr">
        <is>
          <t>¿En MVP?</t>
        </is>
      </c>
      <c r="P14" s="52" t="inlineStr">
        <is>
          <t>Release sugerido</t>
        </is>
      </c>
      <c r="Q14" s="52" t="inlineStr">
        <is>
          <t>Nota</t>
        </is>
      </c>
    </row>
    <row r="15" ht="30" customHeight="1">
      <c r="A15" s="105" t="inlineStr">
        <is>
          <t>RF-011</t>
        </is>
      </c>
      <c r="B15" s="105" t="inlineStr">
        <is>
          <t>Funcional</t>
        </is>
      </c>
      <c r="C15" s="105" t="inlineStr">
        <is>
          <t>Gestor de Evaluación</t>
        </is>
      </c>
      <c r="D15" s="105" t="inlineStr">
        <is>
          <t>Extrae mediante agente IA la información de los documentos adjuntos (orden médica + historia clínica).</t>
        </is>
      </c>
      <c r="E15" s="54" t="inlineStr">
        <is>
          <t>L</t>
        </is>
      </c>
      <c r="F15" s="105">
        <f>IF($E15="",0,INDEX($M$5:$M$8,MATCH($E15,$L$5:$L$8,0)))</f>
        <v/>
      </c>
      <c r="G15" s="105">
        <f>IF($F15=0,0,$F15/10)</f>
        <v/>
      </c>
      <c r="H15" s="105">
        <f>IFERROR(INDEX($O$15:$O$29,MATCH($C15,$L$15:$L$29,0)),"🟨 validar")</f>
        <v/>
      </c>
      <c r="I15" s="105" t="inlineStr">
        <is>
          <t>El dibujo del MVP ubica los extractores en la capa de agentes expertos del Gestor de Solicitud, no en Evaluación; RT-017 confirma que Evaluación consume lo ya extraído. La talla cubre los dos extractores del MVP (historia clínica y orden).</t>
        </is>
      </c>
      <c r="J15" s="53" t="inlineStr">
        <is>
          <t>Agéntica</t>
        </is>
      </c>
      <c r="L15" s="58" t="inlineStr">
        <is>
          <t>Gestor de Monitoreo (Torre de Control)</t>
        </is>
      </c>
      <c r="M15" s="58">
        <f>COUNTIFS($C$5:$C$187,L15,$B$5:$B$187,"Funcional")</f>
        <v/>
      </c>
      <c r="N15" s="58">
        <f>COUNTIFS($C$5:$C$187,L15,$B$5:$B$187,"Técnico")</f>
        <v/>
      </c>
      <c r="O15" s="58" t="inlineStr">
        <is>
          <t>Parcial</t>
        </is>
      </c>
      <c r="P15" s="58" t="inlineStr">
        <is>
          <t>Release 2-3</t>
        </is>
      </c>
      <c r="Q15" s="59" t="inlineStr">
        <is>
          <t>Solo el alcance de correlación y trazabilidad end-to-end (vía eventos) entra al MVP; alertamiento/analítica/detección de anomalías quedan para fases posteriores. Validar caso a caso cuáles historias aplican.</t>
        </is>
      </c>
    </row>
    <row r="16" ht="30" customHeight="1">
      <c r="A16" s="57" t="inlineStr">
        <is>
          <t>RF-012</t>
        </is>
      </c>
      <c r="B16" s="57" t="inlineStr">
        <is>
          <t>Funcional</t>
        </is>
      </c>
      <c r="C16" s="57" t="inlineStr">
        <is>
          <t>Siniestro Integral</t>
        </is>
      </c>
      <c r="D16" s="57" t="inlineStr">
        <is>
          <t>Almacena los documentos en P8, se debe conservar la lógica que se tiene para que este relacionado al número de solicitud que permita ser identificado facilmente</t>
        </is>
      </c>
      <c r="E16" s="54" t="inlineStr">
        <is>
          <t>M</t>
        </is>
      </c>
      <c r="F16" s="53">
        <f>IF($E16="",0,INDEX($M$5:$M$8,MATCH($E16,$L$5:$L$8,0)))</f>
        <v/>
      </c>
      <c r="G16" s="53">
        <f>IF($F16=0,0,$F16/10)</f>
        <v/>
      </c>
      <c r="H16" s="53">
        <f>IFERROR(INDEX($O$15:$O$29,MATCH($C16,$L$15:$L$29,0)),"🟨 validar")</f>
        <v/>
      </c>
      <c r="I16" s="53" t="n"/>
      <c r="J16" s="53" t="inlineStr">
        <is>
          <t>Determinística</t>
        </is>
      </c>
      <c r="L16" s="58" t="inlineStr">
        <is>
          <t>Interoperabilidad (Prestadores)</t>
        </is>
      </c>
      <c r="M16" s="58">
        <f>COUNTIFS($C$5:$C$187,L16,$B$5:$B$187,"Funcional")</f>
        <v/>
      </c>
      <c r="N16" s="58">
        <f>COUNTIFS($C$5:$C$187,L16,$B$5:$B$187,"Técnico")</f>
        <v/>
      </c>
      <c r="O16" s="58" t="inlineStr">
        <is>
          <t>Parcial</t>
        </is>
      </c>
      <c r="P16" s="58" t="inlineStr">
        <is>
          <t>Release 1-2 (según reutilización)</t>
        </is>
      </c>
      <c r="Q16" s="59" t="inlineStr">
        <is>
          <t>🟨 Requiere validación: soporta la verificación documental de Solicitud/Evaluación, pero su alcance exacto dentro del MVP no está confirmado en actas.</t>
        </is>
      </c>
    </row>
    <row r="17" ht="30" customHeight="1">
      <c r="A17" s="53" t="inlineStr">
        <is>
          <t>RF-013</t>
        </is>
      </c>
      <c r="B17" s="53" t="inlineStr">
        <is>
          <t>Funcional</t>
        </is>
      </c>
      <c r="C17" s="53" t="inlineStr">
        <is>
          <t>Siniestro Integral</t>
        </is>
      </c>
      <c r="D17" s="53" t="inlineStr">
        <is>
          <t>Los documentos se suben a P8 cuando la solicitud se crea en el Core (SuraHis)</t>
        </is>
      </c>
      <c r="E17" s="54" t="inlineStr">
        <is>
          <t>S</t>
        </is>
      </c>
      <c r="F17" s="53">
        <f>IF($E17="",0,INDEX($M$5:$M$8,MATCH($E17,$L$5:$L$8,0)))</f>
        <v/>
      </c>
      <c r="G17" s="53">
        <f>IF($F17=0,0,$F17/10)</f>
        <v/>
      </c>
      <c r="H17" s="53">
        <f>IFERROR(INDEX($O$15:$O$29,MATCH($C17,$L$15:$L$29,0)),"🟨 validar")</f>
        <v/>
      </c>
      <c r="I17" s="53" t="n"/>
      <c r="J17" s="53" t="inlineStr">
        <is>
          <t>Determinística</t>
        </is>
      </c>
      <c r="L17" s="60" t="inlineStr">
        <is>
          <t>Gestor de Evaluación</t>
        </is>
      </c>
      <c r="M17" s="60">
        <f>COUNTIFS($C$5:$C$187,L17,$B$5:$B$187,"Funcional")</f>
        <v/>
      </c>
      <c r="N17" s="60">
        <f>COUNTIFS($C$5:$C$187,L17,$B$5:$B$187,"Técnico")</f>
        <v/>
      </c>
      <c r="O17" s="60" t="inlineStr">
        <is>
          <t>Sí</t>
        </is>
      </c>
      <c r="P17" s="60" t="inlineStr">
        <is>
          <t>Release 2 (dentro del MVP)</t>
        </is>
      </c>
      <c r="Q17" s="61" t="inlineStr">
        <is>
          <t>🟨 Incluido en el MVP según alcance indicado por el equipo. Validar ventana de tiempo: el análisis del 26-ago-2026 estimaba su mínimo viable en ~4 meses.</t>
        </is>
      </c>
    </row>
    <row r="18" ht="30" customHeight="1">
      <c r="A18" s="57" t="inlineStr">
        <is>
          <t>RF-014</t>
        </is>
      </c>
      <c r="B18" s="57" t="inlineStr">
        <is>
          <t>Funcional</t>
        </is>
      </c>
      <c r="C18" s="57" t="inlineStr">
        <is>
          <t>Siniestro Integral</t>
        </is>
      </c>
      <c r="D18" s="57" t="inlineStr">
        <is>
          <t>Envia al Core una petición de creación de solicitud y publica un evento para que la torre de control guarde trazabilidad</t>
        </is>
      </c>
      <c r="E18" s="54" t="inlineStr">
        <is>
          <t>M</t>
        </is>
      </c>
      <c r="F18" s="53">
        <f>IF($E18="",0,INDEX($M$5:$M$8,MATCH($E18,$L$5:$L$8,0)))</f>
        <v/>
      </c>
      <c r="G18" s="53">
        <f>IF($F18=0,0,$F18/10)</f>
        <v/>
      </c>
      <c r="H18" s="53">
        <f>IFERROR(INDEX($O$15:$O$29,MATCH($C18,$L$15:$L$29,0)),"🟨 validar")</f>
        <v/>
      </c>
      <c r="I18" s="53" t="n"/>
      <c r="J18" s="53" t="inlineStr">
        <is>
          <t>Determinística</t>
        </is>
      </c>
      <c r="L18" s="60" t="inlineStr">
        <is>
          <t>Gestor de Solicitud</t>
        </is>
      </c>
      <c r="M18" s="60">
        <f>COUNTIFS($C$5:$C$187,L18,$B$5:$B$187,"Funcional")</f>
        <v/>
      </c>
      <c r="N18" s="60">
        <f>COUNTIFS($C$5:$C$187,L18,$B$5:$B$187,"Técnico")</f>
        <v/>
      </c>
      <c r="O18" s="60" t="inlineStr">
        <is>
          <t>Sí</t>
        </is>
      </c>
      <c r="P18" s="60" t="inlineStr">
        <is>
          <t>Release 1</t>
        </is>
      </c>
      <c r="Q18" s="61" t="inlineStr">
        <is>
          <t>Puerta de entrada del flujo. Talla mínima acordada para su implementación: L (Acta_EstimacionCostoReleases_20260821). Acotado a rol Proveedor / canal Sucursal Virtual Prestador.</t>
        </is>
      </c>
    </row>
    <row r="19" ht="30" customHeight="1">
      <c r="A19" s="53" t="inlineStr">
        <is>
          <t>RF-015</t>
        </is>
      </c>
      <c r="B19" s="53" t="inlineStr">
        <is>
          <t>Funcional</t>
        </is>
      </c>
      <c r="C19" s="53" t="inlineStr">
        <is>
          <t>Gestor de Evaluación</t>
        </is>
      </c>
      <c r="D19" s="53" t="inlineStr">
        <is>
          <t>Autorización automática aplica para servicios clasificados como "nivel 1" (algunas no requieren soportes) ; para los niveles 3 y 4 (alto costo/riesgo) siempre van a evaluación manual.</t>
        </is>
      </c>
      <c r="E19" s="54" t="inlineStr">
        <is>
          <t>M</t>
        </is>
      </c>
      <c r="F19" s="53">
        <f>IF($E19="",0,INDEX($M$5:$M$8,MATCH($E19,$L$5:$L$8,0)))</f>
        <v/>
      </c>
      <c r="G19" s="53">
        <f>IF($F19=0,0,$F19/10)</f>
        <v/>
      </c>
      <c r="H19" s="53">
        <f>IFERROR(INDEX($O$15:$O$29,MATCH($C19,$L$15:$L$29,0)),"🟨 validar")</f>
        <v/>
      </c>
      <c r="I19" s="53" t="n"/>
      <c r="J19" s="53" t="inlineStr">
        <is>
          <t>Agéntica</t>
        </is>
      </c>
      <c r="L19" s="62" t="inlineStr">
        <is>
          <t>Gestor de Coordinación</t>
        </is>
      </c>
      <c r="M19" s="62">
        <f>COUNTIFS($C$5:$C$187,L19,$B$5:$B$187,"Funcional")</f>
        <v/>
      </c>
      <c r="N19" s="62">
        <f>COUNTIFS($C$5:$C$187,L19,$B$5:$B$187,"Técnico")</f>
        <v/>
      </c>
      <c r="O19" s="62" t="inlineStr">
        <is>
          <t>No</t>
        </is>
      </c>
      <c r="P19" s="62" t="inlineStr">
        <is>
          <t>No aplica (absorbido por Core)</t>
        </is>
      </c>
      <c r="Q19" s="57" t="inlineStr">
        <is>
          <t>Decidido el 03-ago-2026 (con Viviana Monsalve): NO se implementa como gestor agéntico independiente. La asignación de prestador queda encapsulada en SuraHis (Core), principio KISS.</t>
        </is>
      </c>
    </row>
    <row r="20" ht="30" customHeight="1">
      <c r="A20" s="57" t="inlineStr">
        <is>
          <t>RF-016</t>
        </is>
      </c>
      <c r="B20" s="57" t="inlineStr">
        <is>
          <t>Funcional</t>
        </is>
      </c>
      <c r="C20" s="57" t="inlineStr">
        <is>
          <t>Surahis</t>
        </is>
      </c>
      <c r="D20" s="57" t="inlineStr">
        <is>
          <t>Se debe activar la Integralidad automática con EPS Sura cuando la póliza voluntaria no cubre el servicio y se genera la negación de una solicitud (régimen contributivo activo).</t>
        </is>
      </c>
      <c r="E20" s="54" t="n"/>
      <c r="F20" s="53">
        <f>IF($E20="",0,INDEX($M$5:$M$8,MATCH($E20,$L$5:$L$8,0)))</f>
        <v/>
      </c>
      <c r="G20" s="53">
        <f>IF($F20=0,0,$F20/10)</f>
        <v/>
      </c>
      <c r="H20" s="53">
        <f>IFERROR(INDEX($O$15:$O$29,MATCH($C20,$L$15:$L$29,0)),"🟨 validar")</f>
        <v/>
      </c>
      <c r="I20" s="53" t="n"/>
      <c r="J20" s="53" t="n"/>
      <c r="L20" s="60" t="inlineStr">
        <is>
          <t>Canales / Front Externos</t>
        </is>
      </c>
      <c r="M20" s="60">
        <f>COUNTIFS($C$5:$C$187,L20,$B$5:$B$187,"Funcional")</f>
        <v/>
      </c>
      <c r="N20" s="60">
        <f>COUNTIFS($C$5:$C$187,L20,$B$5:$B$187,"Técnico")</f>
        <v/>
      </c>
      <c r="O20" s="60" t="inlineStr">
        <is>
          <t>Sí</t>
        </is>
      </c>
      <c r="P20" s="60" t="inlineStr">
        <is>
          <t>Release 1-2</t>
        </is>
      </c>
      <c r="Q20" s="61" t="inlineStr">
        <is>
          <t>Habilitación del canal Proveedor / Sucursal Virtual Prestador en 2026; resto de canales (WhatsApp, App, Portal de Canales) programados para 2027.</t>
        </is>
      </c>
    </row>
    <row r="21" ht="30" customHeight="1">
      <c r="A21" s="53" t="inlineStr">
        <is>
          <t>RF-017</t>
        </is>
      </c>
      <c r="B21" s="53" t="inlineStr">
        <is>
          <t>Funcional</t>
        </is>
      </c>
      <c r="C21" s="53" t="inlineStr">
        <is>
          <t>Gestor de Solicitud</t>
        </is>
      </c>
      <c r="D21" s="53" t="inlineStr">
        <is>
          <t>Se debe habilitar la opción de "Reestudio": permite solicitar una reevaluación de una solicitud negada adjuntando nueva evidencia u observaciones, se debe conservar el mismo número de solicitud padre y se debe enviar al core con el mismo evaluador de la solicitud inicial.</t>
        </is>
      </c>
      <c r="E21" s="54" t="n"/>
      <c r="F21" s="53">
        <f>IF($E21="",0,INDEX($M$5:$M$8,MATCH($E21,$L$5:$L$8,0)))</f>
        <v/>
      </c>
      <c r="G21" s="53">
        <f>IF($F21=0,0,$F21/10)</f>
        <v/>
      </c>
      <c r="H21" s="53">
        <f>IFERROR(INDEX($O$15:$O$29,MATCH($C21,$L$15:$L$29,0)),"🟨 validar")</f>
        <v/>
      </c>
      <c r="I21" s="53" t="n"/>
      <c r="J21" s="53" t="n"/>
      <c r="L21" s="60" t="inlineStr">
        <is>
          <t>Transversal / Principios generales</t>
        </is>
      </c>
      <c r="M21" s="60">
        <f>COUNTIFS($C$5:$C$187,L21,$B$5:$B$187,"Funcional")</f>
        <v/>
      </c>
      <c r="N21" s="60">
        <f>COUNTIFS($C$5:$C$187,L21,$B$5:$B$187,"Técnico")</f>
        <v/>
      </c>
      <c r="O21" s="60" t="inlineStr">
        <is>
          <t>Sí</t>
        </is>
      </c>
      <c r="P21" s="60" t="inlineStr">
        <is>
          <t>Transversal (todos los releases)</t>
        </is>
      </c>
      <c r="Q21" s="61" t="inlineStr">
        <is>
          <t>Arquitectura habilitadora (EDA, catálogo de eventos, contratos de API, plataforma/dominio agéntico). Camino crítico según la propuesta preliminar del 18-ago-2026.</t>
        </is>
      </c>
    </row>
    <row r="22" ht="30" customHeight="1">
      <c r="A22" s="106" t="inlineStr">
        <is>
          <t>RF-018</t>
        </is>
      </c>
      <c r="B22" s="106" t="inlineStr">
        <is>
          <t>Funcional</t>
        </is>
      </c>
      <c r="C22" s="106" t="inlineStr">
        <is>
          <t>Siniestro Integral</t>
        </is>
      </c>
      <c r="D22" s="106" t="inlineStr">
        <is>
          <t>Validar si se debe publicar eventos antes de generar la solicitud oficial por parte del core</t>
        </is>
      </c>
      <c r="E22" s="107" t="n"/>
      <c r="F22" s="106">
        <f>IF($E22="",0,INDEX($M$5:$M$8,MATCH($E22,$L$5:$L$8,0)))</f>
        <v/>
      </c>
      <c r="G22" s="106">
        <f>IF($F22=0,0,$F22/10)</f>
        <v/>
      </c>
      <c r="H22" s="106">
        <f>IFERROR(INDEX($O$15:$O$29,MATCH($C22,$L$15:$L$29,0)),"🟨 validar")</f>
        <v/>
      </c>
      <c r="I22" s="106" t="inlineStr">
        <is>
          <t>🟥 No estimable: está redactado como una validación pendiente («Validar si se debe publicar eventos antes de generar la solicitud oficial»). El dibujo del MVP sí exige un evento por cada cambio de estado; falta decidir si se emite antes o después de la creación en el core.</t>
        </is>
      </c>
      <c r="J22" s="53" t="n"/>
      <c r="L22" s="58" t="inlineStr">
        <is>
          <t>Gestor de Asignación</t>
        </is>
      </c>
      <c r="M22" s="58">
        <f>COUNTIFS($C$5:$C$187,L22,$B$5:$B$187,"Funcional")</f>
        <v/>
      </c>
      <c r="N22" s="58">
        <f>COUNTIFS($C$5:$C$187,L22,$B$5:$B$187,"Técnico")</f>
        <v/>
      </c>
      <c r="O22" s="58" t="inlineStr">
        <is>
          <t>Parcial</t>
        </is>
      </c>
      <c r="P22" s="58" t="inlineStr">
        <is>
          <t>Release 2 (ligado a Evaluación)</t>
        </is>
      </c>
      <c r="Q22" s="59" t="inlineStr">
        <is>
          <t>🟨 Asignación interna de casos a evaluadores (no confundir con Gestor de Coordinación, que asigna prestador). Validar con el equipo si entra junto con Evaluación.</t>
        </is>
      </c>
    </row>
    <row r="23" ht="30" customHeight="1">
      <c r="A23" s="53" t="inlineStr">
        <is>
          <t>RF-019</t>
        </is>
      </c>
      <c r="B23" s="53" t="inlineStr">
        <is>
          <t>Funcional</t>
        </is>
      </c>
      <c r="C23" s="53" t="inlineStr">
        <is>
          <t>Gestor de Solicitud</t>
        </is>
      </c>
      <c r="D23" s="53" t="inlineStr">
        <is>
          <t>Se debe incorporar como requisito funcional el "rescate de la solicitud" cuando la radicación no se concluye, sin importar en qué paso quedó.</t>
        </is>
      </c>
      <c r="E23" s="54" t="n"/>
      <c r="F23" s="53">
        <f>IF($E23="",0,INDEX($M$5:$M$8,MATCH($E23,$L$5:$L$8,0)))</f>
        <v/>
      </c>
      <c r="G23" s="53">
        <f>IF($F23=0,0,$F23/10)</f>
        <v/>
      </c>
      <c r="H23" s="53">
        <f>IFERROR(INDEX($O$15:$O$29,MATCH($C23,$L$15:$L$29,0)),"🟨 validar")</f>
        <v/>
      </c>
      <c r="I23" s="53" t="n"/>
      <c r="J23" s="53" t="n"/>
      <c r="L23" s="60" t="inlineStr">
        <is>
          <t>Siniestro Integral</t>
        </is>
      </c>
      <c r="M23" s="60">
        <f>COUNTIFS($C$5:$C$187,L23,$B$5:$B$187,"Funcional")</f>
        <v/>
      </c>
      <c r="N23" s="60">
        <f>COUNTIFS($C$5:$C$187,L23,$B$5:$B$187,"Técnico")</f>
        <v/>
      </c>
      <c r="O23" s="60" t="inlineStr">
        <is>
          <t>Sí</t>
        </is>
      </c>
      <c r="P23" s="60" t="inlineStr">
        <is>
          <t>Release 1</t>
        </is>
      </c>
      <c r="Q23" s="61" t="inlineStr">
        <is>
          <t>Se reutiliza como base común (back, API Gateway, orquestador, storage, colas) y se ajusta como canal unificado de registro/seguimiento. Talla acordada: mínimo 1 sprint (Acta_EstimacionCostoReleases_20260821).</t>
        </is>
      </c>
    </row>
    <row r="24" ht="30" customHeight="1">
      <c r="A24" s="57" t="inlineStr">
        <is>
          <t>RF-020</t>
        </is>
      </c>
      <c r="B24" s="57" t="inlineStr">
        <is>
          <t>Funcional</t>
        </is>
      </c>
      <c r="C24" s="57" t="inlineStr">
        <is>
          <t>Gestor de Solicitud</t>
        </is>
      </c>
      <c r="D24" s="57" t="inlineStr">
        <is>
          <t>Disponer en el front al prestador el cambio de estado de la solicitud de Autorización</t>
        </is>
      </c>
      <c r="E24" s="54" t="inlineStr">
        <is>
          <t>M</t>
        </is>
      </c>
      <c r="F24" s="53">
        <f>IF($E24="",0,INDEX($M$5:$M$8,MATCH($E24,$L$5:$L$8,0)))</f>
        <v/>
      </c>
      <c r="G24" s="53">
        <f>IF($F24=0,0,$F24/10)</f>
        <v/>
      </c>
      <c r="H24" s="53">
        <f>IFERROR(INDEX($O$15:$O$29,MATCH($C24,$L$15:$L$29,0)),"🟨 validar")</f>
        <v/>
      </c>
      <c r="I24" s="53" t="n"/>
      <c r="J24" s="53" t="inlineStr">
        <is>
          <t>Determinística</t>
        </is>
      </c>
      <c r="L24" s="62" t="inlineStr">
        <is>
          <t>NEXO (Asesores)</t>
        </is>
      </c>
      <c r="M24" s="62">
        <f>COUNTIFS($C$5:$C$187,L24,$B$5:$B$187,"Funcional")</f>
        <v/>
      </c>
      <c r="N24" s="62">
        <f>COUNTIFS($C$5:$C$187,L24,$B$5:$B$187,"Técnico")</f>
        <v/>
      </c>
      <c r="O24" s="62" t="inlineStr">
        <is>
          <t>No</t>
        </is>
      </c>
      <c r="P24" s="62" t="inlineStr">
        <is>
          <t>Futuro (2027, por revisar)</t>
        </is>
      </c>
      <c r="Q24" s="57" t="inlineStr">
        <is>
          <t>Canal de asesores, rol con tendencia a minimizarse (~5% del volumen). Requisito de canales indica 'Nexo (se revisará 2027)'.</t>
        </is>
      </c>
    </row>
    <row r="25" ht="30" customHeight="1">
      <c r="A25" s="53" t="inlineStr">
        <is>
          <t>RF-021</t>
        </is>
      </c>
      <c r="B25" s="53" t="inlineStr">
        <is>
          <t>Funcional</t>
        </is>
      </c>
      <c r="C25" s="53" t="inlineStr">
        <is>
          <t>Gestor de Evaluación</t>
        </is>
      </c>
      <c r="D25" s="53" t="inlineStr">
        <is>
          <t>Consulta al Core (SuraHis) coberturas, vigencias (MORA), convenios y exclusiones para los controles de evaluación, con la validación de estas reglas toma la decisión de: 
1. Rechazar la solicitud
2. Aprobar la solicitud y enviar al agente de pertinencia</t>
        </is>
      </c>
      <c r="E25" s="54" t="inlineStr">
        <is>
          <t>XL</t>
        </is>
      </c>
      <c r="F25" s="53">
        <f>IF($E25="",0,INDEX($M$5:$M$8,MATCH($E25,$L$5:$L$8,0)))</f>
        <v/>
      </c>
      <c r="G25" s="53">
        <f>IF($F25=0,0,$F25/10)</f>
        <v/>
      </c>
      <c r="H25" s="53">
        <f>IFERROR(INDEX($O$15:$O$29,MATCH($C25,$L$15:$L$29,0)),"🟨 validar")</f>
        <v/>
      </c>
      <c r="I25" s="53" t="n"/>
      <c r="J25" s="53" t="inlineStr">
        <is>
          <t>Determinística</t>
        </is>
      </c>
      <c r="L25" s="62" t="inlineStr">
        <is>
          <t>Gestor de Prestación</t>
        </is>
      </c>
      <c r="M25" s="62">
        <f>COUNTIFS($C$5:$C$187,L25,$B$5:$B$187,"Funcional")</f>
        <v/>
      </c>
      <c r="N25" s="62">
        <f>COUNTIFS($C$5:$C$187,L25,$B$5:$B$187,"Técnico")</f>
        <v/>
      </c>
      <c r="O25" s="62" t="inlineStr">
        <is>
          <t>No</t>
        </is>
      </c>
      <c r="P25" s="62" t="inlineStr">
        <is>
          <t>Fuera del MVP / por definir</t>
        </is>
      </c>
      <c r="Q25" s="57" t="inlineStr">
        <is>
          <t>🟨 Existencia formal del gestor aún en duda al 21-ago-2026 (¿gestor agéntico o jobs simples desde SuraHis?). Pendiente de validación de Viviana Monsalve.</t>
        </is>
      </c>
    </row>
    <row r="26" ht="30" customHeight="1">
      <c r="A26" s="105" t="inlineStr">
        <is>
          <t>RF-022</t>
        </is>
      </c>
      <c r="B26" s="105" t="inlineStr">
        <is>
          <t>Funcional</t>
        </is>
      </c>
      <c r="C26" s="105" t="inlineStr">
        <is>
          <t>Gestor de Evaluación</t>
        </is>
      </c>
      <c r="D26" s="105" t="inlineStr">
        <is>
          <t>Revisar la integración para consultar mora (ir directamente al core de PDN o pasar por SuraHis).</t>
        </is>
      </c>
      <c r="E26" s="54" t="inlineStr">
        <is>
          <t>S</t>
        </is>
      </c>
      <c r="F26" s="105">
        <f>IF($E26="",0,INDEX($M$5:$M$8,MATCH($E26,$L$5:$L$8,0)))</f>
        <v/>
      </c>
      <c r="G26" s="105">
        <f>IF($F26=0,0,$F26/10)</f>
        <v/>
      </c>
      <c r="H26" s="105">
        <f>IFERROR(INDEX($O$15:$O$29,MATCH($C26,$L$15:$L$29,0)),"🟨 validar")</f>
        <v/>
      </c>
      <c r="I26" s="105" t="inlineStr">
        <is>
          <t>El dibujo lo resuelve: el dato se pide primero a SuraHis y la conexión directa solo se justifica si el core no lo tiene. La talla cubre el ajuste de la integración, no la decisión.</t>
        </is>
      </c>
      <c r="J26" s="53" t="inlineStr">
        <is>
          <t>Determinística</t>
        </is>
      </c>
      <c r="L26" s="62" t="inlineStr">
        <is>
          <t>AVA (Asesores — AVA)</t>
        </is>
      </c>
      <c r="M26" s="62">
        <f>COUNTIFS($C$5:$C$187,L26,$B$5:$B$187,"Funcional")</f>
        <v/>
      </c>
      <c r="N26" s="62">
        <f>COUNTIFS($C$5:$C$187,L26,$B$5:$B$187,"Técnico")</f>
        <v/>
      </c>
      <c r="O26" s="62" t="inlineStr">
        <is>
          <t>No</t>
        </is>
      </c>
      <c r="P26" s="62" t="inlineStr">
        <is>
          <t>Futuro (2027)</t>
        </is>
      </c>
      <c r="Q26" s="57" t="inlineStr">
        <is>
          <t>Canal de asesores programado para 2027 según el requisito de habilitación de canales.</t>
        </is>
      </c>
    </row>
    <row r="27" ht="30" customHeight="1">
      <c r="A27" s="53" t="inlineStr">
        <is>
          <t>RF-023</t>
        </is>
      </c>
      <c r="B27" s="53" t="inlineStr">
        <is>
          <t>Funcional</t>
        </is>
      </c>
      <c r="C27" s="53" t="inlineStr">
        <is>
          <t>Gestor de Evaluación</t>
        </is>
      </c>
      <c r="D27" s="53" t="inlineStr">
        <is>
          <t>Reutiliza el homologador de CUPS y el motor ya productivo del proyecto de autorizaciones EPS, en vez de partir de cero.</t>
        </is>
      </c>
      <c r="E27" s="54" t="inlineStr">
        <is>
          <t>M</t>
        </is>
      </c>
      <c r="F27" s="53">
        <f>IF($E27="",0,INDEX($M$5:$M$8,MATCH($E27,$L$5:$L$8,0)))</f>
        <v/>
      </c>
      <c r="G27" s="53">
        <f>IF($F27=0,0,$F27/10)</f>
        <v/>
      </c>
      <c r="H27" s="53">
        <f>IFERROR(INDEX($O$15:$O$29,MATCH($C27,$L$15:$L$29,0)),"🟨 validar")</f>
        <v/>
      </c>
      <c r="I27" s="53" t="n"/>
      <c r="J27" s="53" t="inlineStr">
        <is>
          <t>Determinística</t>
        </is>
      </c>
      <c r="L27" s="60" t="inlineStr">
        <is>
          <t>Transversal</t>
        </is>
      </c>
      <c r="M27" s="60">
        <f>COUNTIFS($C$5:$C$187,L27,$B$5:$B$187,"Funcional")</f>
        <v/>
      </c>
      <c r="N27" s="60">
        <f>COUNTIFS($C$5:$C$187,L27,$B$5:$B$187,"Técnico")</f>
        <v/>
      </c>
      <c r="O27" s="60" t="inlineStr">
        <is>
          <t>Sí</t>
        </is>
      </c>
      <c r="P27" s="60" t="inlineStr">
        <is>
          <t>Transversal (todos los releases)</t>
        </is>
      </c>
      <c r="Q27" s="61" t="inlineStr">
        <is>
          <t>Requisitos funcionales transversales al ecosistema de gestores.</t>
        </is>
      </c>
    </row>
    <row r="28" ht="30" customHeight="1">
      <c r="A28" s="57" t="inlineStr">
        <is>
          <t>RF-024</t>
        </is>
      </c>
      <c r="B28" s="57" t="inlineStr">
        <is>
          <t>Funcional</t>
        </is>
      </c>
      <c r="C28" s="57" t="inlineStr">
        <is>
          <t>Gestor de Evaluación</t>
        </is>
      </c>
      <c r="D28" s="57" t="inlineStr">
        <is>
          <t>Valida la pertinencia médica; decide autorizar o escalar a evaluación manual (coherencia orden médica/historia clínica, CIE-10/CUPS, score de complejidad).</t>
        </is>
      </c>
      <c r="E28" s="54" t="inlineStr">
        <is>
          <t>XL</t>
        </is>
      </c>
      <c r="F28" s="53">
        <f>IF($E28="",0,INDEX($M$5:$M$8,MATCH($E28,$L$5:$L$8,0)))</f>
        <v/>
      </c>
      <c r="G28" s="53">
        <f>IF($F28=0,0,$F28/10)</f>
        <v/>
      </c>
      <c r="H28" s="53">
        <f>IFERROR(INDEX($O$15:$O$29,MATCH($C28,$L$15:$L$29,0)),"🟨 validar")</f>
        <v/>
      </c>
      <c r="I28" s="53" t="n"/>
      <c r="J28" s="53" t="inlineStr">
        <is>
          <t>Agéntica</t>
        </is>
      </c>
      <c r="L28" s="62" t="inlineStr">
        <is>
          <t>Gestor de Finalización</t>
        </is>
      </c>
      <c r="M28" s="62">
        <f>COUNTIFS($C$5:$C$187,L28,$B$5:$B$187,"Funcional")</f>
        <v/>
      </c>
      <c r="N28" s="62">
        <f>COUNTIFS($C$5:$C$187,L28,$B$5:$B$187,"Técnico")</f>
        <v/>
      </c>
      <c r="O28" s="62" t="inlineStr">
        <is>
          <t>No</t>
        </is>
      </c>
      <c r="P28" s="62" t="inlineStr">
        <is>
          <t>Fuera del alcance de Salud (líneas punteadas)</t>
        </is>
      </c>
      <c r="Q28" s="57" t="inlineStr">
        <is>
          <t>Decisión provisional: se representa con líneas punteadas en la arquitectura, sin implementación en el alcance de Salud (lo resuelve SuraHis Core); mapeado para activarse en otro negocio.</t>
        </is>
      </c>
    </row>
    <row r="29" ht="30" customHeight="1">
      <c r="A29" s="53" t="inlineStr">
        <is>
          <t>RF-025</t>
        </is>
      </c>
      <c r="B29" s="53" t="inlineStr">
        <is>
          <t>Funcional</t>
        </is>
      </c>
      <c r="C29" s="53" t="inlineStr">
        <is>
          <t>Gestor de Evaluación</t>
        </is>
      </c>
      <c r="D29" s="53" t="inlineStr">
        <is>
          <t>Regla crítica: la negación nunca se hace 100% automática — toda negación exige intervención de un evaluador humano (administrativa vs. por pertinencia médica).</t>
        </is>
      </c>
      <c r="E29" s="54" t="inlineStr">
        <is>
          <t>M</t>
        </is>
      </c>
      <c r="F29" s="53">
        <f>IF($E29="",0,INDEX($M$5:$M$8,MATCH($E29,$L$5:$L$8,0)))</f>
        <v/>
      </c>
      <c r="G29" s="53">
        <f>IF($F29=0,0,$F29/10)</f>
        <v/>
      </c>
      <c r="H29" s="53">
        <f>IFERROR(INDEX($O$15:$O$29,MATCH($C29,$L$15:$L$29,0)),"🟨 validar")</f>
        <v/>
      </c>
      <c r="I29" s="53" t="n"/>
      <c r="J29" s="53" t="inlineStr">
        <is>
          <t>Habilitadora</t>
        </is>
      </c>
      <c r="L29" s="62" t="inlineStr">
        <is>
          <t>Surahis</t>
        </is>
      </c>
      <c r="M29" s="62">
        <f>COUNTIFS($C$5:$C$187,L29,$B$5:$B$187,"Funcional")</f>
        <v/>
      </c>
      <c r="N29" s="62">
        <f>COUNTIFS($C$5:$C$187,L29,$B$5:$B$187,"Técnico")</f>
        <v/>
      </c>
      <c r="O29" s="62" t="inlineStr">
        <is>
          <t>N/A</t>
        </is>
      </c>
      <c r="P29" s="62" t="inlineStr">
        <is>
          <t>Core (no es una épica de Gestores)</t>
        </is>
      </c>
      <c r="Q29" s="57" t="inlineStr">
        <is>
          <t>Requisito sobre el core SuraHis, referenciado como fuente de la verdad transaccional — no es una épica de desarrollo propia del proyecto Gestores.</t>
        </is>
      </c>
    </row>
    <row r="30" ht="30" customHeight="1">
      <c r="A30" s="57" t="inlineStr">
        <is>
          <t>RF-026</t>
        </is>
      </c>
      <c r="B30" s="57" t="inlineStr">
        <is>
          <t>Funcional</t>
        </is>
      </c>
      <c r="C30" s="57" t="inlineStr">
        <is>
          <t>Gestor de Evaluación</t>
        </is>
      </c>
      <c r="D30" s="57" t="inlineStr">
        <is>
          <t>Niveles de escalamiento: Nivel 1 automático · Nivel 2 administrativo · Niveles 3 (enfermeras/instrumentadoras) y 4 (médicos/especialistas).</t>
        </is>
      </c>
      <c r="E30" s="54" t="inlineStr">
        <is>
          <t>M</t>
        </is>
      </c>
      <c r="F30" s="53">
        <f>IF($E30="",0,INDEX($M$5:$M$8,MATCH($E30,$L$5:$L$8,0)))</f>
        <v/>
      </c>
      <c r="G30" s="53">
        <f>IF($F30=0,0,$F30/10)</f>
        <v/>
      </c>
      <c r="H30" s="53">
        <f>IFERROR(INDEX($O$15:$O$29,MATCH($C30,$L$15:$L$29,0)),"🟨 validar")</f>
        <v/>
      </c>
      <c r="I30" s="53" t="n"/>
      <c r="J30" s="53" t="inlineStr">
        <is>
          <t>Habilitadora</t>
        </is>
      </c>
    </row>
    <row r="31">
      <c r="A31" s="53" t="inlineStr">
        <is>
          <t>RF-027</t>
        </is>
      </c>
      <c r="B31" s="53" t="inlineStr">
        <is>
          <t>Funcional</t>
        </is>
      </c>
      <c r="C31" s="53" t="inlineStr">
        <is>
          <t>Gestor de Evaluación</t>
        </is>
      </c>
      <c r="D31" s="53" t="inlineStr">
        <is>
          <t>El agente entrega un "concepto"/resumen de su análisis al escalar a la bandeja manual, para acelerar la revisión humana.</t>
        </is>
      </c>
      <c r="E31" s="54" t="inlineStr">
        <is>
          <t>M</t>
        </is>
      </c>
      <c r="F31" s="53">
        <f>IF($E31="",0,INDEX($M$5:$M$8,MATCH($E31,$L$5:$L$8,0)))</f>
        <v/>
      </c>
      <c r="G31" s="53">
        <f>IF($F31=0,0,$F31/10)</f>
        <v/>
      </c>
      <c r="H31" s="53">
        <f>IFERROR(INDEX($O$15:$O$29,MATCH($C31,$L$15:$L$29,0)),"🟨 validar")</f>
        <v/>
      </c>
      <c r="I31" s="53" t="n"/>
      <c r="J31" s="53" t="inlineStr">
        <is>
          <t>Agéntica</t>
        </is>
      </c>
      <c r="L31" s="115" t="n"/>
      <c r="M31" s="115" t="n"/>
      <c r="N31" s="115" t="n"/>
      <c r="O31" s="115" t="n"/>
      <c r="P31" s="115" t="n"/>
      <c r="Q31" s="115" t="n"/>
    </row>
    <row r="32">
      <c r="A32" s="57" t="inlineStr">
        <is>
          <t>RF-028</t>
        </is>
      </c>
      <c r="B32" s="57" t="inlineStr">
        <is>
          <t>Funcional</t>
        </is>
      </c>
      <c r="C32" s="57" t="inlineStr">
        <is>
          <t>Gestor de Evaluación</t>
        </is>
      </c>
      <c r="D32" s="57" t="inlineStr">
        <is>
          <t>No genera el número de solicitud de autorización/negación: deja el caso listo vía evento — el consecutivo lo genera SuraHis.</t>
        </is>
      </c>
      <c r="E32" s="54" t="inlineStr">
        <is>
          <t>S</t>
        </is>
      </c>
      <c r="F32" s="53">
        <f>IF($E32="",0,INDEX($M$5:$M$8,MATCH($E32,$L$5:$L$8,0)))</f>
        <v/>
      </c>
      <c r="G32" s="53">
        <f>IF($F32=0,0,$F32/10)</f>
        <v/>
      </c>
      <c r="H32" s="53">
        <f>IFERROR(INDEX($O$15:$O$29,MATCH($C32,$L$15:$L$29,0)),"🟨 validar")</f>
        <v/>
      </c>
      <c r="I32" s="53" t="n"/>
      <c r="J32" s="53" t="inlineStr">
        <is>
          <t>Determinística</t>
        </is>
      </c>
      <c r="L32" s="108" t="inlineStr">
        <is>
          <t>Leyenda y criterio de esta estimación (Tech and Solve)</t>
        </is>
      </c>
      <c r="M32" s="115" t="n"/>
      <c r="N32" s="115" t="n"/>
      <c r="O32" s="115" t="n"/>
      <c r="P32" s="115" t="n"/>
      <c r="Q32" s="115" t="n"/>
    </row>
    <row r="33" ht="30" customHeight="1">
      <c r="A33" s="53" t="inlineStr">
        <is>
          <t>RF-029</t>
        </is>
      </c>
      <c r="B33" s="53" t="inlineStr">
        <is>
          <t>Funcional</t>
        </is>
      </c>
      <c r="C33" s="53" t="inlineStr">
        <is>
          <t>Gestor de Evaluación</t>
        </is>
      </c>
      <c r="D33" s="53" t="inlineStr">
        <is>
          <t>Valida duplicidad (mismo prestador/documentos o mismo tipo de servicio) consultando histórico en SuraHis; casos sospechosos van a bandeja manual con nivel + prioridad + explicación, sin negación automática.</t>
        </is>
      </c>
      <c r="E33" s="54" t="inlineStr">
        <is>
          <t>L</t>
        </is>
      </c>
      <c r="F33" s="53">
        <f>IF($E33="",0,INDEX($M$5:$M$8,MATCH($E33,$L$5:$L$8,0)))</f>
        <v/>
      </c>
      <c r="G33" s="53">
        <f>IF($F33=0,0,$F33/10)</f>
        <v/>
      </c>
      <c r="H33" s="53">
        <f>IFERROR(INDEX($O$15:$O$29,MATCH($C33,$L$15:$L$29,0)),"🟨 validar")</f>
        <v/>
      </c>
      <c r="I33" s="53" t="n"/>
      <c r="J33" s="53" t="inlineStr">
        <is>
          <t>Agéntica</t>
        </is>
      </c>
      <c r="L33" s="116" t="inlineStr">
        <is>
          <t>Fila adicionada</t>
        </is>
      </c>
      <c r="M33" s="110" t="inlineStr">
        <is>
          <t>Requisito funcional nuevo, RF-109 a RF-129. Elementos que el dibujo del MVP y la vista de tecnología exigen y que la hoja no tenía.</t>
        </is>
      </c>
    </row>
    <row r="34" ht="30" customHeight="1">
      <c r="A34" s="57" t="inlineStr">
        <is>
          <t>RF-030</t>
        </is>
      </c>
      <c r="B34" s="57" t="inlineStr">
        <is>
          <t>Funcional</t>
        </is>
      </c>
      <c r="C34" s="57" t="inlineStr">
        <is>
          <t>Gestor de Asignación</t>
        </is>
      </c>
      <c r="D34" s="57" t="inlineStr">
        <is>
          <t>La asignación al equipo se distribuye según reglas de criticidad (marcas en salud, PEP, edad del asegurado, urgencia, quejas/tutelas, diagnósticos de riesgo) entre evaluadores disponibles por nivel.</t>
        </is>
      </c>
      <c r="E34" s="54" t="n"/>
      <c r="F34" s="53">
        <f>IF($E34="",0,INDEX($M$5:$M$8,MATCH($E34,$L$5:$L$8,0)))</f>
        <v/>
      </c>
      <c r="G34" s="53">
        <f>IF($F34=0,0,$F34/10)</f>
        <v/>
      </c>
      <c r="H34" s="53">
        <f>IFERROR(INDEX($O$15:$O$29,MATCH($C34,$L$15:$L$29,0)),"🟨 validar")</f>
        <v/>
      </c>
      <c r="I34" s="53" t="n"/>
      <c r="J34" s="53" t="n"/>
      <c r="L34" s="117" t="inlineStr">
        <is>
          <t>Alerta · sin tallar</t>
        </is>
      </c>
      <c r="M34" s="110" t="inlineStr">
        <is>
          <t>Requisito que no se pudo estimar. La duda concreta queda escrita en Observaciones. Son 11.</t>
        </is>
      </c>
    </row>
    <row r="35" ht="30" customHeight="1">
      <c r="A35" s="53" t="inlineStr">
        <is>
          <t>RF-031</t>
        </is>
      </c>
      <c r="B35" s="53" t="inlineStr">
        <is>
          <t>Funcional</t>
        </is>
      </c>
      <c r="C35" s="53" t="inlineStr">
        <is>
          <t>Gestor de Asignación</t>
        </is>
      </c>
      <c r="D35" s="53" t="inlineStr">
        <is>
          <t>Para solicitudes pendientes por gestión se habilita la reasignación entre niveles.</t>
        </is>
      </c>
      <c r="E35" s="54" t="n"/>
      <c r="F35" s="53">
        <f>IF($E35="",0,INDEX($M$5:$M$8,MATCH($E35,$L$5:$L$8,0)))</f>
        <v/>
      </c>
      <c r="G35" s="53">
        <f>IF($F35=0,0,$F35/10)</f>
        <v/>
      </c>
      <c r="H35" s="53">
        <f>IFERROR(INDEX($O$15:$O$29,MATCH($C35,$L$15:$L$29,0)),"🟨 validar")</f>
        <v/>
      </c>
      <c r="I35" s="53" t="n"/>
      <c r="J35" s="53" t="n"/>
      <c r="L35" s="118" t="inlineStr">
        <is>
          <t>Fila modificada</t>
        </is>
      </c>
      <c r="M35" s="110" t="inlineStr">
        <is>
          <t>Requisito que entra al MVP con una salvedad sobre qué cubre la talla, o cuya duda ya se cerró con una decisión del equipo; en ambos casos queda escrita en Observaciones. Son 9.</t>
        </is>
      </c>
    </row>
    <row r="36" ht="30" customHeight="1">
      <c r="A36" s="57" t="inlineStr">
        <is>
          <t>RF-032</t>
        </is>
      </c>
      <c r="B36" s="57" t="inlineStr">
        <is>
          <t>Funcional</t>
        </is>
      </c>
      <c r="C36" s="57" t="inlineStr">
        <is>
          <t>Gestor de Asignación</t>
        </is>
      </c>
      <c r="D36" s="57" t="inlineStr">
        <is>
          <t>Cada solicitud debe tener un tiempo de respuesta asignado (100% de las solicitudes en menos de 24 horas).</t>
        </is>
      </c>
      <c r="E36" s="54" t="n"/>
      <c r="F36" s="53">
        <f>IF($E36="",0,INDEX($M$5:$M$8,MATCH($E36,$L$5:$L$8,0)))</f>
        <v/>
      </c>
      <c r="G36" s="53">
        <f>IF($F36=0,0,$F36/10)</f>
        <v/>
      </c>
      <c r="H36" s="53">
        <f>IFERROR(INDEX($O$15:$O$29,MATCH($C36,$L$15:$L$29,0)),"🟨 validar")</f>
        <v/>
      </c>
      <c r="I36" s="53" t="n"/>
      <c r="J36" s="53" t="n"/>
      <c r="L36" s="119" t="inlineStr">
        <is>
          <t>Talla diligenciada</t>
        </is>
      </c>
      <c r="M36" s="110" t="inlineStr">
        <is>
          <t>Fila sin color con valor en Talla: requisito del MVP estimado sin salvedades.</t>
        </is>
      </c>
    </row>
    <row r="37" ht="30" customHeight="1">
      <c r="A37" s="53" t="inlineStr">
        <is>
          <t>RF-033</t>
        </is>
      </c>
      <c r="B37" s="53" t="inlineStr">
        <is>
          <t>Funcional</t>
        </is>
      </c>
      <c r="C37" s="53" t="inlineStr">
        <is>
          <t>Gestor de Asignación</t>
        </is>
      </c>
      <c r="D37" s="53" t="inlineStr">
        <is>
          <t>Se debe notificar al asegurado cuando se identifique en el proceso de evaluación manual que se requiere un documento adicional para entregar una decisión en la evaluación, esta notificación debe incluir el enlace de la SVP o APP para que el asegurado cargue el requisito pendiente</t>
        </is>
      </c>
      <c r="E37" s="54" t="n"/>
      <c r="F37" s="53">
        <f>IF($E37="",0,INDEX($M$5:$M$8,MATCH($E37,$L$5:$L$8,0)))</f>
        <v/>
      </c>
      <c r="G37" s="53">
        <f>IF($F37=0,0,$F37/10)</f>
        <v/>
      </c>
      <c r="H37" s="53">
        <f>IFERROR(INDEX($O$15:$O$29,MATCH($C37,$L$15:$L$29,0)),"🟨 validar")</f>
        <v/>
      </c>
      <c r="I37" s="53" t="n"/>
      <c r="J37" s="53" t="n"/>
      <c r="L37" s="120" t="inlineStr">
        <is>
          <t>Sin color y sin talla</t>
        </is>
      </c>
      <c r="M37" s="110" t="inlineStr">
        <is>
          <t>Requisito fuera del MVP. No se modificó ninguna de estas filas.</t>
        </is>
      </c>
    </row>
    <row r="38">
      <c r="A38" s="57" t="inlineStr">
        <is>
          <t>RF-034</t>
        </is>
      </c>
      <c r="B38" s="57" t="inlineStr">
        <is>
          <t>Funcional</t>
        </is>
      </c>
      <c r="C38" s="57" t="inlineStr">
        <is>
          <t>Gestor de Asignación</t>
        </is>
      </c>
      <c r="D38" s="57" t="inlineStr">
        <is>
          <t>Cuando el asegurado cargue el requisito pendiente, esta solicitud se debe encolar nuevamente en la bandeja manual en surahis y se debe asignar al mismo evaluador y con un tiempo de respuesta prioritario</t>
        </is>
      </c>
      <c r="E38" s="54" t="n"/>
      <c r="F38" s="53">
        <f>IF($E38="",0,INDEX($M$5:$M$8,MATCH($E38,$L$5:$L$8,0)))</f>
        <v/>
      </c>
      <c r="G38" s="53">
        <f>IF($F38=0,0,$F38/10)</f>
        <v/>
      </c>
      <c r="H38" s="53">
        <f>IFERROR(INDEX($O$15:$O$29,MATCH($C38,$L$15:$L$29,0)),"🟨 validar")</f>
        <v/>
      </c>
      <c r="I38" s="53" t="n"/>
      <c r="J38" s="53" t="n"/>
      <c r="L38" s="115" t="n"/>
      <c r="M38" s="115" t="n"/>
      <c r="N38" s="115" t="n"/>
      <c r="O38" s="115" t="n"/>
      <c r="P38" s="115" t="n"/>
      <c r="Q38" s="115" t="n"/>
    </row>
    <row r="39">
      <c r="A39" s="53" t="inlineStr">
        <is>
          <t>RF-035</t>
        </is>
      </c>
      <c r="B39" s="53" t="inlineStr">
        <is>
          <t>Funcional</t>
        </is>
      </c>
      <c r="C39" s="53" t="inlineStr">
        <is>
          <t>Gestor de Asignación</t>
        </is>
      </c>
      <c r="D39" s="53" t="inlineStr">
        <is>
          <t>Con la negación de un servicio se debe activar la radicación automática de la solicitud de integralidad a EPS Sura en el aplicativo salud web</t>
        </is>
      </c>
      <c r="E39" s="54" t="n"/>
      <c r="F39" s="53">
        <f>IF($E39="",0,INDEX($M$5:$M$8,MATCH($E39,$L$5:$L$8,0)))</f>
        <v/>
      </c>
      <c r="G39" s="53">
        <f>IF($F39=0,0,$F39/10)</f>
        <v/>
      </c>
      <c r="H39" s="53">
        <f>IFERROR(INDEX($O$15:$O$29,MATCH($C39,$L$15:$L$29,0)),"🟨 validar")</f>
        <v/>
      </c>
      <c r="I39" s="53" t="n"/>
      <c r="J39" s="53" t="n"/>
      <c r="L39" s="108" t="inlineStr">
        <is>
          <t>Resultado</t>
        </is>
      </c>
      <c r="M39" s="115" t="n"/>
      <c r="N39" s="115" t="n"/>
      <c r="O39" s="115" t="n"/>
      <c r="P39" s="115" t="n"/>
      <c r="Q39" s="115" t="n"/>
    </row>
    <row r="40" ht="46" customHeight="1">
      <c r="A40" s="57" t="inlineStr">
        <is>
          <t>RF-036</t>
        </is>
      </c>
      <c r="B40" s="57" t="inlineStr">
        <is>
          <t>Funcional</t>
        </is>
      </c>
      <c r="C40" s="57" t="inlineStr">
        <is>
          <t>Gestor de Asignación</t>
        </is>
      </c>
      <c r="D40" s="57" t="inlineStr">
        <is>
          <t>Surahis publica un evento con el cambio de estado de la solicitud de integralidad en salud web y con este evento se alimenta la torre de control y se actualiza el estado en los canales (Front)</t>
        </is>
      </c>
      <c r="E40" s="54" t="n"/>
      <c r="F40" s="53">
        <f>IF($E40="",0,INDEX($M$5:$M$8,MATCH($E40,$L$5:$L$8,0)))</f>
        <v/>
      </c>
      <c r="G40" s="53">
        <f>IF($F40=0,0,$F40/10)</f>
        <v/>
      </c>
      <c r="H40" s="53">
        <f>IFERROR(INDEX($O$15:$O$29,MATCH($C40,$L$15:$L$29,0)),"🟨 validar")</f>
        <v/>
      </c>
      <c r="I40" s="53" t="n"/>
      <c r="J40" s="53" t="n"/>
      <c r="L40" s="120" t="inlineStr">
        <is>
          <t>Suma y margen</t>
        </is>
      </c>
      <c r="M40" s="110" t="inlineStr">
        <is>
          <t>76 requisitos del MVP tallados: 525 días hábiles, 52 sprints de un frente, con la escala de la propia hoja. La suma va sin margen de incertidumbre. Reparto: Gestor de Evaluación 138 d · Gestor de Monitoreo 97 d · Gestor de Solicitud 84 d · Transversal (principios) 59 d · Siniestro Integral 52 d · Transversal 50 d · Canales / Front Externos 43 d · Interoperabilidad (Prestadores) 2 d.</t>
        </is>
      </c>
    </row>
    <row r="41">
      <c r="A41" s="53" t="inlineStr">
        <is>
          <t>RF-037</t>
        </is>
      </c>
      <c r="B41" s="53" t="inlineStr">
        <is>
          <t>Funcional</t>
        </is>
      </c>
      <c r="C41" s="53" t="inlineStr">
        <is>
          <t>Gestor de Asignación</t>
        </is>
      </c>
      <c r="D41" s="53" t="inlineStr">
        <is>
          <t>Se debe habilitar la opción de resignación manual de solicitudes a otro evaluador (novedades con el evaluador asignado inicialmente).</t>
        </is>
      </c>
      <c r="E41" s="54" t="n"/>
      <c r="F41" s="53">
        <f>IF($E41="",0,INDEX($M$5:$M$8,MATCH($E41,$L$5:$L$8,0)))</f>
        <v/>
      </c>
      <c r="G41" s="53">
        <f>IF($F41=0,0,$F41/10)</f>
        <v/>
      </c>
      <c r="H41" s="53">
        <f>IFERROR(INDEX($O$15:$O$29,MATCH($C41,$L$15:$L$29,0)),"🟨 validar")</f>
        <v/>
      </c>
      <c r="I41" s="53" t="n"/>
      <c r="J41" s="53" t="n"/>
      <c r="L41" s="115" t="n"/>
      <c r="M41" s="115" t="n"/>
      <c r="N41" s="115" t="n"/>
      <c r="O41" s="115" t="n"/>
      <c r="P41" s="115" t="n"/>
      <c r="Q41" s="115" t="n"/>
    </row>
    <row r="42">
      <c r="A42" s="57" t="inlineStr">
        <is>
          <t>RF-038</t>
        </is>
      </c>
      <c r="B42" s="57" t="inlineStr">
        <is>
          <t>Funcional</t>
        </is>
      </c>
      <c r="C42" s="57" t="inlineStr">
        <is>
          <t>Gestor de Coordinación</t>
        </is>
      </c>
      <c r="D42" s="57" t="inlineStr">
        <is>
          <t xml:space="preserve">Si el asegurado sugiere un prestador y está en convenio para los servicios que se requieren se genera la autorización sin problema a ese prestador </t>
        </is>
      </c>
      <c r="E42" s="54" t="n"/>
      <c r="F42" s="53">
        <f>IF($E42="",0,INDEX($M$5:$M$8,MATCH($E42,$L$5:$L$8,0)))</f>
        <v/>
      </c>
      <c r="G42" s="53">
        <f>IF($F42=0,0,$F42/10)</f>
        <v/>
      </c>
      <c r="H42" s="53">
        <f>IFERROR(INDEX($O$15:$O$29,MATCH($C42,$L$15:$L$29,0)),"🟨 validar")</f>
        <v/>
      </c>
      <c r="I42" s="53" t="n"/>
      <c r="J42" s="53" t="n"/>
      <c r="L42" s="108" t="inlineStr">
        <is>
          <t>Criterio de alcance</t>
        </is>
      </c>
      <c r="M42" s="115" t="n"/>
      <c r="N42" s="115" t="n"/>
      <c r="O42" s="115" t="n"/>
      <c r="P42" s="115" t="n"/>
      <c r="Q42" s="115" t="n"/>
    </row>
    <row r="43" ht="60" customHeight="1">
      <c r="A43" s="53" t="inlineStr">
        <is>
          <t>RF-039</t>
        </is>
      </c>
      <c r="B43" s="53" t="inlineStr">
        <is>
          <t>Funcional</t>
        </is>
      </c>
      <c r="C43" s="53" t="inlineStr">
        <is>
          <t>Gestor de Coordinación</t>
        </is>
      </c>
      <c r="D43" s="53" t="inlineStr">
        <is>
          <t>Existente 3 casos de negocio: 
1. producto modular: Se asigna el proveedor de acuerdo con la red disponible para ese producto (direccionamiento automático) · 
2. clásica/global/evoluciona: cliente elige y se valida si esta habilitado el convenio para ese proveedor
3. No se tiene un prestador sugerido por el asegurado: se recomienda el mejor basado en el sistema de reglas definido
Reglas: 
1. Si el proveedor radica una solicitud de autorización, el debe tener la prioridad para atenderla  (siempre y cuando este contratado el servicio) 
2. Cuando el asegurado solicita una autorización y en el ordenamiento esta un proveedor que atiende diferente al sugerido por el asegurado, se debe dar prioridad al que sugiere el asegurado</t>
        </is>
      </c>
      <c r="E43" s="54" t="n"/>
      <c r="F43" s="53">
        <f>IF($E43="",0,INDEX($M$5:$M$8,MATCH($E43,$L$5:$L$8,0)))</f>
        <v/>
      </c>
      <c r="G43" s="53">
        <f>IF($F43=0,0,$F43/10)</f>
        <v/>
      </c>
      <c r="H43" s="53">
        <f>IFERROR(INDEX($O$15:$O$29,MATCH($C43,$L$15:$L$29,0)),"🟨 validar")</f>
        <v/>
      </c>
      <c r="I43" s="53" t="n"/>
      <c r="J43" s="53" t="n"/>
      <c r="L43" s="120" t="inlineStr">
        <is>
          <t>Qué entra</t>
        </is>
      </c>
      <c r="M43" s="110" t="inlineStr">
        <is>
          <t>La pertenencia al MVP se decidió requisito por requisito contra «resumen-arquitectura-gestores — Arquitectura MVP» y «arquitectura-tecnologia», no contra la columna «¿En MVP?», que se deriva por épica y por eso marca «Sí» a épicas donde solo una parte entra. Entran Solicitud, Evaluación, Siniestro Integral, los canales que el MVP habilita, las capas 1 y 2 de la torre, el acceso al dato vía el core y los transversales del ciclo de mejora y del plano de control. Quedan fuera Coordinación, Prestación, Finalización, Asignación, Nexo, AVA, la interoperabilidad de autorizaciones y las capas 3, 4 y 5 de la torre.</t>
        </is>
      </c>
    </row>
    <row r="44">
      <c r="A44" s="57" t="inlineStr">
        <is>
          <t>RF-040</t>
        </is>
      </c>
      <c r="B44" s="57" t="inlineStr">
        <is>
          <t>Funcional</t>
        </is>
      </c>
      <c r="C44" s="57" t="inlineStr">
        <is>
          <t>Gestor de Coordinación</t>
        </is>
      </c>
      <c r="D44" s="57" t="inlineStr">
        <is>
          <t>Criterios de priorización de prestadores: quejas (Medallia), satisfacción, disponibilidad de citas, "suficiencia de la red" y tarifa del prestador.</t>
        </is>
      </c>
      <c r="E44" s="54" t="n"/>
      <c r="F44" s="53">
        <f>IF($E44="",0,INDEX($M$5:$M$8,MATCH($E44,$L$5:$L$8,0)))</f>
        <v/>
      </c>
      <c r="G44" s="53">
        <f>IF($F44=0,0,$F44/10)</f>
        <v/>
      </c>
      <c r="H44" s="53">
        <f>IFERROR(INDEX($O$15:$O$29,MATCH($C44,$L$15:$L$29,0)),"🟨 validar")</f>
        <v/>
      </c>
      <c r="I44" s="53" t="n"/>
      <c r="J44" s="53" t="n"/>
      <c r="L44" s="115" t="n"/>
      <c r="M44" s="115" t="n"/>
      <c r="N44" s="115" t="n"/>
      <c r="O44" s="115" t="n"/>
      <c r="P44" s="115" t="n"/>
      <c r="Q44" s="115" t="n"/>
    </row>
    <row r="45">
      <c r="A45" s="53" t="inlineStr">
        <is>
          <t>RF-041</t>
        </is>
      </c>
      <c r="B45" s="53" t="inlineStr">
        <is>
          <t>Funcional</t>
        </is>
      </c>
      <c r="C45" s="53" t="inlineStr">
        <is>
          <t>Gestor de Coordinación</t>
        </is>
      </c>
      <c r="D45" s="53" t="inlineStr">
        <is>
          <t>Si el prestador elegido no tiene convenio vigente, se asigna automáticamente el mejor rankeado y se notifica al cliente.</t>
        </is>
      </c>
      <c r="E45" s="54" t="n"/>
      <c r="F45" s="53">
        <f>IF($E45="",0,INDEX($M$5:$M$8,MATCH($E45,$L$5:$L$8,0)))</f>
        <v/>
      </c>
      <c r="G45" s="53">
        <f>IF($F45=0,0,$F45/10)</f>
        <v/>
      </c>
      <c r="H45" s="53">
        <f>IFERROR(INDEX($O$15:$O$29,MATCH($C45,$L$15:$L$29,0)),"🟨 validar")</f>
        <v/>
      </c>
      <c r="I45" s="53" t="n"/>
      <c r="J45" s="53" t="n"/>
      <c r="L45" s="108" t="inlineStr">
        <is>
          <t>Tres cosas que conviene saber antes de leer el total</t>
        </is>
      </c>
      <c r="M45" s="115" t="n"/>
      <c r="N45" s="115" t="n"/>
      <c r="O45" s="115" t="n"/>
      <c r="P45" s="115" t="n"/>
      <c r="Q45" s="115" t="n"/>
    </row>
    <row r="46" ht="32" customHeight="1">
      <c r="A46" s="57" t="inlineStr">
        <is>
          <t>RF-042</t>
        </is>
      </c>
      <c r="B46" s="57" t="inlineStr">
        <is>
          <t>Funcional</t>
        </is>
      </c>
      <c r="C46" s="57" t="inlineStr">
        <is>
          <t>Gestor de Coordinación</t>
        </is>
      </c>
      <c r="D46" s="57" t="inlineStr">
        <is>
          <t>Si no hay red contratada en la ciudad, se escala a Convenios (bandeja de convenios en SuraHis).</t>
        </is>
      </c>
      <c r="E46" s="54" t="n"/>
      <c r="F46" s="53">
        <f>IF($E46="",0,INDEX($M$5:$M$8,MATCH($E46,$L$5:$L$8,0)))</f>
        <v/>
      </c>
      <c r="G46" s="53">
        <f>IF($F46=0,0,$F46/10)</f>
        <v/>
      </c>
      <c r="H46" s="53">
        <f>IFERROR(INDEX($O$15:$O$29,MATCH($C46,$L$15:$L$29,0)),"🟨 validar")</f>
        <v/>
      </c>
      <c r="I46" s="53" t="n"/>
      <c r="J46" s="53" t="n"/>
      <c r="L46" s="120" t="inlineStr">
        <is>
          <t>La escala se contradice</t>
        </is>
      </c>
      <c r="M46" s="110" t="inlineStr">
        <is>
          <t>La tabla de tallaje dice S = 2 días y la nota de al lado dice S ≈ 3 días. Se usó la tabla, porque es la que alimenta la fórmula de la columna F. Si el equipo confirma los 3 días, el total sube 15 días (hay 15 requisitos en S).</t>
        </is>
      </c>
    </row>
    <row r="47" ht="32" customHeight="1">
      <c r="A47" s="53" t="inlineStr">
        <is>
          <t>RF-043</t>
        </is>
      </c>
      <c r="B47" s="53" t="inlineStr">
        <is>
          <t>Funcional</t>
        </is>
      </c>
      <c r="C47" s="53" t="inlineStr">
        <is>
          <t>Gestor de Coordinación</t>
        </is>
      </c>
      <c r="D47" s="53" t="inlineStr">
        <is>
          <t>mapear automáticamente la autorización contra el convenio/tarifa para pagar más rápido y reducir glosas.</t>
        </is>
      </c>
      <c r="E47" s="54" t="n"/>
      <c r="F47" s="53">
        <f>IF($E47="",0,INDEX($M$5:$M$8,MATCH($E47,$L$5:$L$8,0)))</f>
        <v/>
      </c>
      <c r="G47" s="53">
        <f>IF($F47=0,0,$F47/10)</f>
        <v/>
      </c>
      <c r="H47" s="53">
        <f>IFERROR(INDEX($O$15:$O$29,MATCH($C47,$L$15:$L$29,0)),"🟨 validar")</f>
        <v/>
      </c>
      <c r="I47" s="53" t="n"/>
      <c r="J47" s="53" t="n"/>
      <c r="L47" s="120" t="inlineStr">
        <is>
          <t>Funcionales y técnicos se suman</t>
        </is>
      </c>
      <c r="M47" s="110" t="inlineStr">
        <is>
          <t>La hoja talla por separado el requisito funcional y el técnico, y así se respetó. Hay pares que describen la misma capacidad —RF-021 con RT-018, RF-024 con RT-020, RF-025 con RT-021, RF-001 con RT-011, RF-011 con RT-017—. Si el equipo decide contarlos una sola vez, el total baja hasta 32 días.</t>
        </is>
      </c>
    </row>
    <row r="48" ht="26" customHeight="1">
      <c r="A48" s="57" t="inlineStr">
        <is>
          <t>RF-044</t>
        </is>
      </c>
      <c r="B48" s="57" t="inlineStr">
        <is>
          <t>Funcional</t>
        </is>
      </c>
      <c r="C48" s="57" t="inlineStr">
        <is>
          <t>Gestor de Prestación</t>
        </is>
      </c>
      <c r="D48" s="57" t="inlineStr">
        <is>
          <t>Da seguimiento al "momento de verdad": si la cita fue programada, si el paciente asistió, novedades del servicio.</t>
        </is>
      </c>
      <c r="E48" s="54" t="n"/>
      <c r="F48" s="53">
        <f>IF($E48="",0,INDEX($M$5:$M$8,MATCH($E48,$L$5:$L$8,0)))</f>
        <v/>
      </c>
      <c r="G48" s="53">
        <f>IF($F48=0,0,$F48/10)</f>
        <v/>
      </c>
      <c r="H48" s="53">
        <f>IFERROR(INDEX($O$15:$O$29,MATCH($C48,$L$15:$L$29,0)),"🟨 validar")</f>
        <v/>
      </c>
      <c r="I48" s="53" t="n"/>
      <c r="J48" s="53" t="n"/>
      <c r="L48" s="120" t="inlineStr">
        <is>
          <t>Mínimos del acta</t>
        </is>
      </c>
      <c r="M48" s="110" t="inlineStr">
        <is>
          <t>El acta del 21-ago-2026 fija talla mínima L para el Gestor de Solicitud y mínimo 1 sprint para Siniestro Integral. Ambos se cumplen: 59 y 52 días.</t>
        </is>
      </c>
    </row>
    <row r="49">
      <c r="A49" s="53" t="inlineStr">
        <is>
          <t>RF-045</t>
        </is>
      </c>
      <c r="B49" s="53" t="inlineStr">
        <is>
          <t>Funcional</t>
        </is>
      </c>
      <c r="C49" s="53" t="inlineStr">
        <is>
          <t>Gestor de Prestación</t>
        </is>
      </c>
      <c r="D49" s="53" t="inlineStr">
        <is>
          <t>Mecanismo actual: confirmación por QR escaneado por el asegurado (piloto ya finalizado, solo consulta externa).</t>
        </is>
      </c>
      <c r="E49" s="54" t="n"/>
      <c r="F49" s="53">
        <f>IF($E49="",0,INDEX($M$5:$M$8,MATCH($E49,$L$5:$L$8,0)))</f>
        <v/>
      </c>
      <c r="G49" s="53">
        <f>IF($F49=0,0,$F49/10)</f>
        <v/>
      </c>
      <c r="H49" s="53">
        <f>IFERROR(INDEX($O$15:$O$29,MATCH($C49,$L$15:$L$29,0)),"🟨 validar")</f>
        <v/>
      </c>
      <c r="I49" s="53" t="n"/>
      <c r="J49" s="53" t="n"/>
      <c r="L49" s="115" t="n"/>
      <c r="M49" s="115" t="n"/>
      <c r="N49" s="115" t="n"/>
      <c r="O49" s="115" t="n"/>
      <c r="P49" s="115" t="n"/>
      <c r="Q49" s="115" t="n"/>
    </row>
    <row r="50">
      <c r="A50" s="57" t="inlineStr">
        <is>
          <t>RF-046</t>
        </is>
      </c>
      <c r="B50" s="57" t="inlineStr">
        <is>
          <t>Funcional</t>
        </is>
      </c>
      <c r="C50" s="57" t="inlineStr">
        <is>
          <t>Gestor de Prestación</t>
        </is>
      </c>
      <c r="D50" s="57" t="inlineStr">
        <is>
          <t>Se evalúa evolucionar a clave dinámica (doble factor, ya disponible en la app) como mecanismo de confirmación de atención.</t>
        </is>
      </c>
      <c r="E50" s="54" t="n"/>
      <c r="F50" s="53">
        <f>IF($E50="",0,INDEX($M$5:$M$8,MATCH($E50,$L$5:$L$8,0)))</f>
        <v/>
      </c>
      <c r="G50" s="53">
        <f>IF($F50=0,0,$F50/10)</f>
        <v/>
      </c>
      <c r="H50" s="53">
        <f>IFERROR(INDEX($O$15:$O$29,MATCH($C50,$L$15:$L$29,0)),"🟨 validar")</f>
        <v/>
      </c>
      <c r="I50" s="53" t="n"/>
      <c r="J50" s="53" t="n"/>
      <c r="L50" s="108" t="inlineStr">
        <is>
          <t>Reparto por tipo de capacidad — solo requisitos del MVP</t>
        </is>
      </c>
      <c r="M50" s="115" t="n"/>
      <c r="N50" s="115" t="n"/>
      <c r="O50" s="115" t="n"/>
      <c r="P50" s="115" t="n"/>
      <c r="Q50" s="115" t="n"/>
    </row>
    <row r="51">
      <c r="A51" s="53" t="inlineStr">
        <is>
          <t>RF-047</t>
        </is>
      </c>
      <c r="B51" s="53" t="inlineStr">
        <is>
          <t>Funcional</t>
        </is>
      </c>
      <c r="C51" s="53" t="inlineStr">
        <is>
          <t>Gestor de Prestación</t>
        </is>
      </c>
      <c r="D51" s="53" t="inlineStr">
        <is>
          <t>Visión ideal (aún no lograda ni por EPS): OTP de asistencia + interoperabilidad directa con el sistema propio del prestador.</t>
        </is>
      </c>
      <c r="E51" s="54" t="n"/>
      <c r="F51" s="53">
        <f>IF($E51="",0,INDEX($M$5:$M$8,MATCH($E51,$L$5:$L$8,0)))</f>
        <v/>
      </c>
      <c r="G51" s="53">
        <f>IF($F51=0,0,$F51/10)</f>
        <v/>
      </c>
      <c r="H51" s="53">
        <f>IFERROR(INDEX($O$15:$O$29,MATCH($C51,$L$15:$L$29,0)),"🟨 validar")</f>
        <v/>
      </c>
      <c r="I51" s="53" t="n"/>
      <c r="J51" s="53" t="n"/>
      <c r="L51" s="51" t="inlineStr">
        <is>
          <t>Tipo de capacidad</t>
        </is>
      </c>
      <c r="M51" s="51" t="inlineStr">
        <is>
          <t># Requisitos</t>
        </is>
      </c>
      <c r="N51" s="51" t="inlineStr">
        <is>
          <t>Días</t>
        </is>
      </c>
      <c r="O51" s="51" t="inlineStr">
        <is>
          <t>Sprints</t>
        </is>
      </c>
      <c r="P51" s="51" t="inlineStr">
        <is>
          <t>% del MVP</t>
        </is>
      </c>
      <c r="Q51" s="115" t="n"/>
    </row>
    <row r="52">
      <c r="A52" s="57" t="inlineStr">
        <is>
          <t>RF-048</t>
        </is>
      </c>
      <c r="B52" s="57" t="inlineStr">
        <is>
          <t>Funcional</t>
        </is>
      </c>
      <c r="C52" s="57" t="inlineStr">
        <is>
          <t>Gestor de Monitoreo (Torre de Control)</t>
        </is>
      </c>
      <c r="D52" s="57" t="inlineStr">
        <is>
          <t>Recolectar información de todos los gestores para mapear las novedades del ciclo de la solicitud (Monitoreo funcional del proceso end-to-end sobre los seis momentos definidos en el Caso de Negocio de Gestores (Solicitud, Evaluación, Coordinación, Prestación, Monitoreo, Finalización), no solo del ciclo de vida de la autorización)</t>
        </is>
      </c>
      <c r="E52" s="54" t="inlineStr">
        <is>
          <t>L</t>
        </is>
      </c>
      <c r="F52" s="53">
        <f>IF($E52="",0,INDEX($M$5:$M$8,MATCH($E52,$L$5:$L$8,0)))</f>
        <v/>
      </c>
      <c r="G52" s="53">
        <f>IF($F52=0,0,$F52/10)</f>
        <v/>
      </c>
      <c r="H52" s="53">
        <f>IFERROR(INDEX($O$15:$O$29,MATCH($C52,$L$15:$L$29,0)),"🟨 validar")</f>
        <v/>
      </c>
      <c r="I52" s="53" t="n"/>
      <c r="J52" s="53" t="inlineStr">
        <is>
          <t>Determinística</t>
        </is>
      </c>
      <c r="L52" s="114" t="inlineStr">
        <is>
          <t>Agéntica</t>
        </is>
      </c>
      <c r="M52" s="121">
        <f>COUNTIF($J$5:$J$187,$L52)</f>
        <v/>
      </c>
      <c r="N52" s="121">
        <f>SUMIF($J$5:$J$187,$L52,$F$5:$F$187)</f>
        <v/>
      </c>
      <c r="O52" s="121">
        <f>IF($N52=0,0,$N52/10)</f>
        <v/>
      </c>
      <c r="P52" s="122">
        <f>IF($N$55=0,"",$N52/$N$55)</f>
        <v/>
      </c>
      <c r="Q52" s="115" t="n"/>
    </row>
    <row r="53">
      <c r="A53" s="53" t="inlineStr">
        <is>
          <t>RF-049</t>
        </is>
      </c>
      <c r="B53" s="53" t="inlineStr">
        <is>
          <t>Funcional</t>
        </is>
      </c>
      <c r="C53" s="53" t="inlineStr">
        <is>
          <t>Gestor de Monitoreo (Torre de Control)</t>
        </is>
      </c>
      <c r="D53" s="53" t="inlineStr">
        <is>
          <t>Monitorea el ciclo de vida completo de la solicitud: cumplimiento de SLA/ANS (semaforos que indiquen posible incumplimiento), carga de trabajo, trazabilidad,capacidad y riesgo acumulado del ciclo.</t>
        </is>
      </c>
      <c r="E53" s="54" t="n"/>
      <c r="F53" s="53">
        <f>IF($E53="",0,INDEX($M$5:$M$8,MATCH($E53,$L$5:$L$8,0)))</f>
        <v/>
      </c>
      <c r="G53" s="53">
        <f>IF($F53=0,0,$F53/10)</f>
        <v/>
      </c>
      <c r="H53" s="53">
        <f>IFERROR(INDEX($O$15:$O$29,MATCH($C53,$L$15:$L$29,0)),"🟨 validar")</f>
        <v/>
      </c>
      <c r="I53" s="53" t="n"/>
      <c r="J53" s="53" t="n"/>
      <c r="L53" s="114" t="inlineStr">
        <is>
          <t>Habilitadora</t>
        </is>
      </c>
      <c r="M53" s="121">
        <f>COUNTIF($J$5:$J$187,$L53)</f>
        <v/>
      </c>
      <c r="N53" s="121">
        <f>SUMIF($J$5:$J$187,$L53,$F$5:$F$187)</f>
        <v/>
      </c>
      <c r="O53" s="121">
        <f>IF($N53=0,0,$N53/10)</f>
        <v/>
      </c>
      <c r="P53" s="122">
        <f>IF($N$55=0,"",$N53/$N$55)</f>
        <v/>
      </c>
      <c r="Q53" s="115" t="n"/>
    </row>
    <row r="54">
      <c r="A54" s="57" t="inlineStr">
        <is>
          <t>RF-050</t>
        </is>
      </c>
      <c r="B54" s="57" t="inlineStr">
        <is>
          <t>Funcional</t>
        </is>
      </c>
      <c r="C54" s="57" t="inlineStr">
        <is>
          <t>Gestor de Monitoreo (Torre de Control)</t>
        </is>
      </c>
      <c r="D54" s="57" t="inlineStr">
        <is>
          <t>Visión unificada del caso o “siniestro padre”: la Torre de Control debe presentar una vista consolidada única del caso, enlazando la solicitud, la autorización y el siniestro relacionado bajo un mismo identificador padre, en lugar de vistas fragmentadas por sistema de origen.</t>
        </is>
      </c>
      <c r="E54" s="54" t="inlineStr">
        <is>
          <t>L</t>
        </is>
      </c>
      <c r="F54" s="53">
        <f>IF($E54="",0,INDEX($M$5:$M$8,MATCH($E54,$L$5:$L$8,0)))</f>
        <v/>
      </c>
      <c r="G54" s="53">
        <f>IF($F54=0,0,$F54/10)</f>
        <v/>
      </c>
      <c r="H54" s="53">
        <f>IFERROR(INDEX($O$15:$O$29,MATCH($C54,$L$15:$L$29,0)),"🟨 validar")</f>
        <v/>
      </c>
      <c r="I54" s="53" t="n"/>
      <c r="J54" s="53" t="inlineStr">
        <is>
          <t>Determinística</t>
        </is>
      </c>
      <c r="L54" s="114" t="inlineStr">
        <is>
          <t>Determinística</t>
        </is>
      </c>
      <c r="M54" s="121">
        <f>COUNTIF($J$5:$J$187,$L54)</f>
        <v/>
      </c>
      <c r="N54" s="121">
        <f>SUMIF($J$5:$J$187,$L54,$F$5:$F$187)</f>
        <v/>
      </c>
      <c r="O54" s="121">
        <f>IF($N54=0,0,$N54/10)</f>
        <v/>
      </c>
      <c r="P54" s="122">
        <f>IF($N$55=0,"",$N54/$N$55)</f>
        <v/>
      </c>
      <c r="Q54" s="115" t="n"/>
    </row>
    <row r="55">
      <c r="A55" s="53" t="inlineStr">
        <is>
          <t>RF-051</t>
        </is>
      </c>
      <c r="B55" s="53" t="inlineStr">
        <is>
          <t>Funcional</t>
        </is>
      </c>
      <c r="C55" s="53" t="inlineStr">
        <is>
          <t>Gestor de Monitoreo (Torre de Control)</t>
        </is>
      </c>
      <c r="D55" s="53" t="inlineStr">
        <is>
          <t>Capacidades proactivas (contactar directamente al cliente/prestador/asesor) emite notificaciones en 3 dimensiones (actor, canal, proactivo/pasivo), ejemplo: asegurado ante el incumplimiento de un SLA para dar tranquilidad de la gestión de la solicitud y alerta internamente a evaluadores/líderes por casos por vencer o desborde de capacidad, apertura de autorización, autorización en evaluación, autorización aprobada, etc.</t>
        </is>
      </c>
      <c r="E55" s="54" t="n"/>
      <c r="F55" s="53">
        <f>IF($E55="",0,INDEX($M$5:$M$8,MATCH($E55,$L$5:$L$8,0)))</f>
        <v/>
      </c>
      <c r="G55" s="53">
        <f>IF($F55=0,0,$F55/10)</f>
        <v/>
      </c>
      <c r="H55" s="53">
        <f>IFERROR(INDEX($O$15:$O$29,MATCH($C55,$L$15:$L$29,0)),"🟨 validar")</f>
        <v/>
      </c>
      <c r="I55" s="53" t="n"/>
      <c r="J55" s="53" t="n"/>
      <c r="L55" s="114" t="inlineStr">
        <is>
          <t>Total MVP</t>
        </is>
      </c>
      <c r="M55" s="114">
        <f>SUM($M$52:$M$54)</f>
        <v/>
      </c>
      <c r="N55" s="114">
        <f>SUM($N$52:$N$54)</f>
        <v/>
      </c>
      <c r="O55" s="114">
        <f>IF($N$55=0,0,$N$55/10)</f>
        <v/>
      </c>
      <c r="P55" s="115" t="n"/>
      <c r="Q55" s="115" t="n"/>
    </row>
    <row r="56">
      <c r="A56" s="57" t="inlineStr">
        <is>
          <t>RF-052</t>
        </is>
      </c>
      <c r="B56" s="57" t="inlineStr">
        <is>
          <t>Funcional</t>
        </is>
      </c>
      <c r="C56" s="57" t="inlineStr">
        <is>
          <t>Gestor de Monitoreo (Torre de Control)</t>
        </is>
      </c>
      <c r="D56" s="57" t="inlineStr">
        <is>
          <t>Capacidad de intervenir otros gestores cuando se detecte algún comportamiento insual en la solicitud</t>
        </is>
      </c>
      <c r="E56" s="54" t="n"/>
      <c r="F56" s="53">
        <f>IF($E56="",0,INDEX($M$5:$M$8,MATCH($E56,$L$5:$L$8,0)))</f>
        <v/>
      </c>
      <c r="G56" s="53">
        <f>IF($F56=0,0,$F56/10)</f>
        <v/>
      </c>
      <c r="H56" s="53">
        <f>IFERROR(INDEX($O$15:$O$29,MATCH($C56,$L$15:$L$29,0)),"🟨 validar")</f>
        <v/>
      </c>
      <c r="I56" s="53" t="n"/>
      <c r="J56" s="53" t="n"/>
      <c r="L56" s="115" t="n"/>
      <c r="M56" s="115" t="n"/>
      <c r="N56" s="115" t="n"/>
      <c r="O56" s="115" t="n"/>
      <c r="P56" s="115" t="n"/>
      <c r="Q56" s="115" t="n"/>
    </row>
    <row r="57" ht="64" customHeight="1">
      <c r="A57" s="53" t="inlineStr">
        <is>
          <t>RF-053</t>
        </is>
      </c>
      <c r="B57" s="53" t="inlineStr">
        <is>
          <t>Funcional</t>
        </is>
      </c>
      <c r="C57" s="53" t="inlineStr">
        <is>
          <t>Gestor de Monitoreo (Torre de Control)</t>
        </is>
      </c>
      <c r="D57" s="53" t="inlineStr">
        <is>
          <t>Indicador en la torre de control para visualización de los siniestros duplicados ingresados por el prestador que sean para el mismo</t>
        </is>
      </c>
      <c r="E57" s="54" t="n"/>
      <c r="F57" s="53">
        <f>IF($E57="",0,INDEX($M$5:$M$8,MATCH($E57,$L$5:$L$8,0)))</f>
        <v/>
      </c>
      <c r="G57" s="53">
        <f>IF($F57=0,0,$F57/10)</f>
        <v/>
      </c>
      <c r="H57" s="53">
        <f>IFERROR(INDEX($O$15:$O$29,MATCH($C57,$L$15:$L$29,0)),"🟨 validar")</f>
        <v/>
      </c>
      <c r="I57" s="53" t="n"/>
      <c r="J57" s="53" t="n"/>
      <c r="L57" s="114" t="inlineStr">
        <is>
          <t>Cómo leer el filtro</t>
        </is>
      </c>
      <c r="M57" s="110" t="inlineStr">
        <is>
          <t>La columna J clasifica cada requisito del MVP con la convención del propio dibujo. «Agéntica»: el requisito construye o define el comportamiento de un agente que razona con un modelo —clasificador, enrutador, request builder, LLM-as-a-judge, extractores, pertinencia médica, duplicidad, auditor—. «Habilitadora»: no es un agente, pero sin ella no hay autonomía gobernada —golden set, compuerta de promoción, umbrales y techos, traza de la decisión, calibración del juez—. «Determinística»: reglas duras, APIs, integraciones, almacenamiento, front y contrato de eventos. Las filas sin talla quedan en blanco porque están fuera del MVP. Filtre por la columna «Capacidad agéntica» en el encabezado.</t>
        </is>
      </c>
    </row>
    <row r="58" ht="30" customHeight="1">
      <c r="A58" s="105" t="inlineStr">
        <is>
          <t>RF-054</t>
        </is>
      </c>
      <c r="B58" s="105" t="inlineStr">
        <is>
          <t>Funcional</t>
        </is>
      </c>
      <c r="C58" s="105" t="inlineStr">
        <is>
          <t>Gestor de Evaluación</t>
        </is>
      </c>
      <c r="D58" s="105" t="inlineStr">
        <is>
          <t>Detecta solicitudes repetidas (2 o más veces) con las mismas características y activa el mismo flujo de rescate con mensaje diferenciado, notificando al asegurado y al gestor de solicitud para bloquear la radicación de una nueva solicitud</t>
        </is>
      </c>
      <c r="E58" s="54" t="inlineStr">
        <is>
          <t>M</t>
        </is>
      </c>
      <c r="F58" s="105">
        <f>IF($E58="",0,INDEX($M$5:$M$8,MATCH($E58,$L$5:$L$8,0)))</f>
        <v/>
      </c>
      <c r="G58" s="105">
        <f>IF($F58=0,0,$F58/10)</f>
        <v/>
      </c>
      <c r="H58" s="105">
        <f>IFERROR(INDEX($O$15:$O$29,MATCH($C58,$L$15:$L$29,0)),"🟨 validar")</f>
        <v/>
      </c>
      <c r="I58" s="105" t="inlineStr">
        <is>
          <t>Entra la detección de solicitudes repetidas, que el dibujo resuelve en la capa de duplicidad. La talla cubre solo eso: el flujo de rescate que el requisito invoca (RF-019) y la notificación al asegurado quedan fuera del MVP, así que el requisito no se cumple completo con esta talla.</t>
        </is>
      </c>
      <c r="J58" s="53" t="inlineStr">
        <is>
          <t>Agéntica</t>
        </is>
      </c>
    </row>
    <row r="59" ht="30" customHeight="1">
      <c r="A59" s="53" t="inlineStr">
        <is>
          <t>RF-055</t>
        </is>
      </c>
      <c r="B59" s="53" t="inlineStr">
        <is>
          <t>Funcional</t>
        </is>
      </c>
      <c r="C59" s="53" t="inlineStr">
        <is>
          <t>Gestor de Monitoreo (Torre de Control)</t>
        </is>
      </c>
      <c r="D59" s="53" t="inlineStr">
        <is>
          <t>Expone información distinta según el actor consultante (prestador, cliente, asesor), enmascarando datos sensibles.</t>
        </is>
      </c>
      <c r="E59" s="54" t="n"/>
      <c r="F59" s="53">
        <f>IF($E59="",0,INDEX($M$5:$M$8,MATCH($E59,$L$5:$L$8,0)))</f>
        <v/>
      </c>
      <c r="G59" s="53">
        <f>IF($F59=0,0,$F59/10)</f>
        <v/>
      </c>
      <c r="H59" s="53">
        <f>IFERROR(INDEX($O$15:$O$29,MATCH($C59,$L$15:$L$29,0)),"🟨 validar")</f>
        <v/>
      </c>
      <c r="I59" s="53" t="n"/>
      <c r="J59" s="53" t="n"/>
    </row>
    <row r="60" ht="30" customHeight="1">
      <c r="A60" s="57" t="inlineStr">
        <is>
          <t>RF-056</t>
        </is>
      </c>
      <c r="B60" s="57" t="inlineStr">
        <is>
          <t>Funcional</t>
        </is>
      </c>
      <c r="C60" s="57" t="inlineStr">
        <is>
          <t>Gestor de Monitoreo (Torre de Control)</t>
        </is>
      </c>
      <c r="D60" s="57" t="inlineStr">
        <is>
          <t>Se requiere una vista que nos permita realizar la auditoria de toda la trazabilidad de las solicitudes</t>
        </is>
      </c>
      <c r="E60" s="54" t="n"/>
      <c r="F60" s="53">
        <f>IF($E60="",0,INDEX($M$5:$M$8,MATCH($E60,$L$5:$L$8,0)))</f>
        <v/>
      </c>
      <c r="G60" s="53">
        <f>IF($F60=0,0,$F60/10)</f>
        <v/>
      </c>
      <c r="H60" s="53">
        <f>IFERROR(INDEX($O$15:$O$29,MATCH($C60,$L$15:$L$29,0)),"🟨 validar")</f>
        <v/>
      </c>
      <c r="I60" s="53" t="n"/>
      <c r="J60" s="53" t="n"/>
    </row>
    <row r="61" ht="30" customHeight="1">
      <c r="A61" s="53" t="inlineStr">
        <is>
          <t>RF-057</t>
        </is>
      </c>
      <c r="B61" s="53" t="inlineStr">
        <is>
          <t>Funcional</t>
        </is>
      </c>
      <c r="C61" s="53" t="inlineStr">
        <is>
          <t>Canales / Front Externos</t>
        </is>
      </c>
      <c r="D61" s="53" t="inlineStr">
        <is>
          <t>El Portal Proveedor es el canal priorizado para el Release 1 del MVP y SVP Cliente</t>
        </is>
      </c>
      <c r="E61" s="54" t="inlineStr">
        <is>
          <t>S</t>
        </is>
      </c>
      <c r="F61" s="53">
        <f>IF($E61="",0,INDEX($M$5:$M$8,MATCH($E61,$L$5:$L$8,0)))</f>
        <v/>
      </c>
      <c r="G61" s="53">
        <f>IF($F61=0,0,$F61/10)</f>
        <v/>
      </c>
      <c r="H61" s="53">
        <f>IFERROR(INDEX($O$15:$O$29,MATCH($C61,$L$15:$L$29,0)),"🟨 validar")</f>
        <v/>
      </c>
      <c r="I61" s="53" t="n"/>
      <c r="J61" s="53" t="inlineStr">
        <is>
          <t>Determinística</t>
        </is>
      </c>
    </row>
    <row r="62" ht="30" customHeight="1">
      <c r="A62" s="105" t="inlineStr">
        <is>
          <t>RF-058</t>
        </is>
      </c>
      <c r="B62" s="105" t="inlineStr">
        <is>
          <t>Funcional</t>
        </is>
      </c>
      <c r="C62" s="105" t="inlineStr">
        <is>
          <t>Canales / Front Externos</t>
        </is>
      </c>
      <c r="D62" s="105" t="inlineStr">
        <is>
          <t>La selección de prestador no es necesaria en la solicitud inicial, se debe sugerir el prestador cuando se tenga idetificado el servicio que solicita.</t>
        </is>
      </c>
      <c r="E62" s="54" t="inlineStr">
        <is>
          <t>S</t>
        </is>
      </c>
      <c r="F62" s="105">
        <f>IF($E62="",0,INDEX($M$5:$M$8,MATCH($E62,$L$5:$L$8,0)))</f>
        <v/>
      </c>
      <c r="G62" s="105">
        <f>IF($F62=0,0,$F62/10)</f>
        <v/>
      </c>
      <c r="H62" s="105">
        <f>IFERROR(INDEX($O$15:$O$29,MATCH($C62,$L$15:$L$29,0)),"🟨 validar")</f>
        <v/>
      </c>
      <c r="I62" s="105" t="inlineStr">
        <is>
          <t>Entra la parte del front: no exigir la selección de prestador en la solicitud inicial. Sugerir el prestador es del Gestor de Coordinación, que queda fuera del MVP.</t>
        </is>
      </c>
      <c r="J62" s="53" t="inlineStr">
        <is>
          <t>Determinística</t>
        </is>
      </c>
    </row>
    <row r="63" ht="30" customHeight="1">
      <c r="A63" s="53" t="inlineStr">
        <is>
          <t>RF-059</t>
        </is>
      </c>
      <c r="B63" s="53" t="inlineStr">
        <is>
          <t>Funcional</t>
        </is>
      </c>
      <c r="C63" s="53" t="inlineStr">
        <is>
          <t>Canales / Front Externos</t>
        </is>
      </c>
      <c r="D63" s="53" t="inlineStr">
        <is>
          <t>El cliente debe recibir notificación automática cuando un prestador radica una solicitud en su nombre, con visibilidad completa del caso sin importar el canal de radicación (evita duplicados).</t>
        </is>
      </c>
      <c r="E63" s="54" t="n"/>
      <c r="F63" s="53">
        <f>IF($E63="",0,INDEX($M$5:$M$8,MATCH($E63,$L$5:$L$8,0)))</f>
        <v/>
      </c>
      <c r="G63" s="53">
        <f>IF($F63=0,0,$F63/10)</f>
        <v/>
      </c>
      <c r="H63" s="53">
        <f>IFERROR(INDEX($O$15:$O$29,MATCH($C63,$L$15:$L$29,0)),"🟨 validar")</f>
        <v/>
      </c>
      <c r="I63" s="53" t="n"/>
      <c r="J63" s="53" t="n"/>
    </row>
    <row r="64" ht="30" customHeight="1">
      <c r="A64" s="57" t="inlineStr">
        <is>
          <t>RF-060</t>
        </is>
      </c>
      <c r="B64" s="57" t="inlineStr">
        <is>
          <t>Funcional</t>
        </is>
      </c>
      <c r="C64" s="57" t="inlineStr">
        <is>
          <t>Interoperabilidad (Prestadores)</t>
        </is>
      </c>
      <c r="D64" s="57" t="inlineStr">
        <is>
          <t>El Gestor de Prestación no requiere capacidad agéntica para la confirmación de atención; la integración se conecta directo entre Super App/interoperabilidad y el Core (SuraHis), sin crear un componente nuevo en Gestores.</t>
        </is>
      </c>
      <c r="E64" s="54" t="n"/>
      <c r="F64" s="53">
        <f>IF($E64="",0,INDEX($M$5:$M$8,MATCH($E64,$L$5:$L$8,0)))</f>
        <v/>
      </c>
      <c r="G64" s="53">
        <f>IF($F64=0,0,$F64/10)</f>
        <v/>
      </c>
      <c r="H64" s="53">
        <f>IFERROR(INDEX($O$15:$O$29,MATCH($C64,$L$15:$L$29,0)),"🟨 validar")</f>
        <v/>
      </c>
      <c r="I64" s="53" t="n"/>
      <c r="J64" s="53" t="n"/>
    </row>
    <row r="65" ht="30" customHeight="1">
      <c r="A65" s="53" t="inlineStr">
        <is>
          <t>RF-061</t>
        </is>
      </c>
      <c r="B65" s="53" t="inlineStr">
        <is>
          <t>Funcional</t>
        </is>
      </c>
      <c r="C65" s="53" t="inlineStr">
        <is>
          <t>Interoperabilidad (Prestadores)</t>
        </is>
      </c>
      <c r="D65" s="53" t="inlineStr">
        <is>
          <t>La interoperabilidad administrativa de autorizaciones está en construcción por el equipo de Interoperabilidad (Sergio "Checho" Pérez) junto con el equipo de autorizaciones y pólizas; no alcanza a cerrarse antes del cierre de estructuración.</t>
        </is>
      </c>
      <c r="E65" s="54" t="n"/>
      <c r="F65" s="53">
        <f>IF($E65="",0,INDEX($M$5:$M$8,MATCH($E65,$L$5:$L$8,0)))</f>
        <v/>
      </c>
      <c r="G65" s="53">
        <f>IF($F65=0,0,$F65/10)</f>
        <v/>
      </c>
      <c r="H65" s="53">
        <f>IFERROR(INDEX($O$15:$O$29,MATCH($C65,$L$15:$L$29,0)),"🟨 validar")</f>
        <v/>
      </c>
      <c r="I65" s="53" t="n"/>
      <c r="J65" s="53" t="n"/>
    </row>
    <row r="66" ht="30" customHeight="1">
      <c r="A66" s="57" t="inlineStr">
        <is>
          <t>RF-062</t>
        </is>
      </c>
      <c r="B66" s="57" t="inlineStr">
        <is>
          <t>Funcional</t>
        </is>
      </c>
      <c r="C66" s="57" t="inlineStr">
        <is>
          <t>Interoperabilidad (Prestadores)</t>
        </is>
      </c>
      <c r="D66" s="57" t="inlineStr">
        <is>
          <t>Hoy existen ~12 software de interoperabilidad habilitados con prestadores (incluye Himed/proveedor Pareto, Salud Tools, Servintech), con datos de institución/médico tratante, fecha y tipo/motivo de consulta.</t>
        </is>
      </c>
      <c r="E66" s="54" t="n"/>
      <c r="F66" s="53">
        <f>IF($E66="",0,INDEX($M$5:$M$8,MATCH($E66,$L$5:$L$8,0)))</f>
        <v/>
      </c>
      <c r="G66" s="53">
        <f>IF($F66=0,0,$F66/10)</f>
        <v/>
      </c>
      <c r="H66" s="53">
        <f>IFERROR(INDEX($O$15:$O$29,MATCH($C66,$L$15:$L$29,0)),"🟨 validar")</f>
        <v/>
      </c>
      <c r="I66" s="53" t="n"/>
      <c r="J66" s="53" t="n"/>
    </row>
    <row r="67" ht="30" customHeight="1">
      <c r="A67" s="53" t="inlineStr">
        <is>
          <t>RF-063</t>
        </is>
      </c>
      <c r="B67" s="53" t="inlineStr">
        <is>
          <t>Funcional</t>
        </is>
      </c>
      <c r="C67" s="53" t="inlineStr">
        <is>
          <t>Interoperabilidad (Prestadores)</t>
        </is>
      </c>
      <c r="D67" s="53" t="inlineStr">
        <is>
          <t>No debe agendarse ninguna cita de forma automática sin el consentimiento explícito del asegurado (el sistema sugiere las citas disponibles y confirma con el asegurado antes de agendar).</t>
        </is>
      </c>
      <c r="E67" s="54" t="n"/>
      <c r="F67" s="53">
        <f>IF($E67="",0,INDEX($M$5:$M$8,MATCH($E67,$L$5:$L$8,0)))</f>
        <v/>
      </c>
      <c r="G67" s="53">
        <f>IF($F67=0,0,$F67/10)</f>
        <v/>
      </c>
      <c r="H67" s="53">
        <f>IFERROR(INDEX($O$15:$O$29,MATCH($C67,$L$15:$L$29,0)),"🟨 validar")</f>
        <v/>
      </c>
      <c r="I67" s="53" t="n"/>
      <c r="J67" s="53" t="n"/>
    </row>
    <row r="68" ht="30" customHeight="1">
      <c r="A68" s="57" t="inlineStr">
        <is>
          <t>RF-064</t>
        </is>
      </c>
      <c r="B68" s="57" t="inlineStr">
        <is>
          <t>Funcional</t>
        </is>
      </c>
      <c r="C68" s="57" t="inlineStr">
        <is>
          <t>Interoperabilidad (Prestadores)</t>
        </is>
      </c>
      <c r="D68" s="57" t="inlineStr">
        <is>
          <t>¿Cómo se cierra la brecha de confirmación de atención para prestación externa (~60-70% de la población)? SuraHis resolvería el gap interno, pero no está claro que resuelva el externo.</t>
        </is>
      </c>
      <c r="E68" s="54" t="n"/>
      <c r="F68" s="53">
        <f>IF($E68="",0,INDEX($M$5:$M$8,MATCH($E68,$L$5:$L$8,0)))</f>
        <v/>
      </c>
      <c r="G68" s="53">
        <f>IF($F68=0,0,$F68/10)</f>
        <v/>
      </c>
      <c r="H68" s="53">
        <f>IFERROR(INDEX($O$15:$O$29,MATCH($C68,$L$15:$L$29,0)),"🟨 validar")</f>
        <v/>
      </c>
      <c r="I68" s="53" t="n"/>
      <c r="J68" s="53" t="n"/>
    </row>
    <row r="69" ht="30" customHeight="1">
      <c r="A69" s="53" t="inlineStr">
        <is>
          <t>RF-065</t>
        </is>
      </c>
      <c r="B69" s="53" t="inlineStr">
        <is>
          <t>Funcional</t>
        </is>
      </c>
      <c r="C69" s="53" t="inlineStr">
        <is>
          <t>NEXO (Asesores)</t>
        </is>
      </c>
      <c r="D69" s="53" t="inlineStr">
        <is>
          <t>El asesor debe poder radicar en nombre del cliente reutilizando la misma evidencia (ej. foto) que el cliente envía por WhatsApp, para no duplicar captura de información.</t>
        </is>
      </c>
      <c r="E69" s="54" t="n"/>
      <c r="F69" s="53">
        <f>IF($E69="",0,INDEX($M$5:$M$8,MATCH($E69,$L$5:$L$8,0)))</f>
        <v/>
      </c>
      <c r="G69" s="53">
        <f>IF($F69=0,0,$F69/10)</f>
        <v/>
      </c>
      <c r="H69" s="53">
        <f>IFERROR(INDEX($O$15:$O$29,MATCH($C69,$L$15:$L$29,0)),"🟨 validar")</f>
        <v/>
      </c>
      <c r="I69" s="53" t="n"/>
      <c r="J69" s="53" t="n"/>
    </row>
    <row r="70" ht="30" customHeight="1">
      <c r="A70" s="57" t="inlineStr">
        <is>
          <t>RF-066</t>
        </is>
      </c>
      <c r="B70" s="57" t="inlineStr">
        <is>
          <t>Funcional</t>
        </is>
      </c>
      <c r="C70" s="57" t="inlineStr">
        <is>
          <t>NEXO (Asesores)</t>
        </is>
      </c>
      <c r="D70" s="57" t="inlineStr">
        <is>
          <t>Se debe habilitar consulta rápida del estado de la autorización desde el WhatsApp de asesores de Nexo (~14.000 usuarios) mediante la cédula del cliente.</t>
        </is>
      </c>
      <c r="E70" s="54" t="n"/>
      <c r="F70" s="53">
        <f>IF($E70="",0,INDEX($M$5:$M$8,MATCH($E70,$L$5:$L$8,0)))</f>
        <v/>
      </c>
      <c r="G70" s="53">
        <f>IF($F70=0,0,$F70/10)</f>
        <v/>
      </c>
      <c r="H70" s="53">
        <f>IFERROR(INDEX($O$15:$O$29,MATCH($C70,$L$15:$L$29,0)),"🟨 validar")</f>
        <v/>
      </c>
      <c r="I70" s="53" t="n"/>
      <c r="J70" s="53" t="n"/>
    </row>
    <row r="71" ht="30" customHeight="1">
      <c r="A71" s="53" t="inlineStr">
        <is>
          <t>RF-067</t>
        </is>
      </c>
      <c r="B71" s="53" t="inlineStr">
        <is>
          <t>Funcional</t>
        </is>
      </c>
      <c r="C71" s="53" t="inlineStr">
        <is>
          <t>AVA (Asesores — AVA)</t>
        </is>
      </c>
      <c r="D71" s="53" t="inlineStr">
        <is>
          <t>AVA se mantiene habilitado en paralelo a Nexo (no lo reemplaza 1:1): Nexo no cubrirá el 100% de los ~4.500 asesores (independientes, agencias y corredores pueden no migrar).</t>
        </is>
      </c>
      <c r="E71" s="54" t="n"/>
      <c r="F71" s="53">
        <f>IF($E71="",0,INDEX($M$5:$M$8,MATCH($E71,$L$5:$L$8,0)))</f>
        <v/>
      </c>
      <c r="G71" s="53">
        <f>IF($F71=0,0,$F71/10)</f>
        <v/>
      </c>
      <c r="H71" s="53">
        <f>IFERROR(INDEX($O$15:$O$29,MATCH($C71,$L$15:$L$29,0)),"🟨 validar")</f>
        <v/>
      </c>
      <c r="I71" s="53" t="n"/>
      <c r="J71" s="53" t="n"/>
    </row>
    <row r="72" ht="30" customHeight="1">
      <c r="A72" s="57" t="inlineStr">
        <is>
          <t>RF-068</t>
        </is>
      </c>
      <c r="B72" s="57" t="inlineStr">
        <is>
          <t>Funcional</t>
        </is>
      </c>
      <c r="C72" s="57" t="inlineStr">
        <is>
          <t>AVA (Asesores — AVA)</t>
        </is>
      </c>
      <c r="D72" s="57" t="inlineStr">
        <is>
          <t>La trazabilidad de la solicitud debe resolverse desde la capa de Gestores, sin depender de si el origen fue AVA o Nexo (mismo estándar de trazabilidad para ambos frentes).</t>
        </is>
      </c>
      <c r="E72" s="54" t="n"/>
      <c r="F72" s="53">
        <f>IF($E72="",0,INDEX($M$5:$M$8,MATCH($E72,$L$5:$L$8,0)))</f>
        <v/>
      </c>
      <c r="G72" s="53">
        <f>IF($F72=0,0,$F72/10)</f>
        <v/>
      </c>
      <c r="H72" s="53">
        <f>IFERROR(INDEX($O$15:$O$29,MATCH($C72,$L$15:$L$29,0)),"🟨 validar")</f>
        <v/>
      </c>
      <c r="I72" s="53" t="n"/>
      <c r="J72" s="53" t="n"/>
    </row>
    <row r="73" ht="30" customHeight="1">
      <c r="A73" s="53" t="inlineStr">
        <is>
          <t>RF-069</t>
        </is>
      </c>
      <c r="B73" s="53" t="inlineStr">
        <is>
          <t>Funcional</t>
        </is>
      </c>
      <c r="C73" s="53" t="inlineStr">
        <is>
          <t>AVA (Asesores — AVA)</t>
        </is>
      </c>
      <c r="D73" s="53" t="inlineStr">
        <is>
          <t>Hoy las tres opciones de Reclamaciones en AVA (consultar estado, ingresar autorización, ingresar reembolso) redirigen al aplicativo ADR — no es experiencia nativa; debe evolucionar a integración directa con Gestores.</t>
        </is>
      </c>
      <c r="E73" s="54" t="n"/>
      <c r="F73" s="53">
        <f>IF($E73="",0,INDEX($M$5:$M$8,MATCH($E73,$L$5:$L$8,0)))</f>
        <v/>
      </c>
      <c r="G73" s="53">
        <f>IF($F73=0,0,$F73/10)</f>
        <v/>
      </c>
      <c r="H73" s="53">
        <f>IFERROR(INDEX($O$15:$O$29,MATCH($C73,$L$15:$L$29,0)),"🟨 validar")</f>
        <v/>
      </c>
      <c r="I73" s="53" t="n"/>
      <c r="J73" s="53" t="n"/>
    </row>
    <row r="74" ht="30" customHeight="1">
      <c r="A74" s="105" t="inlineStr">
        <is>
          <t>RF-070</t>
        </is>
      </c>
      <c r="B74" s="105" t="inlineStr">
        <is>
          <t>Funcional</t>
        </is>
      </c>
      <c r="C74" s="105" t="inlineStr">
        <is>
          <t>Interoperabilidad (Prestadores)</t>
        </is>
      </c>
      <c r="D74" s="105" t="inlineStr">
        <is>
          <t>Principio de responsabilidad única: si Gestores necesita un dato o funcionalidad de interoperabilidad, primero debe solicitarlo a través de SuraHIS (el core); una conexión directa de Gestores a Interoperabilidad solo se justifica cuando SuraHIS no tiene o no va a tener ese dato.</t>
        </is>
      </c>
      <c r="E74" s="54" t="inlineStr">
        <is>
          <t>S</t>
        </is>
      </c>
      <c r="F74" s="105">
        <f>IF($E74="",0,INDEX($M$5:$M$8,MATCH($E74,$L$5:$L$8,0)))</f>
        <v/>
      </c>
      <c r="G74" s="105">
        <f>IF($F74=0,0,$F74/10)</f>
        <v/>
      </c>
      <c r="H74" s="105">
        <f>IFERROR(INDEX($O$15:$O$29,MATCH($C74,$L$15:$L$29,0)),"🟨 validar")</f>
        <v/>
      </c>
      <c r="I74" s="105" t="inlineStr">
        <is>
          <t>Entra el principio de acceso al dato vía el core, que el dibujo del MVP recoge explícitamente. La interoperabilidad de autorizaciones como tal queda fuera.</t>
        </is>
      </c>
      <c r="J74" s="53" t="inlineStr">
        <is>
          <t>Determinística</t>
        </is>
      </c>
    </row>
    <row r="75" ht="30" customHeight="1">
      <c r="A75" s="53" t="inlineStr">
        <is>
          <t>RF-071</t>
        </is>
      </c>
      <c r="B75" s="53" t="inlineStr">
        <is>
          <t>Funcional</t>
        </is>
      </c>
      <c r="C75" s="53" t="inlineStr">
        <is>
          <t>Interoperabilidad (Prestadores)</t>
        </is>
      </c>
      <c r="D75" s="53" t="inlineStr">
        <is>
          <t>Se definen 5 momentos de integración con Interoperabilidad: (1) solicitud/consulta de historia clínica, (2) envío de la autorización al prestador, (3) confirmación de la atención/prestación, (4) recepción de nuevas órdenes o autorizaciones que surjan durante la atención (ej. exámenes adicionales), (5) agenda disponible en el prestador para atención de un servicio</t>
        </is>
      </c>
      <c r="E75" s="54" t="n"/>
      <c r="F75" s="53">
        <f>IF($E75="",0,INDEX($M$5:$M$8,MATCH($E75,$L$5:$L$8,0)))</f>
        <v/>
      </c>
      <c r="G75" s="53">
        <f>IF($F75=0,0,$F75/10)</f>
        <v/>
      </c>
      <c r="H75" s="53">
        <f>IFERROR(INDEX($O$15:$O$29,MATCH($C75,$L$15:$L$29,0)),"🟨 validar")</f>
        <v/>
      </c>
      <c r="I75" s="53" t="n"/>
      <c r="J75" s="53" t="n"/>
    </row>
    <row r="76" ht="30" customHeight="1">
      <c r="A76" s="57" t="inlineStr">
        <is>
          <t>RF-072</t>
        </is>
      </c>
      <c r="B76" s="57" t="inlineStr">
        <is>
          <t>Funcional</t>
        </is>
      </c>
      <c r="C76" s="57" t="inlineStr">
        <is>
          <t>Interoperabilidad (Prestadores)</t>
        </is>
      </c>
      <c r="D76" s="57" t="inlineStr">
        <is>
          <t>El estándar de referencia para el intercambio de información clínica es el RDA (Resumen Digital de Atención), alineado con FHIR/HL7 y con la normativa colombiana vigente.</t>
        </is>
      </c>
      <c r="E76" s="54" t="n"/>
      <c r="F76" s="53">
        <f>IF($E76="",0,INDEX($M$5:$M$8,MATCH($E76,$L$5:$L$8,0)))</f>
        <v/>
      </c>
      <c r="G76" s="53">
        <f>IF($F76=0,0,$F76/10)</f>
        <v/>
      </c>
      <c r="H76" s="53">
        <f>IFERROR(INDEX($O$15:$O$29,MATCH($C76,$L$15:$L$29,0)),"🟨 validar")</f>
        <v/>
      </c>
      <c r="I76" s="53" t="n"/>
      <c r="J76" s="53" t="n"/>
    </row>
    <row r="77" ht="30" customHeight="1">
      <c r="A77" s="53" t="inlineStr">
        <is>
          <t>RF-073</t>
        </is>
      </c>
      <c r="B77" s="53" t="inlineStr">
        <is>
          <t>Funcional</t>
        </is>
      </c>
      <c r="C77" s="53" t="inlineStr">
        <is>
          <t>Interoperabilidad (Prestadores)</t>
        </is>
      </c>
      <c r="D77" s="53" t="inlineStr">
        <is>
          <t>Se solicitará al equipo de Interoperabilidad que su primer entregable/release sean los contratos de API (aunque la solución completa no esté lista), para que Gestores pueda construir e integrar desde ya contra un contrato estable.</t>
        </is>
      </c>
      <c r="E77" s="54" t="n"/>
      <c r="F77" s="53">
        <f>IF($E77="",0,INDEX($M$5:$M$8,MATCH($E77,$L$5:$L$8,0)))</f>
        <v/>
      </c>
      <c r="G77" s="53">
        <f>IF($F77=0,0,$F77/10)</f>
        <v/>
      </c>
      <c r="H77" s="53">
        <f>IFERROR(INDEX($O$15:$O$29,MATCH($C77,$L$15:$L$29,0)),"🟨 validar")</f>
        <v/>
      </c>
      <c r="I77" s="53" t="n"/>
      <c r="J77" s="53" t="n"/>
    </row>
    <row r="78" ht="30" customHeight="1">
      <c r="A78" s="57" t="inlineStr">
        <is>
          <t>RF-074</t>
        </is>
      </c>
      <c r="B78" s="57" t="inlineStr">
        <is>
          <t>Funcional</t>
        </is>
      </c>
      <c r="C78" s="57" t="inlineStr">
        <is>
          <t>Canales / Front Externos</t>
        </is>
      </c>
      <c r="D78" s="57" t="inlineStr">
        <is>
          <t>La SVP (y en general los canales de cliente) deben permitir editar/cambiar el prestador asignado en la autorización, dentro de un tiempo máximo definido; superado ese tiempo, se confirma automáticamente el prestador por defecto.</t>
        </is>
      </c>
      <c r="E78" s="54" t="n"/>
      <c r="F78" s="53">
        <f>IF($E78="",0,INDEX($M$5:$M$8,MATCH($E78,$L$5:$L$8,0)))</f>
        <v/>
      </c>
      <c r="G78" s="53">
        <f>IF($F78=0,0,$F78/10)</f>
        <v/>
      </c>
      <c r="H78" s="53">
        <f>IFERROR(INDEX($O$15:$O$29,MATCH($C78,$L$15:$L$29,0)),"🟨 validar")</f>
        <v/>
      </c>
      <c r="I78" s="53" t="n"/>
      <c r="J78" s="53" t="n"/>
    </row>
    <row r="79" ht="30" customHeight="1">
      <c r="A79" s="53" t="inlineStr">
        <is>
          <t>RF-075</t>
        </is>
      </c>
      <c r="B79" s="53" t="inlineStr">
        <is>
          <t>Funcional</t>
        </is>
      </c>
      <c r="C79" s="53" t="inlineStr">
        <is>
          <t>Gestor de Coordinación</t>
        </is>
      </c>
      <c r="D79" s="53" t="inlineStr">
        <is>
          <t>Evaluar incorporar un componente conversacional (chat/WhatsApp) en el Gestor de Coordinación que confirme con el cliente el prestador asignado antes de cerrar la autorización, ofreciendo alternativas; si el cliente no responde en un tiempo definido, se asume el prestador asignado por defecto.</t>
        </is>
      </c>
      <c r="E79" s="54" t="n"/>
      <c r="F79" s="53">
        <f>IF($E79="",0,INDEX($M$5:$M$8,MATCH($E79,$L$5:$L$8,0)))</f>
        <v/>
      </c>
      <c r="G79" s="53">
        <f>IF($F79=0,0,$F79/10)</f>
        <v/>
      </c>
      <c r="H79" s="53">
        <f>IFERROR(INDEX($O$15:$O$29,MATCH($C79,$L$15:$L$29,0)),"🟨 validar")</f>
        <v/>
      </c>
      <c r="I79" s="53" t="n"/>
      <c r="J79" s="53" t="n"/>
    </row>
    <row r="80" ht="30" customHeight="1">
      <c r="A80" s="57" t="inlineStr">
        <is>
          <t>RF-076</t>
        </is>
      </c>
      <c r="B80" s="57" t="inlineStr">
        <is>
          <t>Funcional</t>
        </is>
      </c>
      <c r="C80" s="57" t="inlineStr">
        <is>
          <t>Transversal</t>
        </is>
      </c>
      <c r="D80" s="57" t="inlineStr">
        <is>
          <t>si la libre elección de prestador aplica solo a pólizas Salud Global o a todo el portafolio (excepto modular). Es "muy importante" porque si cambia, impacta todo el portafolio.</t>
        </is>
      </c>
      <c r="E80" s="54" t="n"/>
      <c r="F80" s="53">
        <f>IF($E80="",0,INDEX($M$5:$M$8,MATCH($E80,$L$5:$L$8,0)))</f>
        <v/>
      </c>
      <c r="G80" s="53">
        <f>IF($F80=0,0,$F80/10)</f>
        <v/>
      </c>
      <c r="H80" s="53">
        <f>IFERROR(INDEX($O$15:$O$29,MATCH($C80,$L$15:$L$29,0)),"🟨 validar")</f>
        <v/>
      </c>
      <c r="I80" s="53" t="n"/>
      <c r="J80" s="53" t="n"/>
    </row>
    <row r="81" ht="30" customHeight="1">
      <c r="A81" s="106" t="inlineStr">
        <is>
          <t>RF-077</t>
        </is>
      </c>
      <c r="B81" s="106" t="inlineStr">
        <is>
          <t>Funcional</t>
        </is>
      </c>
      <c r="C81" s="106" t="inlineStr">
        <is>
          <t>Gestor de Solicitud</t>
        </is>
      </c>
      <c r="D81" s="106" t="inlineStr">
        <is>
          <t>reglas de visibilidad en el portal de solicitudes — si el prestador que originó una orden puede ver las solicitudes que quedaron asignadas a otro prestador. Señalada explícitamente como decisión "muy importante" sin dueño claro todavía.</t>
        </is>
      </c>
      <c r="E81" s="107" t="n"/>
      <c r="F81" s="106">
        <f>IF($E81="",0,INDEX($M$5:$M$8,MATCH($E81,$L$5:$L$8,0)))</f>
        <v/>
      </c>
      <c r="G81" s="106">
        <f>IF($F81=0,0,$F81/10)</f>
        <v/>
      </c>
      <c r="H81" s="106">
        <f>IFERROR(INDEX($O$15:$O$29,MATCH($C81,$L$15:$L$29,0)),"🟨 validar")</f>
        <v/>
      </c>
      <c r="I81" s="106" t="inlineStr">
        <is>
          <t>🟥 No estimable: las reglas de visibilidad entre prestadores están señaladas en la propia hoja como decisión importante sin dueño. Definir la regla antes de tallar.</t>
        </is>
      </c>
      <c r="J81" s="53" t="n"/>
    </row>
    <row r="82" ht="30" customHeight="1">
      <c r="A82" s="57" t="inlineStr">
        <is>
          <t>RF-078</t>
        </is>
      </c>
      <c r="B82" s="57" t="inlineStr">
        <is>
          <t>Funcional</t>
        </is>
      </c>
      <c r="C82" s="57" t="inlineStr">
        <is>
          <t>Interoperabilidad (Prestadores)</t>
        </is>
      </c>
      <c r="D82" s="57" t="inlineStr">
        <is>
          <t>falta decidir el modelo operativo único entre 3 opciones (vía interoperabilidad cuando esté lista, que el prestador que generó la orden asuma el costo operativo, o que se le entregue el papeleo al cliente).</t>
        </is>
      </c>
      <c r="E82" s="54" t="n"/>
      <c r="F82" s="53">
        <f>IF($E82="",0,INDEX($M$5:$M$8,MATCH($E82,$L$5:$L$8,0)))</f>
        <v/>
      </c>
      <c r="G82" s="53">
        <f>IF($F82=0,0,$F82/10)</f>
        <v/>
      </c>
      <c r="H82" s="53">
        <f>IFERROR(INDEX($O$15:$O$29,MATCH($C82,$L$15:$L$29,0)),"🟨 validar")</f>
        <v/>
      </c>
      <c r="I82" s="53" t="n"/>
      <c r="J82" s="53" t="n"/>
    </row>
    <row r="83" ht="30" customHeight="1">
      <c r="A83" s="53" t="inlineStr">
        <is>
          <t>RF-079</t>
        </is>
      </c>
      <c r="B83" s="53" t="inlineStr">
        <is>
          <t>Funcional</t>
        </is>
      </c>
      <c r="C83" s="53" t="inlineStr">
        <is>
          <t>Transversal</t>
        </is>
      </c>
      <c r="D83" s="53" t="inlineStr">
        <is>
          <t>Definir si se incorpora un paso explícito de aceptación/confirmación del paciente sobre el prestador asignado, y el tiempo máximo para que la SVP permita editar el prestador (incluyendo el costo operativo de ese cambio).</t>
        </is>
      </c>
      <c r="E83" s="54" t="n"/>
      <c r="F83" s="53">
        <f>IF($E83="",0,INDEX($M$5:$M$8,MATCH($E83,$L$5:$L$8,0)))</f>
        <v/>
      </c>
      <c r="G83" s="53">
        <f>IF($F83=0,0,$F83/10)</f>
        <v/>
      </c>
      <c r="H83" s="53">
        <f>IFERROR(INDEX($O$15:$O$29,MATCH($C83,$L$15:$L$29,0)),"🟨 validar")</f>
        <v/>
      </c>
      <c r="I83" s="53" t="n"/>
      <c r="J83" s="53" t="n"/>
    </row>
    <row r="84" ht="30" customHeight="1">
      <c r="A84" s="57" t="inlineStr">
        <is>
          <t>RF-080</t>
        </is>
      </c>
      <c r="B84" s="57" t="inlineStr">
        <is>
          <t>Funcional</t>
        </is>
      </c>
      <c r="C84" s="57" t="inlineStr">
        <is>
          <t>Interoperabilidad (Prestadores)</t>
        </is>
      </c>
      <c r="D84" s="57" t="inlineStr">
        <is>
          <t>¿Pueden comprometerse a que su primer release sea el contrato de API (aunque la solución completa de gobierno de datos no esté lista), para que Gestores pueda construir contra un contrato estable desde ya?</t>
        </is>
      </c>
      <c r="E84" s="54" t="n"/>
      <c r="F84" s="53">
        <f>IF($E84="",0,INDEX($M$5:$M$8,MATCH($E84,$L$5:$L$8,0)))</f>
        <v/>
      </c>
      <c r="G84" s="53">
        <f>IF($F84=0,0,$F84/10)</f>
        <v/>
      </c>
      <c r="H84" s="53">
        <f>IFERROR(INDEX($O$15:$O$29,MATCH($C84,$L$15:$L$29,0)),"🟨 validar")</f>
        <v/>
      </c>
      <c r="I84" s="53" t="n"/>
      <c r="J84" s="53" t="n"/>
    </row>
    <row r="85" ht="30" customHeight="1">
      <c r="A85" s="53" t="inlineStr">
        <is>
          <t>RF-081</t>
        </is>
      </c>
      <c r="B85" s="53" t="inlineStr">
        <is>
          <t>Funcional</t>
        </is>
      </c>
      <c r="C85" s="53" t="inlineStr">
        <is>
          <t>Interoperabilidad (Prestadores)</t>
        </is>
      </c>
      <c r="D85" s="53" t="inlineStr">
        <is>
          <t>¿Cuál es la cobertura real hoy (cuántos y cuáles prestadores conectados, y si sigue limitado solo a consulta externa, como dijo Santiago en la sesión inicial?</t>
        </is>
      </c>
      <c r="E85" s="54" t="n"/>
      <c r="F85" s="53">
        <f>IF($E85="",0,INDEX($M$5:$M$8,MATCH($E85,$L$5:$L$8,0)))</f>
        <v/>
      </c>
      <c r="G85" s="53">
        <f>IF($F85=0,0,$F85/10)</f>
        <v/>
      </c>
      <c r="H85" s="53">
        <f>IFERROR(INDEX($O$15:$O$29,MATCH($C85,$L$15:$L$29,0)),"🟨 validar")</f>
        <v/>
      </c>
      <c r="I85" s="53" t="n"/>
      <c r="J85" s="53" t="n"/>
    </row>
    <row r="86" ht="30" customHeight="1">
      <c r="A86" s="57" t="inlineStr">
        <is>
          <t>RF-082</t>
        </is>
      </c>
      <c r="B86" s="57" t="inlineStr">
        <is>
          <t>Funcional</t>
        </is>
      </c>
      <c r="C86" s="57" t="inlineStr">
        <is>
          <t>Interoperabilidad (Prestadores)</t>
        </is>
      </c>
      <c r="D86" s="57" t="inlineStr">
        <is>
          <t>Validar si el estándar RDA (Resumen Digital de Atención) cubre lo que Gestores necesita del gestor de Evaluación, o si hay vacíos.</t>
        </is>
      </c>
      <c r="E86" s="54" t="n"/>
      <c r="F86" s="53">
        <f>IF($E86="",0,INDEX($M$5:$M$8,MATCH($E86,$L$5:$L$8,0)))</f>
        <v/>
      </c>
      <c r="G86" s="53">
        <f>IF($F86=0,0,$F86/10)</f>
        <v/>
      </c>
      <c r="H86" s="53">
        <f>IFERROR(INDEX($O$15:$O$29,MATCH($C86,$L$15:$L$29,0)),"🟨 validar")</f>
        <v/>
      </c>
      <c r="I86" s="53" t="n"/>
      <c r="J86" s="53" t="n"/>
    </row>
    <row r="87" ht="30" customHeight="1">
      <c r="A87" s="53" t="inlineStr">
        <is>
          <t>RF-083</t>
        </is>
      </c>
      <c r="B87" s="53" t="inlineStr">
        <is>
          <t>Funcional</t>
        </is>
      </c>
      <c r="C87" s="53" t="inlineStr">
        <is>
          <t>Gestor de Solicitud</t>
        </is>
      </c>
      <c r="D87" s="53" t="inlineStr">
        <is>
          <t>Estrategia de canal de ingreso para prestadores declarada dual y no excluyente: la interoperabilidad de autorizaciones es el camino objetivo (“deber ser”); el Front del portal de prestadores se mantiene como contingencia, no se elimina.</t>
        </is>
      </c>
      <c r="E87" s="54" t="n"/>
      <c r="F87" s="53">
        <f>IF($E87="",0,INDEX($M$5:$M$8,MATCH($E87,$L$5:$L$8,0)))</f>
        <v/>
      </c>
      <c r="G87" s="53">
        <f>IF($F87=0,0,$F87/10)</f>
        <v/>
      </c>
      <c r="H87" s="53">
        <f>IFERROR(INDEX($O$15:$O$29,MATCH($C87,$L$15:$L$29,0)),"🟨 validar")</f>
        <v/>
      </c>
      <c r="I87" s="53" t="n"/>
      <c r="J87" s="53" t="n"/>
    </row>
    <row r="88" ht="30" customHeight="1">
      <c r="A88" s="57" t="inlineStr">
        <is>
          <t>RF-084</t>
        </is>
      </c>
      <c r="B88" s="57" t="inlineStr">
        <is>
          <t>Funcional</t>
        </is>
      </c>
      <c r="C88" s="57" t="inlineStr">
        <is>
          <t>Gestor de Solicitud</t>
        </is>
      </c>
      <c r="D88" s="57" t="inlineStr">
        <is>
          <t>Para prestadores que ingresen vía interoperabilidad de autorizaciones (modelo orientado a eventos): el gestor se suscribe al ordenamiento en cuanto llega, consulta la historia clínica para completar la información y genera la autorización de forma automática, sin diligenciamiento de formulario ni carga de documentos por parte del prestador.</t>
        </is>
      </c>
      <c r="E88" s="54" t="n"/>
      <c r="F88" s="53">
        <f>IF($E88="",0,INDEX($M$5:$M$8,MATCH($E88,$L$5:$L$8,0)))</f>
        <v/>
      </c>
      <c r="G88" s="53">
        <f>IF($F88=0,0,$F88/10)</f>
        <v/>
      </c>
      <c r="H88" s="53">
        <f>IFERROR(INDEX($O$15:$O$29,MATCH($C88,$L$15:$L$29,0)),"🟨 validar")</f>
        <v/>
      </c>
      <c r="I88" s="53" t="n"/>
      <c r="J88" s="53" t="n"/>
    </row>
    <row r="89" ht="30" customHeight="1">
      <c r="A89" s="53" t="inlineStr">
        <is>
          <t>RF-085</t>
        </is>
      </c>
      <c r="B89" s="53" t="inlineStr">
        <is>
          <t>Funcional</t>
        </is>
      </c>
      <c r="C89" s="53" t="inlineStr">
        <is>
          <t>Canales / Front Externos</t>
        </is>
      </c>
      <c r="D89" s="53" t="inlineStr">
        <is>
          <t>Para los prestadores conectados por interoperabilidad, el Front expondrá una vista de consulta del estado de la autorización frente al ordenamiento y la opción de creación de solicitud nueva (como contingencia), dado que la generación es automática y se actualiza en línea.</t>
        </is>
      </c>
      <c r="E89" s="54" t="n"/>
      <c r="F89" s="53">
        <f>IF($E89="",0,INDEX($M$5:$M$8,MATCH($E89,$L$5:$L$8,0)))</f>
        <v/>
      </c>
      <c r="G89" s="53">
        <f>IF($F89=0,0,$F89/10)</f>
        <v/>
      </c>
      <c r="H89" s="53">
        <f>IFERROR(INDEX($O$15:$O$29,MATCH($C89,$L$15:$L$29,0)),"🟨 validar")</f>
        <v/>
      </c>
      <c r="I89" s="53" t="n"/>
      <c r="J89" s="53" t="n"/>
    </row>
    <row r="90" ht="30" customHeight="1">
      <c r="A90" s="57" t="inlineStr">
        <is>
          <t>RF-086</t>
        </is>
      </c>
      <c r="B90" s="57" t="inlineStr">
        <is>
          <t>Funcional</t>
        </is>
      </c>
      <c r="C90" s="57" t="inlineStr">
        <is>
          <t>Canales / Front Externos</t>
        </is>
      </c>
      <c r="D90" s="57" t="inlineStr">
        <is>
          <t>Se descarta construir un formulario de diligenciamiento propio para el prestador (equivalente al actual de ADR); el prestador que ingrese por el Front usará el mismo componente de carga de documentos (orden médica + historia clínica) que cliente y asesor, para minimizar el esfuerzo de construcción.</t>
        </is>
      </c>
      <c r="E90" s="54" t="inlineStr">
        <is>
          <t>S</t>
        </is>
      </c>
      <c r="F90" s="53">
        <f>IF($E90="",0,INDEX($M$5:$M$8,MATCH($E90,$L$5:$L$8,0)))</f>
        <v/>
      </c>
      <c r="G90" s="53">
        <f>IF($F90=0,0,$F90/10)</f>
        <v/>
      </c>
      <c r="H90" s="53">
        <f>IFERROR(INDEX($O$15:$O$29,MATCH($C90,$L$15:$L$29,0)),"🟨 validar")</f>
        <v/>
      </c>
      <c r="I90" s="53" t="n"/>
      <c r="J90" s="53" t="inlineStr">
        <is>
          <t>Determinística</t>
        </is>
      </c>
    </row>
    <row r="91" ht="30" customHeight="1">
      <c r="A91" s="53" t="inlineStr">
        <is>
          <t>RF-087</t>
        </is>
      </c>
      <c r="B91" s="53" t="inlineStr">
        <is>
          <t>Funcional</t>
        </is>
      </c>
      <c r="C91" s="53" t="inlineStr">
        <is>
          <t>Gestor de Solicitud</t>
        </is>
      </c>
      <c r="D91" s="53" t="inlineStr">
        <is>
          <t>El Front web queda formalmente declarado como contingencia (no como opción principal): los prestadores que ingresen por el Front deberán migrar a interoperabilidad en algún punto. Se aclara explícitamente que “contingencia” no implica menor robustez ni pérdida de valor del canal.</t>
        </is>
      </c>
      <c r="E91" s="54" t="n"/>
      <c r="F91" s="53">
        <f>IF($E91="",0,INDEX($M$5:$M$8,MATCH($E91,$L$5:$L$8,0)))</f>
        <v/>
      </c>
      <c r="G91" s="53">
        <f>IF($F91=0,0,$F91/10)</f>
        <v/>
      </c>
      <c r="H91" s="53">
        <f>IFERROR(INDEX($O$15:$O$29,MATCH($C91,$L$15:$L$29,0)),"🟨 validar")</f>
        <v/>
      </c>
      <c r="I91" s="53" t="n"/>
      <c r="J91" s="53" t="n"/>
    </row>
    <row r="92" ht="30" customHeight="1">
      <c r="A92" s="57" t="inlineStr">
        <is>
          <t>RF-088</t>
        </is>
      </c>
      <c r="B92" s="57" t="inlineStr">
        <is>
          <t>Funcional</t>
        </is>
      </c>
      <c r="C92" s="57" t="inlineStr">
        <is>
          <t>Interoperabilidad (Prestadores)</t>
        </is>
      </c>
      <c r="D92" s="57" t="inlineStr">
        <is>
          <t>Se requiere un plan de conexión/incentivo (gancho de valor operativo, no solo normativo) para escalar de los ~3.400 prestadores hoy conectados en interoperabilidad de historia clínica hacia la interoperabilidad de autorizaciones, priorizando instituciones de alto volumen de atención aún no conectadas (ej. Imbanaco, Fundación Valle del Lili, Pablo Tobón Uribe, Clínica Santa Fe).</t>
        </is>
      </c>
      <c r="E92" s="54" t="n"/>
      <c r="F92" s="53">
        <f>IF($E92="",0,INDEX($M$5:$M$8,MATCH($E92,$L$5:$L$8,0)))</f>
        <v/>
      </c>
      <c r="G92" s="53">
        <f>IF($F92=0,0,$F92/10)</f>
        <v/>
      </c>
      <c r="H92" s="53">
        <f>IFERROR(INDEX($O$15:$O$29,MATCH($C92,$L$15:$L$29,0)),"🟨 validar")</f>
        <v/>
      </c>
      <c r="I92" s="53" t="n"/>
      <c r="J92" s="53" t="n"/>
    </row>
    <row r="93" ht="30" customHeight="1">
      <c r="A93" s="53" t="inlineStr">
        <is>
          <t>RF-089</t>
        </is>
      </c>
      <c r="B93" s="53" t="inlineStr">
        <is>
          <t>Funcional</t>
        </is>
      </c>
      <c r="C93" s="53" t="inlineStr">
        <is>
          <t>Interoperabilidad (Prestadores)</t>
        </is>
      </c>
      <c r="D93" s="53" t="inlineStr">
        <is>
          <t>Pendiente confirmar el responsable desde Negocio que jalone/lidere la adopción de interoperabilidad ante los prestadores; Pao de la Cuesta asumiría esa gestión desde su nuevo rol, a confirmar.</t>
        </is>
      </c>
      <c r="E93" s="54" t="n"/>
      <c r="F93" s="53">
        <f>IF($E93="",0,INDEX($M$5:$M$8,MATCH($E93,$L$5:$L$8,0)))</f>
        <v/>
      </c>
      <c r="G93" s="53">
        <f>IF($F93=0,0,$F93/10)</f>
        <v/>
      </c>
      <c r="H93" s="53">
        <f>IFERROR(INDEX($O$15:$O$29,MATCH($C93,$L$15:$L$29,0)),"🟨 validar")</f>
        <v/>
      </c>
      <c r="I93" s="53" t="n"/>
      <c r="J93" s="53" t="n"/>
    </row>
    <row r="94" ht="30" customHeight="1">
      <c r="A94" s="57" t="inlineStr">
        <is>
          <t>RF-090</t>
        </is>
      </c>
      <c r="B94" s="57" t="inlineStr">
        <is>
          <t>Funcional</t>
        </is>
      </c>
      <c r="C94" s="57" t="inlineStr">
        <is>
          <t>Interoperabilidad (Prestadores)</t>
        </is>
      </c>
      <c r="D94" s="57" t="inlineStr">
        <is>
          <t>Cruzar el listado de prestadores compartido por checho (Interoperabilidad) contra el informe de autorizaciones totales por prestador de todo 2026 (a extraer de Globalweb), para determinar el volumen de autorizaciones por prestador.</t>
        </is>
      </c>
      <c r="E94" s="54" t="n"/>
      <c r="F94" s="53">
        <f>IF($E94="",0,INDEX($M$5:$M$8,MATCH($E94,$L$5:$L$8,0)))</f>
        <v/>
      </c>
      <c r="G94" s="53">
        <f>IF($F94=0,0,$F94/10)</f>
        <v/>
      </c>
      <c r="H94" s="53">
        <f>IFERROR(INDEX($O$15:$O$29,MATCH($C94,$L$15:$L$29,0)),"🟨 validar")</f>
        <v/>
      </c>
      <c r="I94" s="53" t="n"/>
      <c r="J94" s="53" t="n"/>
    </row>
    <row r="95" ht="30" customHeight="1">
      <c r="A95" s="53" t="inlineStr">
        <is>
          <t>RF-091</t>
        </is>
      </c>
      <c r="B95" s="53" t="inlineStr">
        <is>
          <t>Funcional</t>
        </is>
      </c>
      <c r="C95" s="53" t="inlineStr">
        <is>
          <t>Gestor de Monitoreo (Torre de Control)</t>
        </is>
      </c>
      <c r="D95" s="53" t="inlineStr">
        <is>
          <t>Se expone vista consolidada/agregada del proceso (“el bosque”) y el detalle caso a caso de una solicitud específica (“el árbol”)</t>
        </is>
      </c>
      <c r="E95" s="54" t="n"/>
      <c r="F95" s="53">
        <f>IF($E95="",0,INDEX($M$5:$M$8,MATCH($E95,$L$5:$L$8,0)))</f>
        <v/>
      </c>
      <c r="G95" s="53">
        <f>IF($F95=0,0,$F95/10)</f>
        <v/>
      </c>
      <c r="H95" s="53">
        <f>IFERROR(INDEX($O$15:$O$29,MATCH($C95,$L$15:$L$29,0)),"🟨 validar")</f>
        <v/>
      </c>
      <c r="I95" s="53" t="n"/>
      <c r="J95" s="53" t="n"/>
    </row>
    <row r="96" ht="30" customHeight="1">
      <c r="A96" s="57" t="inlineStr">
        <is>
          <t>RF-092</t>
        </is>
      </c>
      <c r="B96" s="57" t="inlineStr">
        <is>
          <t>Funcional</t>
        </is>
      </c>
      <c r="C96" s="57" t="inlineStr">
        <is>
          <t>Gestor de Monitoreo (Torre de Control)</t>
        </is>
      </c>
      <c r="D96" s="57" t="inlineStr">
        <is>
          <t>Alertamiento por información pendiente del cliente en el proceso de Solicitud de Autorización</t>
        </is>
      </c>
      <c r="E96" s="54" t="n"/>
      <c r="F96" s="53">
        <f>IF($E96="",0,INDEX($M$5:$M$8,MATCH($E96,$L$5:$L$8,0)))</f>
        <v/>
      </c>
      <c r="G96" s="53">
        <f>IF($F96=0,0,$F96/10)</f>
        <v/>
      </c>
      <c r="H96" s="53">
        <f>IFERROR(INDEX($O$15:$O$29,MATCH($C96,$L$15:$L$29,0)),"🟨 validar")</f>
        <v/>
      </c>
      <c r="I96" s="53" t="n"/>
      <c r="J96" s="53" t="n"/>
    </row>
    <row r="97" ht="30" customHeight="1">
      <c r="A97" s="53" t="inlineStr">
        <is>
          <t>RF-093</t>
        </is>
      </c>
      <c r="B97" s="53" t="inlineStr">
        <is>
          <t>Funcional</t>
        </is>
      </c>
      <c r="C97" s="53" t="inlineStr">
        <is>
          <t>Gestor de Monitoreo (Torre de Control)</t>
        </is>
      </c>
      <c r="D97" s="53" t="inlineStr">
        <is>
          <t>Alertamiento por incumplimiento del SLA por la solicitud de Autorización</t>
        </is>
      </c>
      <c r="E97" s="54" t="n"/>
      <c r="F97" s="53">
        <f>IF($E97="",0,INDEX($M$5:$M$8,MATCH($E97,$L$5:$L$8,0)))</f>
        <v/>
      </c>
      <c r="G97" s="53">
        <f>IF($F97=0,0,$F97/10)</f>
        <v/>
      </c>
      <c r="H97" s="53">
        <f>IFERROR(INDEX($O$15:$O$29,MATCH($C97,$L$15:$L$29,0)),"🟨 validar")</f>
        <v/>
      </c>
      <c r="I97" s="53" t="n"/>
      <c r="J97" s="53" t="n"/>
    </row>
    <row r="98" ht="30" customHeight="1">
      <c r="A98" s="57" t="inlineStr">
        <is>
          <t>RF-094</t>
        </is>
      </c>
      <c r="B98" s="57" t="inlineStr">
        <is>
          <t>Funcional</t>
        </is>
      </c>
      <c r="C98" s="57" t="inlineStr">
        <is>
          <t>Gestor de Monitoreo (Torre de Control)</t>
        </is>
      </c>
      <c r="D98" s="57" t="inlineStr">
        <is>
          <t>Alertamiento por próximo incumplimiento del SLA por la solicitud de Autorización</t>
        </is>
      </c>
      <c r="E98" s="54" t="n"/>
      <c r="F98" s="53">
        <f>IF($E98="",0,INDEX($M$5:$M$8,MATCH($E98,$L$5:$L$8,0)))</f>
        <v/>
      </c>
      <c r="G98" s="53">
        <f>IF($F98=0,0,$F98/10)</f>
        <v/>
      </c>
      <c r="H98" s="53">
        <f>IFERROR(INDEX($O$15:$O$29,MATCH($C98,$L$15:$L$29,0)),"🟨 validar")</f>
        <v/>
      </c>
      <c r="I98" s="53" t="n"/>
      <c r="J98" s="53" t="n"/>
    </row>
    <row r="99" ht="30" customHeight="1">
      <c r="A99" s="53" t="inlineStr">
        <is>
          <t>RF-095</t>
        </is>
      </c>
      <c r="B99" s="53" t="inlineStr">
        <is>
          <t>Funcional</t>
        </is>
      </c>
      <c r="C99" s="53" t="inlineStr">
        <is>
          <t>Gestor de Monitoreo (Torre de Control)</t>
        </is>
      </c>
      <c r="D99" s="53" t="inlineStr">
        <is>
          <t>Alertamiento en el desborde de capacidad en el proceso de Solicitud de Autorización</t>
        </is>
      </c>
      <c r="E99" s="54" t="n"/>
      <c r="F99" s="53">
        <f>IF($E99="",0,INDEX($M$5:$M$8,MATCH($E99,$L$5:$L$8,0)))</f>
        <v/>
      </c>
      <c r="G99" s="53">
        <f>IF($F99=0,0,$F99/10)</f>
        <v/>
      </c>
      <c r="H99" s="53">
        <f>IFERROR(INDEX($O$15:$O$29,MATCH($C99,$L$15:$L$29,0)),"🟨 validar")</f>
        <v/>
      </c>
      <c r="I99" s="53" t="n"/>
      <c r="J99" s="53" t="n"/>
    </row>
    <row r="100" ht="30" customHeight="1">
      <c r="A100" s="57" t="inlineStr">
        <is>
          <t>RF-096</t>
        </is>
      </c>
      <c r="B100" s="57" t="inlineStr">
        <is>
          <t>Funcional</t>
        </is>
      </c>
      <c r="C100" s="57" t="inlineStr">
        <is>
          <t>Gestor de Monitoreo (Torre de Control)</t>
        </is>
      </c>
      <c r="D100" s="57" t="inlineStr">
        <is>
          <t xml:space="preserve">Capacidad de Parametrización para alertamientos en la solicitud de autorización </t>
        </is>
      </c>
      <c r="E100" s="54" t="n"/>
      <c r="F100" s="53">
        <f>IF($E100="",0,INDEX($M$5:$M$8,MATCH($E100,$L$5:$L$8,0)))</f>
        <v/>
      </c>
      <c r="G100" s="53">
        <f>IF($F100=0,0,$F100/10)</f>
        <v/>
      </c>
      <c r="H100" s="53">
        <f>IFERROR(INDEX($O$15:$O$29,MATCH($C100,$L$15:$L$29,0)),"🟨 validar")</f>
        <v/>
      </c>
      <c r="I100" s="53" t="n"/>
      <c r="J100" s="53" t="n"/>
    </row>
    <row r="101" ht="30" customHeight="1">
      <c r="A101" s="105" t="inlineStr">
        <is>
          <t>RF-097</t>
        </is>
      </c>
      <c r="B101" s="105" t="inlineStr">
        <is>
          <t>Funcional</t>
        </is>
      </c>
      <c r="C101" s="105" t="inlineStr">
        <is>
          <t>Gestor de Monitoreo (Torre de Control)</t>
        </is>
      </c>
      <c r="D101" s="105" t="inlineStr">
        <is>
          <t xml:space="preserve">Concepto de “gestor auditor” dentro de cada gestor y en torre de control nos permita ver el comportamiento y sugerencias para mejorar la autonomía del gestor </t>
        </is>
      </c>
      <c r="E101" s="54" t="inlineStr">
        <is>
          <t>L</t>
        </is>
      </c>
      <c r="F101" s="105">
        <f>IF($E101="",0,INDEX($M$5:$M$8,MATCH($E101,$L$5:$L$8,0)))</f>
        <v/>
      </c>
      <c r="G101" s="105">
        <f>IF($F101=0,0,$F101/10)</f>
        <v/>
      </c>
      <c r="H101" s="105">
        <f>IFERROR(INDEX($O$15:$O$29,MATCH($C101,$L$15:$L$29,0)),"🟨 validar")</f>
        <v/>
      </c>
      <c r="I101" s="105" t="inlineStr">
        <is>
          <t>Entra el agente auditor dentro de cada gestor, que el dibujo del MVP incluye en Solicitud y en Evaluación. El auditor de la torre es capa 3 y queda fuera.</t>
        </is>
      </c>
      <c r="J101" s="53" t="inlineStr">
        <is>
          <t>Agéntica</t>
        </is>
      </c>
    </row>
    <row r="102" ht="30" customHeight="1">
      <c r="A102" s="57" t="inlineStr">
        <is>
          <t>RF-098</t>
        </is>
      </c>
      <c r="B102" s="57" t="inlineStr">
        <is>
          <t>Funcional</t>
        </is>
      </c>
      <c r="C102" s="57" t="inlineStr">
        <is>
          <t>Gestor de Monitoreo (Torre de Control)</t>
        </is>
      </c>
      <c r="D102" s="57" t="inlineStr">
        <is>
          <t>Agente que realice sugerencias sobre la decisión que se debe tomar en una solicitud ejemplo: sugerencia al lider operativo de reasignación de solicitudes que superen el tiempo de respuesta a otros evaluadores con mayor oportunidad de respuesta</t>
        </is>
      </c>
      <c r="E102" s="54" t="n"/>
      <c r="F102" s="53">
        <f>IF($E102="",0,INDEX($M$5:$M$8,MATCH($E102,$L$5:$L$8,0)))</f>
        <v/>
      </c>
      <c r="G102" s="53">
        <f>IF($F102=0,0,$F102/10)</f>
        <v/>
      </c>
      <c r="H102" s="53">
        <f>IFERROR(INDEX($O$15:$O$29,MATCH($C102,$L$15:$L$29,0)),"🟨 validar")</f>
        <v/>
      </c>
      <c r="I102" s="53" t="n"/>
      <c r="J102" s="53" t="n"/>
    </row>
    <row r="103" ht="30" customHeight="1">
      <c r="A103" s="53" t="inlineStr">
        <is>
          <t>RF-099</t>
        </is>
      </c>
      <c r="B103" s="53" t="inlineStr">
        <is>
          <t>Funcional</t>
        </is>
      </c>
      <c r="C103" s="53" t="inlineStr">
        <is>
          <t>Gestor de Monitoreo (Torre de Control)</t>
        </is>
      </c>
      <c r="D103" s="53" t="inlineStr">
        <is>
          <t>Agente que tome decisiones sobre el marco de actuación de una solicitud, ejemplo: reasignación automatica de solicitudes que superen el tiempo de respuesta a otros evaluadores con mayor oportunidad de respuesta</t>
        </is>
      </c>
      <c r="E103" s="54" t="n"/>
      <c r="F103" s="53">
        <f>IF($E103="",0,INDEX($M$5:$M$8,MATCH($E103,$L$5:$L$8,0)))</f>
        <v/>
      </c>
      <c r="G103" s="53">
        <f>IF($F103=0,0,$F103/10)</f>
        <v/>
      </c>
      <c r="H103" s="53">
        <f>IFERROR(INDEX($O$15:$O$29,MATCH($C103,$L$15:$L$29,0)),"🟨 validar")</f>
        <v/>
      </c>
      <c r="I103" s="53" t="n"/>
      <c r="J103" s="53" t="n"/>
    </row>
    <row r="104" ht="30" customHeight="1">
      <c r="A104" s="57" t="inlineStr">
        <is>
          <t>RF-100</t>
        </is>
      </c>
      <c r="B104" s="57" t="inlineStr">
        <is>
          <t>Funcional</t>
        </is>
      </c>
      <c r="C104" s="57" t="inlineStr">
        <is>
          <t>Gestor de Monitoreo (Torre de Control)</t>
        </is>
      </c>
      <c r="D104" s="57" t="inlineStr">
        <is>
          <t>Emitir alertamiento cuando se tengan novedades en la solicitud al cliente/proveedor y asesor, ejemplo: por incumplimiento de SLA</t>
        </is>
      </c>
      <c r="E104" s="54" t="n"/>
      <c r="F104" s="53">
        <f>IF($E104="",0,INDEX($M$5:$M$8,MATCH($E104,$L$5:$L$8,0)))</f>
        <v/>
      </c>
      <c r="G104" s="53">
        <f>IF($F104=0,0,$F104/10)</f>
        <v/>
      </c>
      <c r="H104" s="53">
        <f>IFERROR(INDEX($O$15:$O$29,MATCH($C104,$L$15:$L$29,0)),"🟨 validar")</f>
        <v/>
      </c>
      <c r="I104" s="53" t="n"/>
      <c r="J104" s="53" t="n"/>
    </row>
    <row r="105" ht="30" customHeight="1">
      <c r="A105" s="53" t="inlineStr">
        <is>
          <t>RF-101</t>
        </is>
      </c>
      <c r="B105" s="53" t="inlineStr">
        <is>
          <t>Funcional</t>
        </is>
      </c>
      <c r="C105" s="53" t="inlineStr">
        <is>
          <t>AVA (Asesores — AVA)</t>
        </is>
      </c>
      <c r="D105" s="53" t="inlineStr">
        <is>
          <t>Demanda cruzada para que nos confirme cuanto se demora exponer el componente que conecta con el front de canales (James) Esto se activa para la implementación</t>
        </is>
      </c>
      <c r="E105" s="54" t="n"/>
      <c r="F105" s="53">
        <f>IF($E105="",0,INDEX($M$5:$M$8,MATCH($E105,$L$5:$L$8,0)))</f>
        <v/>
      </c>
      <c r="G105" s="53">
        <f>IF($F105=0,0,$F105/10)</f>
        <v/>
      </c>
      <c r="H105" s="53">
        <f>IFERROR(INDEX($O$15:$O$29,MATCH($C105,$L$15:$L$29,0)),"🟨 validar")</f>
        <v/>
      </c>
      <c r="I105" s="53" t="n"/>
      <c r="J105" s="53" t="n"/>
    </row>
    <row r="106" ht="30" customHeight="1">
      <c r="A106" s="57" t="inlineStr">
        <is>
          <t>RF-102</t>
        </is>
      </c>
      <c r="B106" s="57" t="inlineStr">
        <is>
          <t>Funcional</t>
        </is>
      </c>
      <c r="C106" s="57" t="inlineStr">
        <is>
          <t>Gestor de Monitoreo (Torre de Control)</t>
        </is>
      </c>
      <c r="D106" s="57" t="inlineStr">
        <is>
          <t>El agente entrega analítica prescriptiva integrando Torre + Datalake</t>
        </is>
      </c>
      <c r="E106" s="54" t="n"/>
      <c r="F106" s="53">
        <f>IF($E106="",0,INDEX($M$5:$M$8,MATCH($E106,$L$5:$L$8,0)))</f>
        <v/>
      </c>
      <c r="G106" s="53">
        <f>IF($F106=0,0,$F106/10)</f>
        <v/>
      </c>
      <c r="H106" s="53">
        <f>IFERROR(INDEX($O$15:$O$29,MATCH($C106,$L$15:$L$29,0)),"🟨 validar")</f>
        <v/>
      </c>
      <c r="I106" s="53" t="n"/>
      <c r="J106" s="53" t="n"/>
    </row>
    <row r="107" ht="30" customHeight="1">
      <c r="A107" s="53" t="inlineStr">
        <is>
          <t>RF-103</t>
        </is>
      </c>
      <c r="B107" s="53" t="inlineStr">
        <is>
          <t>Funcional</t>
        </is>
      </c>
      <c r="C107" s="53" t="inlineStr">
        <is>
          <t>Gestor de Monitoreo (Torre de Control)</t>
        </is>
      </c>
      <c r="D107" s="53" t="inlineStr">
        <is>
          <t>Entrega de información de las solicitudes, autorizaciones y datos relevantes al Datalake</t>
        </is>
      </c>
      <c r="E107" s="54" t="n"/>
      <c r="F107" s="53">
        <f>IF($E107="",0,INDEX($M$5:$M$8,MATCH($E107,$L$5:$L$8,0)))</f>
        <v/>
      </c>
      <c r="G107" s="53">
        <f>IF($F107=0,0,$F107/10)</f>
        <v/>
      </c>
      <c r="H107" s="53">
        <f>IFERROR(INDEX($O$15:$O$29,MATCH($C107,$L$15:$L$29,0)),"🟨 validar")</f>
        <v/>
      </c>
      <c r="I107" s="53" t="n"/>
      <c r="J107" s="53" t="n"/>
    </row>
    <row r="108" ht="30" customHeight="1">
      <c r="A108" s="57" t="inlineStr">
        <is>
          <t>RF-104</t>
        </is>
      </c>
      <c r="B108" s="57" t="inlineStr">
        <is>
          <t>Funcional</t>
        </is>
      </c>
      <c r="C108" s="57" t="inlineStr">
        <is>
          <t>Gestor de Monitoreo (Torre de Control)</t>
        </is>
      </c>
      <c r="D108" s="57" t="inlineStr">
        <is>
          <t>Garantizar que la arquitectura, integraciones, aplicaciones y conexiones que intervienen en el proceso este funcionando de forma adecuada y reaizar alertamientos ante alguna novedad</t>
        </is>
      </c>
      <c r="E108" s="54" t="n"/>
      <c r="F108" s="53">
        <f>IF($E108="",0,INDEX($M$5:$M$8,MATCH($E108,$L$5:$L$8,0)))</f>
        <v/>
      </c>
      <c r="G108" s="53">
        <f>IF($F108=0,0,$F108/10)</f>
        <v/>
      </c>
      <c r="H108" s="53">
        <f>IFERROR(INDEX($O$15:$O$29,MATCH($C108,$L$15:$L$29,0)),"🟨 validar")</f>
        <v/>
      </c>
      <c r="I108" s="53" t="n"/>
      <c r="J108" s="53" t="n"/>
    </row>
    <row r="109" ht="30" customHeight="1">
      <c r="A109" s="53" t="inlineStr">
        <is>
          <t>RF-105</t>
        </is>
      </c>
      <c r="B109" s="53" t="inlineStr">
        <is>
          <t>Funcional</t>
        </is>
      </c>
      <c r="C109" s="53" t="inlineStr">
        <is>
          <t>Gestor de Coordinación</t>
        </is>
      </c>
      <c r="D109" s="53" t="inlineStr">
        <is>
          <t>Registrar los requisitos funcionales de cara a la asignación de proveedor, cambio de proveedor y lo que la IA podrá interactuar con el cliente</t>
        </is>
      </c>
      <c r="E109" s="54" t="n"/>
      <c r="F109" s="53">
        <f>IF($E109="",0,INDEX($M$5:$M$8,MATCH($E109,$L$5:$L$8,0)))</f>
        <v/>
      </c>
      <c r="G109" s="53">
        <f>IF($F109=0,0,$F109/10)</f>
        <v/>
      </c>
      <c r="H109" s="53">
        <f>IFERROR(INDEX($O$15:$O$29,MATCH($C109,$L$15:$L$29,0)),"🟨 validar")</f>
        <v/>
      </c>
      <c r="I109" s="53" t="n"/>
      <c r="J109" s="53" t="n"/>
    </row>
    <row r="110" ht="30" customHeight="1">
      <c r="A110" s="57" t="inlineStr">
        <is>
          <t>RF-106</t>
        </is>
      </c>
      <c r="B110" s="57" t="inlineStr">
        <is>
          <t>Funcional</t>
        </is>
      </c>
      <c r="C110" s="57" t="inlineStr">
        <is>
          <t>Gestor de Monitoreo (Torre de Control)</t>
        </is>
      </c>
      <c r="D110" s="57" t="inlineStr">
        <is>
          <t>Front de configuración de SLAs según criterios</t>
        </is>
      </c>
      <c r="E110" s="54" t="n"/>
      <c r="F110" s="53">
        <f>IF($E110="",0,INDEX($M$5:$M$8,MATCH($E110,$L$5:$L$8,0)))</f>
        <v/>
      </c>
      <c r="G110" s="53">
        <f>IF($F110=0,0,$F110/10)</f>
        <v/>
      </c>
      <c r="H110" s="53">
        <f>IFERROR(INDEX($O$15:$O$29,MATCH($C110,$L$15:$L$29,0)),"🟨 validar")</f>
        <v/>
      </c>
      <c r="I110" s="53" t="n"/>
      <c r="J110" s="53" t="n"/>
    </row>
    <row r="111" ht="30" customHeight="1">
      <c r="A111" s="53" t="inlineStr">
        <is>
          <t>RF-107</t>
        </is>
      </c>
      <c r="B111" s="53" t="inlineStr">
        <is>
          <t>Funcional</t>
        </is>
      </c>
      <c r="C111" s="53" t="inlineStr">
        <is>
          <t>NEXO (Asesores)</t>
        </is>
      </c>
      <c r="D111" s="53" t="inlineStr">
        <is>
          <t>Nexo debe exponer un único punto de integración genérico ("puerta" de creación de siniestros), reutilizable para otros tipos de siniestro a futuro, no exclusivo de autorizaciones de salud.</t>
        </is>
      </c>
      <c r="E111" s="54" t="n"/>
      <c r="F111" s="53">
        <f>IF($E111="",0,INDEX($M$5:$M$8,MATCH($E111,$L$5:$L$8,0)))</f>
        <v/>
      </c>
      <c r="G111" s="53">
        <f>IF($F111=0,0,$F111/10)</f>
        <v/>
      </c>
      <c r="H111" s="53">
        <f>IFERROR(INDEX($O$15:$O$29,MATCH($C111,$L$15:$L$29,0)),"🟨 validar")</f>
        <v/>
      </c>
      <c r="I111" s="53" t="n"/>
      <c r="J111" s="53" t="n"/>
    </row>
    <row r="112" ht="30" customHeight="1">
      <c r="A112" s="57" t="inlineStr">
        <is>
          <t>RF-108</t>
        </is>
      </c>
      <c r="B112" s="57" t="inlineStr">
        <is>
          <t>Funcional</t>
        </is>
      </c>
      <c r="C112" s="57" t="inlineStr">
        <is>
          <t>NEXO (Asesores)</t>
        </is>
      </c>
      <c r="D112" s="57" t="inlineStr">
        <is>
          <t>Los dos puntos de integración confirmados entre Nexo y Gestores son: (1) radicación de la autorización de salud y (2) consulta del estado de la autorización.</t>
        </is>
      </c>
      <c r="E112" s="54" t="n"/>
      <c r="F112" s="53">
        <f>IF($E112="",0,INDEX($M$5:$M$8,MATCH($E112,$L$5:$L$8,0)))</f>
        <v/>
      </c>
      <c r="G112" s="53">
        <f>IF($F112=0,0,$F112/10)</f>
        <v/>
      </c>
      <c r="H112" s="53">
        <f>IFERROR(INDEX($O$15:$O$29,MATCH($C112,$L$15:$L$29,0)),"🟨 validar")</f>
        <v/>
      </c>
      <c r="I112" s="53" t="n"/>
      <c r="J112" s="53" t="n"/>
    </row>
    <row r="113" ht="30" customHeight="1">
      <c r="A113" s="53" t="inlineStr">
        <is>
          <t>RT-001</t>
        </is>
      </c>
      <c r="B113" s="53" t="inlineStr">
        <is>
          <t>Técnico</t>
        </is>
      </c>
      <c r="C113" s="53" t="inlineStr">
        <is>
          <t>Transversal / Principios generales</t>
        </is>
      </c>
      <c r="D113" s="53" t="inlineStr">
        <is>
          <t>Arquitectura de microservicios, agéntica, dirigida por eventos (EDA), moderna y desacoplada — se acopla a los cores existentes, no los reemplaza.</t>
        </is>
      </c>
      <c r="E113" s="54" t="inlineStr">
        <is>
          <t>XL</t>
        </is>
      </c>
      <c r="F113" s="53">
        <f>IF($E113="",0,INDEX($M$5:$M$8,MATCH($E113,$L$5:$L$8,0)))</f>
        <v/>
      </c>
      <c r="G113" s="53">
        <f>IF($F113=0,0,$F113/10)</f>
        <v/>
      </c>
      <c r="H113" s="53">
        <f>IFERROR(INDEX($O$15:$O$29,MATCH($C113,$L$15:$L$29,0)),"🟨 validar")</f>
        <v/>
      </c>
      <c r="I113" s="53" t="n"/>
      <c r="J113" s="53" t="inlineStr">
        <is>
          <t>Habilitadora</t>
        </is>
      </c>
    </row>
    <row r="114" ht="30" customHeight="1">
      <c r="A114" s="57" t="inlineStr">
        <is>
          <t>RT-002</t>
        </is>
      </c>
      <c r="B114" s="57" t="inlineStr">
        <is>
          <t>Técnico</t>
        </is>
      </c>
      <c r="C114" s="57" t="inlineStr">
        <is>
          <t>Transversal / Principios generales</t>
        </is>
      </c>
      <c r="D114" s="57" t="inlineStr">
        <is>
          <t>El core (SuraHis) debe ser la fuente de la verdad transaccional, no el motor de reglas — principio validado repetidamente por arquitectura.</t>
        </is>
      </c>
      <c r="E114" s="54" t="inlineStr">
        <is>
          <t>S</t>
        </is>
      </c>
      <c r="F114" s="53">
        <f>IF($E114="",0,INDEX($M$5:$M$8,MATCH($E114,$L$5:$L$8,0)))</f>
        <v/>
      </c>
      <c r="G114" s="53">
        <f>IF($F114=0,0,$F114/10)</f>
        <v/>
      </c>
      <c r="H114" s="53">
        <f>IFERROR(INDEX($O$15:$O$29,MATCH($C114,$L$15:$L$29,0)),"🟨 validar")</f>
        <v/>
      </c>
      <c r="I114" s="53" t="n"/>
      <c r="J114" s="53" t="inlineStr">
        <is>
          <t>Habilitadora</t>
        </is>
      </c>
    </row>
    <row r="115" ht="30" customHeight="1">
      <c r="A115" s="106" t="inlineStr">
        <is>
          <t>RT-003</t>
        </is>
      </c>
      <c r="B115" s="106" t="inlineStr">
        <is>
          <t>Técnico</t>
        </is>
      </c>
      <c r="C115" s="106" t="inlineStr">
        <is>
          <t>Transversal / Principios generales</t>
        </is>
      </c>
      <c r="D115" s="106" t="inlineStr">
        <is>
          <t>Riesgo/premisa explícita: el proyecto solo tiene sentido si los cores implementan la capacidad de exponer información vía API a tiempo.</t>
        </is>
      </c>
      <c r="E115" s="107" t="n"/>
      <c r="F115" s="106">
        <f>IF($E115="",0,INDEX($M$5:$M$8,MATCH($E115,$L$5:$L$8,0)))</f>
        <v/>
      </c>
      <c r="G115" s="106">
        <f>IF($F115=0,0,$F115/10)</f>
        <v/>
      </c>
      <c r="H115" s="106">
        <f>IFERROR(INDEX($O$15:$O$29,MATCH($C115,$L$15:$L$29,0)),"🟨 validar")</f>
        <v/>
      </c>
      <c r="I115" s="106" t="inlineStr">
        <is>
          <t>🟥 No es un entregable de construcción sino una premisa de riesgo del proyecto. No se talla; se gestiona como dependencia externa de los cores.</t>
        </is>
      </c>
      <c r="J115" s="53" t="n"/>
    </row>
    <row r="116" ht="30" customHeight="1">
      <c r="A116" s="57" t="inlineStr">
        <is>
          <t>RT-004</t>
        </is>
      </c>
      <c r="B116" s="57" t="inlineStr">
        <is>
          <t>Técnico</t>
        </is>
      </c>
      <c r="C116" s="57" t="inlineStr">
        <is>
          <t>Transversal / Principios generales</t>
        </is>
      </c>
      <c r="D116" s="57" t="inlineStr">
        <is>
          <t>Cada gestor tendría base de datos propia, independiente y desacoplada.</t>
        </is>
      </c>
      <c r="E116" s="54" t="inlineStr">
        <is>
          <t>M</t>
        </is>
      </c>
      <c r="F116" s="53">
        <f>IF($E116="",0,INDEX($M$5:$M$8,MATCH($E116,$L$5:$L$8,0)))</f>
        <v/>
      </c>
      <c r="G116" s="53">
        <f>IF($F116=0,0,$F116/10)</f>
        <v/>
      </c>
      <c r="H116" s="53">
        <f>IFERROR(INDEX($O$15:$O$29,MATCH($C116,$L$15:$L$29,0)),"🟨 validar")</f>
        <v/>
      </c>
      <c r="I116" s="53" t="n"/>
      <c r="J116" s="53" t="inlineStr">
        <is>
          <t>Determinística</t>
        </is>
      </c>
    </row>
    <row r="117" ht="30" customHeight="1">
      <c r="A117" s="53" t="inlineStr">
        <is>
          <t>RT-005</t>
        </is>
      </c>
      <c r="B117" s="53" t="inlineStr">
        <is>
          <t>Técnico</t>
        </is>
      </c>
      <c r="C117" s="53" t="inlineStr">
        <is>
          <t>Transversal / Principios generales</t>
        </is>
      </c>
      <c r="D117" s="53" t="inlineStr">
        <is>
          <t>Se reutiliza la arquitectura de "Siniestro Integral" ( Back, API Gateway, orquestador, storage, colas) como base común de varios gestores.</t>
        </is>
      </c>
      <c r="E117" s="54" t="inlineStr">
        <is>
          <t>L</t>
        </is>
      </c>
      <c r="F117" s="53">
        <f>IF($E117="",0,INDEX($M$5:$M$8,MATCH($E117,$L$5:$L$8,0)))</f>
        <v/>
      </c>
      <c r="G117" s="53">
        <f>IF($F117=0,0,$F117/10)</f>
        <v/>
      </c>
      <c r="H117" s="53">
        <f>IFERROR(INDEX($O$15:$O$29,MATCH($C117,$L$15:$L$29,0)),"🟨 validar")</f>
        <v/>
      </c>
      <c r="I117" s="53" t="n"/>
      <c r="J117" s="53" t="inlineStr">
        <is>
          <t>Determinística</t>
        </is>
      </c>
    </row>
    <row r="118" ht="30" customHeight="1">
      <c r="A118" s="57" t="inlineStr">
        <is>
          <t>RT-006</t>
        </is>
      </c>
      <c r="B118" s="57" t="inlineStr">
        <is>
          <t>Técnico</t>
        </is>
      </c>
      <c r="C118" s="57" t="inlineStr">
        <is>
          <t>Transversal / Principios generales</t>
        </is>
      </c>
      <c r="D118" s="57" t="inlineStr">
        <is>
          <t>Se privilegia un front único reutilizable por canal/actor, en lugar de un front independiente por cada gestor.</t>
        </is>
      </c>
      <c r="E118" s="54" t="inlineStr">
        <is>
          <t>L</t>
        </is>
      </c>
      <c r="F118" s="53">
        <f>IF($E118="",0,INDEX($M$5:$M$8,MATCH($E118,$L$5:$L$8,0)))</f>
        <v/>
      </c>
      <c r="G118" s="53">
        <f>IF($F118=0,0,$F118/10)</f>
        <v/>
      </c>
      <c r="H118" s="53">
        <f>IFERROR(INDEX($O$15:$O$29,MATCH($C118,$L$15:$L$29,0)),"🟨 validar")</f>
        <v/>
      </c>
      <c r="I118" s="53" t="n"/>
      <c r="J118" s="53" t="inlineStr">
        <is>
          <t>Determinística</t>
        </is>
      </c>
    </row>
    <row r="119" ht="30" customHeight="1">
      <c r="A119" s="53" t="inlineStr">
        <is>
          <t>RT-007</t>
        </is>
      </c>
      <c r="B119" s="53" t="inlineStr">
        <is>
          <t>Técnico</t>
        </is>
      </c>
      <c r="C119" s="53" t="inlineStr">
        <is>
          <t>Transversal / Principios generales</t>
        </is>
      </c>
      <c r="D119" s="53" t="inlineStr">
        <is>
          <t>Diferenciación explícita comando (síncrono, se consume y desaparece) vs. evento (inmutable, usado para trazabilidad).</t>
        </is>
      </c>
      <c r="E119" s="54" t="inlineStr">
        <is>
          <t>S</t>
        </is>
      </c>
      <c r="F119" s="53">
        <f>IF($E119="",0,INDEX($M$5:$M$8,MATCH($E119,$L$5:$L$8,0)))</f>
        <v/>
      </c>
      <c r="G119" s="53">
        <f>IF($F119=0,0,$F119/10)</f>
        <v/>
      </c>
      <c r="H119" s="53">
        <f>IFERROR(INDEX($O$15:$O$29,MATCH($C119,$L$15:$L$29,0)),"🟨 validar")</f>
        <v/>
      </c>
      <c r="I119" s="53" t="n"/>
      <c r="J119" s="53" t="inlineStr">
        <is>
          <t>Determinística</t>
        </is>
      </c>
    </row>
    <row r="120" ht="30" customHeight="1">
      <c r="A120" s="105" t="inlineStr">
        <is>
          <t>RT-008</t>
        </is>
      </c>
      <c r="B120" s="105" t="inlineStr">
        <is>
          <t>Técnico</t>
        </is>
      </c>
      <c r="C120" s="105" t="inlineStr">
        <is>
          <t>Gestor de Solicitud</t>
        </is>
      </c>
      <c r="D120" s="105" t="inlineStr">
        <is>
          <t>Front nuevo (Flutter), embebido en Sucursal Virtual Personas, AVA y Portal de Prestadores; reutiliza el back/orquestador de Siniestro Integral.</t>
        </is>
      </c>
      <c r="E120" s="99" t="inlineStr">
        <is>
          <t>XL</t>
        </is>
      </c>
      <c r="F120" s="105">
        <f>IF($E120="",0,INDEX($M$5:$M$8,MATCH($E120,$L$5:$L$8,0)))</f>
        <v/>
      </c>
      <c r="G120" s="105">
        <f>IF($F120=0,0,$F120/10)</f>
        <v/>
      </c>
      <c r="H120" s="105">
        <f>IFERROR(INDEX($O$15:$O$29,MATCH($C120,$L$15:$L$29,0)),"🟨 validar")</f>
        <v/>
      </c>
      <c r="I120" s="105" t="inlineStr">
        <is>
          <t>El equipo confirmó Angular, con lo que se cierra el conflicto: coincide con lo que fija el lineamiento AI First, «La experiencia conversacional se materializa en una Static Web App basada en Angular SPA» (Arquitectura de implementación, página 6243680318). La talla cubre el front nuevo embebido en los dos canales del MVP, Portal Proveedor y SVP; AVA es 2027 y no está incluida.</t>
        </is>
      </c>
      <c r="J120" s="53" t="inlineStr">
        <is>
          <t>Determinística</t>
        </is>
      </c>
    </row>
    <row r="121" ht="30" customHeight="1">
      <c r="A121" s="53" t="inlineStr">
        <is>
          <t>RT-009</t>
        </is>
      </c>
      <c r="B121" s="53" t="inlineStr">
        <is>
          <t>Técnico</t>
        </is>
      </c>
      <c r="C121" s="53" t="inlineStr">
        <is>
          <t>Siniestro Integral</t>
        </is>
      </c>
      <c r="D121" s="53" t="inlineStr">
        <is>
          <t>La habilitación del proceso de Solicitudes de Salud en Siniestro Integral requiere la implementación de capacidades de integración, gestión y consulta de información, junto con adecuaciones en plataformas corporativas existentes, con el fin de asegurar la operación integral, la trazabilidad y la escalabilidad de la solución.</t>
        </is>
      </c>
      <c r="E121" s="54" t="inlineStr">
        <is>
          <t>XL</t>
        </is>
      </c>
      <c r="F121" s="53">
        <f>IF($E121="",0,INDEX($M$5:$M$8,MATCH($E121,$L$5:$L$8,0)))</f>
        <v/>
      </c>
      <c r="G121" s="53">
        <f>IF($F121=0,0,$F121/10)</f>
        <v/>
      </c>
      <c r="H121" s="53">
        <f>IFERROR(INDEX($O$15:$O$29,MATCH($C121,$L$15:$L$29,0)),"🟨 validar")</f>
        <v/>
      </c>
      <c r="I121" s="53" t="n"/>
      <c r="J121" s="53" t="inlineStr">
        <is>
          <t>Determinística</t>
        </is>
      </c>
    </row>
    <row r="122" ht="30" customHeight="1">
      <c r="A122" s="57" t="inlineStr">
        <is>
          <t>RT-010</t>
        </is>
      </c>
      <c r="B122" s="57" t="inlineStr">
        <is>
          <t>Técnico</t>
        </is>
      </c>
      <c r="C122" s="57" t="inlineStr">
        <is>
          <t>Siniestro Integral</t>
        </is>
      </c>
      <c r="D122" s="57" t="inlineStr">
        <is>
          <t>Flujo: Front → Storage temporal de documentos → integración asíncrona con P8</t>
        </is>
      </c>
      <c r="E122" s="54" t="inlineStr">
        <is>
          <t>M</t>
        </is>
      </c>
      <c r="F122" s="53">
        <f>IF($E122="",0,INDEX($M$5:$M$8,MATCH($E122,$L$5:$L$8,0)))</f>
        <v/>
      </c>
      <c r="G122" s="53">
        <f>IF($F122=0,0,$F122/10)</f>
        <v/>
      </c>
      <c r="H122" s="53">
        <f>IFERROR(INDEX($O$15:$O$29,MATCH($C122,$L$15:$L$29,0)),"🟨 validar")</f>
        <v/>
      </c>
      <c r="I122" s="53" t="n"/>
      <c r="J122" s="53" t="inlineStr">
        <is>
          <t>Determinística</t>
        </is>
      </c>
    </row>
    <row r="123" ht="30" customHeight="1">
      <c r="A123" s="53" t="inlineStr">
        <is>
          <t>RT-011</t>
        </is>
      </c>
      <c r="B123" s="53" t="inlineStr">
        <is>
          <t>Técnico</t>
        </is>
      </c>
      <c r="C123" s="53" t="inlineStr">
        <is>
          <t>Gestor de Solicitud</t>
        </is>
      </c>
      <c r="D123" s="53" t="inlineStr">
        <is>
          <t>Comprobación de derechos vía API de SuraHis (no Global Web) — mayor resiliencia y flexibilidad ante cambios futuros de core.</t>
        </is>
      </c>
      <c r="E123" s="54" t="inlineStr">
        <is>
          <t>M</t>
        </is>
      </c>
      <c r="F123" s="53">
        <f>IF($E123="",0,INDEX($M$5:$M$8,MATCH($E123,$L$5:$L$8,0)))</f>
        <v/>
      </c>
      <c r="G123" s="53">
        <f>IF($F123=0,0,$F123/10)</f>
        <v/>
      </c>
      <c r="H123" s="53">
        <f>IFERROR(INDEX($O$15:$O$29,MATCH($C123,$L$15:$L$29,0)),"🟨 validar")</f>
        <v/>
      </c>
      <c r="I123" s="53" t="n"/>
      <c r="J123" s="53" t="inlineStr">
        <is>
          <t>Determinística</t>
        </is>
      </c>
    </row>
    <row r="124" ht="30" customHeight="1">
      <c r="A124" s="106" t="inlineStr">
        <is>
          <t>RT-012</t>
        </is>
      </c>
      <c r="B124" s="106" t="inlineStr">
        <is>
          <t>Técnico</t>
        </is>
      </c>
      <c r="C124" s="106" t="inlineStr">
        <is>
          <t>Gestor de Solicitud</t>
        </is>
      </c>
      <c r="D124" s="106" t="inlineStr">
        <is>
          <t>OCR/IA: LLM multimodal interpreta documentos directamente (15-40 seg); reutiliza el agente de pre-radicación de EPS (~93% de precisión).</t>
        </is>
      </c>
      <c r="E124" s="107" t="n"/>
      <c r="F124" s="106">
        <f>IF($E124="",0,INDEX($M$5:$M$8,MATCH($E124,$L$5:$L$8,0)))</f>
        <v/>
      </c>
      <c r="G124" s="106">
        <f>IF($F124=0,0,$F124/10)</f>
        <v/>
      </c>
      <c r="H124" s="106">
        <f>IFERROR(INDEX($O$15:$O$29,MATCH($C124,$L$15:$L$29,0)),"🟨 validar")</f>
        <v/>
      </c>
      <c r="I124" s="106" t="inlineStr">
        <is>
          <t>🟥 Conflicto con el lineamiento. El requisito dice que un LLM multimodal interpreta los documentos directamente; el stack v0.5 declara Azure Document Intelligence obligatorio para OCR y extracción estructurada (Diseño Datos RAG/Knowledge/Memory, página 5900140571). El esfuerzo cambia según cuál se adopte.</t>
        </is>
      </c>
      <c r="J124" s="53" t="n"/>
    </row>
    <row r="125" ht="30" customHeight="1">
      <c r="A125" s="53" t="inlineStr">
        <is>
          <t>RT-013</t>
        </is>
      </c>
      <c r="B125" s="53" t="inlineStr">
        <is>
          <t>Técnico</t>
        </is>
      </c>
      <c r="C125" s="53" t="inlineStr">
        <is>
          <t>Gestor de Solicitud</t>
        </is>
      </c>
      <c r="D125" s="53" t="inlineStr">
        <is>
          <t>Arquitectura orientada a eventos: quien tiene autoridad sobre la entidad (normalmente SuraHis) es quien emite el evento.</t>
        </is>
      </c>
      <c r="E125" s="54" t="inlineStr">
        <is>
          <t>S</t>
        </is>
      </c>
      <c r="F125" s="53">
        <f>IF($E125="",0,INDEX($M$5:$M$8,MATCH($E125,$L$5:$L$8,0)))</f>
        <v/>
      </c>
      <c r="G125" s="53">
        <f>IF($F125=0,0,$F125/10)</f>
        <v/>
      </c>
      <c r="H125" s="53">
        <f>IFERROR(INDEX($O$15:$O$29,MATCH($C125,$L$15:$L$29,0)),"🟨 validar")</f>
        <v/>
      </c>
      <c r="I125" s="53" t="n"/>
      <c r="J125" s="53" t="inlineStr">
        <is>
          <t>Determinística</t>
        </is>
      </c>
    </row>
    <row r="126" ht="30" customHeight="1">
      <c r="A126" s="57" t="inlineStr">
        <is>
          <t>RT-014</t>
        </is>
      </c>
      <c r="B126" s="57" t="inlineStr">
        <is>
          <t>Técnico</t>
        </is>
      </c>
      <c r="C126" s="57" t="inlineStr">
        <is>
          <t>Gestor de Solicitud</t>
        </is>
      </c>
      <c r="D126" s="57" t="inlineStr">
        <is>
          <t xml:space="preserve">Integración con NEXO vía API (patrón API First) </t>
        </is>
      </c>
      <c r="E126" s="54" t="n"/>
      <c r="F126" s="53">
        <f>IF($E126="",0,INDEX($M$5:$M$8,MATCH($E126,$L$5:$L$8,0)))</f>
        <v/>
      </c>
      <c r="G126" s="53">
        <f>IF($F126=0,0,$F126/10)</f>
        <v/>
      </c>
      <c r="H126" s="53">
        <f>IFERROR(INDEX($O$15:$O$29,MATCH($C126,$L$15:$L$29,0)),"🟨 validar")</f>
        <v/>
      </c>
      <c r="I126" s="53" t="n"/>
      <c r="J126" s="53" t="n"/>
    </row>
    <row r="127" ht="30" customHeight="1">
      <c r="A127" s="53" t="inlineStr">
        <is>
          <t>RT-015</t>
        </is>
      </c>
      <c r="B127" s="53" t="inlineStr">
        <is>
          <t>Técnico</t>
        </is>
      </c>
      <c r="C127" s="53" t="inlineStr">
        <is>
          <t>Gestor de Solicitud</t>
        </is>
      </c>
      <c r="D127" s="53" t="inlineStr">
        <is>
          <t>Custodia temporal de historia clínica/orden médica en componente propio.</t>
        </is>
      </c>
      <c r="E127" s="54" t="inlineStr">
        <is>
          <t>M</t>
        </is>
      </c>
      <c r="F127" s="53">
        <f>IF($E127="",0,INDEX($M$5:$M$8,MATCH($E127,$L$5:$L$8,0)))</f>
        <v/>
      </c>
      <c r="G127" s="53">
        <f>IF($F127=0,0,$F127/10)</f>
        <v/>
      </c>
      <c r="H127" s="53">
        <f>IFERROR(INDEX($O$15:$O$29,MATCH($C127,$L$15:$L$29,0)),"🟨 validar")</f>
        <v/>
      </c>
      <c r="I127" s="53" t="n"/>
      <c r="J127" s="53" t="inlineStr">
        <is>
          <t>Determinística</t>
        </is>
      </c>
    </row>
    <row r="128" ht="30" customHeight="1">
      <c r="A128" s="106" t="inlineStr">
        <is>
          <t>RT-016</t>
        </is>
      </c>
      <c r="B128" s="106" t="inlineStr">
        <is>
          <t>Técnico</t>
        </is>
      </c>
      <c r="C128" s="106" t="inlineStr">
        <is>
          <t>Gestor de Solicitud</t>
        </is>
      </c>
      <c r="D128" s="106" t="inlineStr">
        <is>
          <t>Riesgo técnico abierto: Super App en Google Cloud vs. resto del ecosistema en Azure.</t>
        </is>
      </c>
      <c r="E128" s="107" t="n"/>
      <c r="F128" s="106">
        <f>IF($E128="",0,INDEX($M$5:$M$8,MATCH($E128,$L$5:$L$8,0)))</f>
        <v/>
      </c>
      <c r="G128" s="106">
        <f>IF($F128=0,0,$F128/10)</f>
        <v/>
      </c>
      <c r="H128" s="106">
        <f>IFERROR(INDEX($O$15:$O$29,MATCH($C128,$L$15:$L$29,0)),"🟨 validar")</f>
        <v/>
      </c>
      <c r="I128" s="106" t="inlineStr">
        <is>
          <t>🟥 Riesgo abierto, no entregable: la Super App opera en Google Cloud y el resto del ecosistema en Azure. Afecta a dos canales dibujados en el MVP. Requiere decisión de arquitectura antes de poder tallarlo.</t>
        </is>
      </c>
      <c r="J128" s="53" t="n"/>
    </row>
    <row r="129" ht="30" customHeight="1">
      <c r="A129" s="53" t="inlineStr">
        <is>
          <t>RT-017</t>
        </is>
      </c>
      <c r="B129" s="53" t="inlineStr">
        <is>
          <t>Técnico</t>
        </is>
      </c>
      <c r="C129" s="53" t="inlineStr">
        <is>
          <t>Gestor de Evaluación</t>
        </is>
      </c>
      <c r="D129" s="53" t="inlineStr">
        <is>
          <t>Consume la información ya extraída y estructurada por el gestor de Solicitud — no relee los documentos originales.</t>
        </is>
      </c>
      <c r="E129" s="54" t="inlineStr">
        <is>
          <t>S</t>
        </is>
      </c>
      <c r="F129" s="53">
        <f>IF($E129="",0,INDEX($M$5:$M$8,MATCH($E129,$L$5:$L$8,0)))</f>
        <v/>
      </c>
      <c r="G129" s="53">
        <f>IF($F129=0,0,$F129/10)</f>
        <v/>
      </c>
      <c r="H129" s="53">
        <f>IFERROR(INDEX($O$15:$O$29,MATCH($C129,$L$15:$L$29,0)),"🟨 validar")</f>
        <v/>
      </c>
      <c r="I129" s="53" t="n"/>
      <c r="J129" s="53" t="inlineStr">
        <is>
          <t>Agéntica</t>
        </is>
      </c>
    </row>
    <row r="130" ht="30" customHeight="1">
      <c r="A130" s="57" t="inlineStr">
        <is>
          <t>RT-018</t>
        </is>
      </c>
      <c r="B130" s="57" t="inlineStr">
        <is>
          <t>Técnico</t>
        </is>
      </c>
      <c r="C130" s="57" t="inlineStr">
        <is>
          <t>Gestor de Evaluación</t>
        </is>
      </c>
      <c r="D130" s="57" t="inlineStr">
        <is>
          <t>Debe consultar políticas/reglas a SuraHis manteniendo también reglas propias de agente (modelo híbrido).</t>
        </is>
      </c>
      <c r="E130" s="54" t="inlineStr">
        <is>
          <t>L</t>
        </is>
      </c>
      <c r="F130" s="53">
        <f>IF($E130="",0,INDEX($M$5:$M$8,MATCH($E130,$L$5:$L$8,0)))</f>
        <v/>
      </c>
      <c r="G130" s="53">
        <f>IF($F130=0,0,$F130/10)</f>
        <v/>
      </c>
      <c r="H130" s="53">
        <f>IFERROR(INDEX($O$15:$O$29,MATCH($C130,$L$15:$L$29,0)),"🟨 validar")</f>
        <v/>
      </c>
      <c r="I130" s="53" t="n"/>
      <c r="J130" s="53" t="inlineStr">
        <is>
          <t>Agéntica</t>
        </is>
      </c>
    </row>
    <row r="131" ht="30" customHeight="1">
      <c r="A131" s="106" t="inlineStr">
        <is>
          <t>RT-019</t>
        </is>
      </c>
      <c r="B131" s="106" t="inlineStr">
        <is>
          <t>Técnico</t>
        </is>
      </c>
      <c r="C131" s="106" t="inlineStr">
        <is>
          <t>Gestor de Evaluación</t>
        </is>
      </c>
      <c r="D131" s="106" t="inlineStr">
        <is>
          <t>Debe consultar políticas/reglas a SuraHis manteniendo también reglas propias de agente (modelo híbrido).</t>
        </is>
      </c>
      <c r="E131" s="107" t="n"/>
      <c r="F131" s="106">
        <f>IF($E131="",0,INDEX($M$5:$M$8,MATCH($E131,$L$5:$L$8,0)))</f>
        <v/>
      </c>
      <c r="G131" s="106">
        <f>IF($F131=0,0,$F131/10)</f>
        <v/>
      </c>
      <c r="H131" s="106">
        <f>IFERROR(INDEX($O$15:$O$29,MATCH($C131,$L$15:$L$29,0)),"🟨 validar")</f>
        <v/>
      </c>
      <c r="I131" s="106" t="inlineStr">
        <is>
          <t>🟥 Duplicado exacto de RT-018. Se deja sin tallar para no contar dos veces el mismo esfuerzo; conviene eliminarlo o diferenciarlo.</t>
        </is>
      </c>
      <c r="J131" s="53" t="n"/>
    </row>
    <row r="132" ht="30" customHeight="1">
      <c r="A132" s="57" t="inlineStr">
        <is>
          <t>RT-020</t>
        </is>
      </c>
      <c r="B132" s="57" t="inlineStr">
        <is>
          <t>Técnico</t>
        </is>
      </c>
      <c r="C132" s="57" t="inlineStr">
        <is>
          <t>Gestor de Evaluación</t>
        </is>
      </c>
      <c r="D132" s="57" t="inlineStr">
        <is>
          <t>Arquitectura híbrida multiagente propuesta: agente determinístico (coberturas/exclusiones)  + agente LLM (pertinencia médica).</t>
        </is>
      </c>
      <c r="E132" s="54" t="inlineStr">
        <is>
          <t>L</t>
        </is>
      </c>
      <c r="F132" s="53">
        <f>IF($E132="",0,INDEX($M$5:$M$8,MATCH($E132,$L$5:$L$8,0)))</f>
        <v/>
      </c>
      <c r="G132" s="53">
        <f>IF($F132=0,0,$F132/10)</f>
        <v/>
      </c>
      <c r="H132" s="53">
        <f>IFERROR(INDEX($O$15:$O$29,MATCH($C132,$L$15:$L$29,0)),"🟨 validar")</f>
        <v/>
      </c>
      <c r="I132" s="53" t="n"/>
      <c r="J132" s="53" t="inlineStr">
        <is>
          <t>Agéntica</t>
        </is>
      </c>
    </row>
    <row r="133" ht="30" customHeight="1">
      <c r="A133" s="53" t="inlineStr">
        <is>
          <t>RT-021</t>
        </is>
      </c>
      <c r="B133" s="53" t="inlineStr">
        <is>
          <t>Técnico</t>
        </is>
      </c>
      <c r="C133" s="53" t="inlineStr">
        <is>
          <t>Gestor de Evaluación</t>
        </is>
      </c>
      <c r="D133" s="53" t="inlineStr">
        <is>
          <t>Las negaciones nunca serán ejecutadas automáticamente por el Gestor de Evaluación ni por modelos de IA. Toda negación debe ser una decisión determinística, trazable y auditable, gestionada a través de una bandeja manual</t>
        </is>
      </c>
      <c r="E133" s="54" t="inlineStr">
        <is>
          <t>M</t>
        </is>
      </c>
      <c r="F133" s="53">
        <f>IF($E133="",0,INDEX($M$5:$M$8,MATCH($E133,$L$5:$L$8,0)))</f>
        <v/>
      </c>
      <c r="G133" s="53">
        <f>IF($F133=0,0,$F133/10)</f>
        <v/>
      </c>
      <c r="H133" s="53">
        <f>IFERROR(INDEX($O$15:$O$29,MATCH($C133,$L$15:$L$29,0)),"🟨 validar")</f>
        <v/>
      </c>
      <c r="I133" s="53" t="n"/>
      <c r="J133" s="53" t="inlineStr">
        <is>
          <t>Habilitadora</t>
        </is>
      </c>
    </row>
    <row r="134" ht="30" customHeight="1">
      <c r="A134" s="57" t="inlineStr">
        <is>
          <t>RT-022</t>
        </is>
      </c>
      <c r="B134" s="57" t="inlineStr">
        <is>
          <t>Técnico</t>
        </is>
      </c>
      <c r="C134" s="57" t="inlineStr">
        <is>
          <t>Gestor de Coordinación</t>
        </is>
      </c>
      <c r="D134" s="57" t="inlineStr">
        <is>
          <t>Arranca con motor 100% determinístico (reglas duras de elegibilidad, convenios, capacidad, ubicación y costo).</t>
        </is>
      </c>
      <c r="E134" s="54" t="n"/>
      <c r="F134" s="53">
        <f>IF($E134="",0,INDEX($M$5:$M$8,MATCH($E134,$L$5:$L$8,0)))</f>
        <v/>
      </c>
      <c r="G134" s="53">
        <f>IF($F134=0,0,$F134/10)</f>
        <v/>
      </c>
      <c r="H134" s="53">
        <f>IFERROR(INDEX($O$15:$O$29,MATCH($C134,$L$15:$L$29,0)),"🟨 validar")</f>
        <v/>
      </c>
      <c r="I134" s="53" t="n"/>
      <c r="J134" s="53" t="n"/>
    </row>
    <row r="135" ht="30" customHeight="1">
      <c r="A135" s="53" t="inlineStr">
        <is>
          <t>RT-023</t>
        </is>
      </c>
      <c r="B135" s="53" t="inlineStr">
        <is>
          <t>Técnico</t>
        </is>
      </c>
      <c r="C135" s="53" t="inlineStr">
        <is>
          <t>Gestor de Coordinación</t>
        </is>
      </c>
      <c r="D135" s="53" t="inlineStr">
        <is>
          <t>LLM reservado solo para casos no estructurados o de explicación — no es prioridad para el arranque.</t>
        </is>
      </c>
      <c r="E135" s="54" t="n"/>
      <c r="F135" s="53">
        <f>IF($E135="",0,INDEX($M$5:$M$8,MATCH($E135,$L$5:$L$8,0)))</f>
        <v/>
      </c>
      <c r="G135" s="53">
        <f>IF($F135=0,0,$F135/10)</f>
        <v/>
      </c>
      <c r="H135" s="53">
        <f>IFERROR(INDEX($O$15:$O$29,MATCH($C135,$L$15:$L$29,0)),"🟨 validar")</f>
        <v/>
      </c>
      <c r="I135" s="53" t="n"/>
      <c r="J135" s="53" t="n"/>
    </row>
    <row r="136" ht="30" customHeight="1">
      <c r="A136" s="57" t="inlineStr">
        <is>
          <t>RT-024</t>
        </is>
      </c>
      <c r="B136" s="57" t="inlineStr">
        <is>
          <t>Técnico</t>
        </is>
      </c>
      <c r="C136" s="57" t="inlineStr">
        <is>
          <t>Gestor de Coordinación</t>
        </is>
      </c>
      <c r="D136" s="57" t="inlineStr">
        <is>
          <t>Niveles de madurez agéntica: Nivel 1 determinístico → Nivel 2 + asistente explicativo → Nivel 3 agente autónomo (futuro, fuera de alcance actual).</t>
        </is>
      </c>
      <c r="E136" s="54" t="n"/>
      <c r="F136" s="53">
        <f>IF($E136="",0,INDEX($M$5:$M$8,MATCH($E136,$L$5:$L$8,0)))</f>
        <v/>
      </c>
      <c r="G136" s="53">
        <f>IF($F136=0,0,$F136/10)</f>
        <v/>
      </c>
      <c r="H136" s="53">
        <f>IFERROR(INDEX($O$15:$O$29,MATCH($C136,$L$15:$L$29,0)),"🟨 validar")</f>
        <v/>
      </c>
      <c r="I136" s="53" t="n"/>
      <c r="J136" s="53" t="n"/>
    </row>
    <row r="137" ht="30" customHeight="1">
      <c r="A137" s="53" t="inlineStr">
        <is>
          <t>RT-025</t>
        </is>
      </c>
      <c r="B137" s="53" t="inlineStr">
        <is>
          <t>Técnico</t>
        </is>
      </c>
      <c r="C137" s="53" t="inlineStr">
        <is>
          <t>Gestor de Coordinación</t>
        </is>
      </c>
      <c r="D137" s="53" t="inlineStr">
        <is>
          <t>Integración con prestadores externos preferiblemente vía API con retroalimentación de estados.</t>
        </is>
      </c>
      <c r="E137" s="54" t="n"/>
      <c r="F137" s="53">
        <f>IF($E137="",0,INDEX($M$5:$M$8,MATCH($E137,$L$5:$L$8,0)))</f>
        <v/>
      </c>
      <c r="G137" s="53">
        <f>IF($F137=0,0,$F137/10)</f>
        <v/>
      </c>
      <c r="H137" s="53">
        <f>IFERROR(INDEX($O$15:$O$29,MATCH($C137,$L$15:$L$29,0)),"🟨 validar")</f>
        <v/>
      </c>
      <c r="I137" s="53" t="n"/>
      <c r="J137" s="53" t="n"/>
    </row>
    <row r="138" ht="30" customHeight="1">
      <c r="A138" s="57" t="inlineStr">
        <is>
          <t>RT-026</t>
        </is>
      </c>
      <c r="B138" s="57" t="inlineStr">
        <is>
          <t>Técnico</t>
        </is>
      </c>
      <c r="C138" s="57" t="inlineStr">
        <is>
          <t>Gestor de Coordinación</t>
        </is>
      </c>
      <c r="D138" s="57" t="inlineStr">
        <is>
          <t>Bandeja "human in the loop" para casos donde ni las reglas ni la recomendación logran asignar un prestador.</t>
        </is>
      </c>
      <c r="E138" s="54" t="n"/>
      <c r="F138" s="53">
        <f>IF($E138="",0,INDEX($M$5:$M$8,MATCH($E138,$L$5:$L$8,0)))</f>
        <v/>
      </c>
      <c r="G138" s="53">
        <f>IF($F138=0,0,$F138/10)</f>
        <v/>
      </c>
      <c r="H138" s="53">
        <f>IFERROR(INDEX($O$15:$O$29,MATCH($C138,$L$15:$L$29,0)),"🟨 validar")</f>
        <v/>
      </c>
      <c r="I138" s="53" t="n"/>
      <c r="J138" s="53" t="n"/>
    </row>
    <row r="139" ht="30" customHeight="1">
      <c r="A139" s="53" t="inlineStr">
        <is>
          <t>RT-027</t>
        </is>
      </c>
      <c r="B139" s="53" t="inlineStr">
        <is>
          <t>Técnico</t>
        </is>
      </c>
      <c r="C139" s="53" t="inlineStr">
        <is>
          <t>Gestor de Coordinación</t>
        </is>
      </c>
      <c r="D139" s="53" t="inlineStr">
        <is>
          <t>Es uno de los gestores menos profundizados técnicamente a la fecha — "no se ha hecho zoom" todavía.</t>
        </is>
      </c>
      <c r="E139" s="54" t="n"/>
      <c r="F139" s="53">
        <f>IF($E139="",0,INDEX($M$5:$M$8,MATCH($E139,$L$5:$L$8,0)))</f>
        <v/>
      </c>
      <c r="G139" s="53">
        <f>IF($F139=0,0,$F139/10)</f>
        <v/>
      </c>
      <c r="H139" s="53">
        <f>IFERROR(INDEX($O$15:$O$29,MATCH($C139,$L$15:$L$29,0)),"🟨 validar")</f>
        <v/>
      </c>
      <c r="I139" s="53" t="n"/>
      <c r="J139" s="53" t="n"/>
    </row>
    <row r="140" ht="30" customHeight="1">
      <c r="A140" s="57" t="inlineStr">
        <is>
          <t>RT-028</t>
        </is>
      </c>
      <c r="B140" s="57" t="inlineStr">
        <is>
          <t>Técnico</t>
        </is>
      </c>
      <c r="C140" s="57" t="inlineStr">
        <is>
          <t>Gestor de Prestación</t>
        </is>
      </c>
      <c r="D140" s="57" t="inlineStr">
        <is>
          <t>Integración con clave dinámica (doble factor) como mecanismo de confirmación de la atención efectiva.</t>
        </is>
      </c>
      <c r="E140" s="54" t="n"/>
      <c r="F140" s="53">
        <f>IF($E140="",0,INDEX($M$5:$M$8,MATCH($E140,$L$5:$L$8,0)))</f>
        <v/>
      </c>
      <c r="G140" s="53">
        <f>IF($F140=0,0,$F140/10)</f>
        <v/>
      </c>
      <c r="H140" s="53">
        <f>IFERROR(INDEX($O$15:$O$29,MATCH($C140,$L$15:$L$29,0)),"🟨 validar")</f>
        <v/>
      </c>
      <c r="I140" s="53" t="n"/>
      <c r="J140" s="53" t="n"/>
    </row>
    <row r="141" ht="30" customHeight="1">
      <c r="A141" s="53" t="inlineStr">
        <is>
          <t>RT-029</t>
        </is>
      </c>
      <c r="B141" s="53" t="inlineStr">
        <is>
          <t>Técnico</t>
        </is>
      </c>
      <c r="C141" s="53" t="inlineStr">
        <is>
          <t>Gestor de Prestación</t>
        </is>
      </c>
      <c r="D141" s="53" t="inlineStr">
        <is>
          <t>Sin arquitectura técnica profundizada — reconocido explícitamente por el equipo de arquitectura.</t>
        </is>
      </c>
      <c r="E141" s="54" t="n"/>
      <c r="F141" s="53">
        <f>IF($E141="",0,INDEX($M$5:$M$8,MATCH($E141,$L$5:$L$8,0)))</f>
        <v/>
      </c>
      <c r="G141" s="53">
        <f>IF($F141=0,0,$F141/10)</f>
        <v/>
      </c>
      <c r="H141" s="53">
        <f>IFERROR(INDEX($O$15:$O$29,MATCH($C141,$L$15:$L$29,0)),"🟨 validar")</f>
        <v/>
      </c>
      <c r="I141" s="53" t="n"/>
      <c r="J141" s="53" t="n"/>
    </row>
    <row r="142" ht="30" customHeight="1">
      <c r="A142" s="57" t="inlineStr">
        <is>
          <t>RT-030</t>
        </is>
      </c>
      <c r="B142" s="57" t="inlineStr">
        <is>
          <t>Técnico</t>
        </is>
      </c>
      <c r="C142" s="57" t="inlineStr">
        <is>
          <t>Gestor de Monitoreo (Torre de Control)</t>
        </is>
      </c>
      <c r="D142" s="57" t="inlineStr">
        <is>
          <t>Arquitectura orientada a eventos (EDA): consume eventos de todos los gestores y cores, incluida SuraHis.</t>
        </is>
      </c>
      <c r="E142" s="54" t="inlineStr">
        <is>
          <t>L</t>
        </is>
      </c>
      <c r="F142" s="53">
        <f>IF($E142="",0,INDEX($M$5:$M$8,MATCH($E142,$L$5:$L$8,0)))</f>
        <v/>
      </c>
      <c r="G142" s="53">
        <f>IF($F142=0,0,$F142/10)</f>
        <v/>
      </c>
      <c r="H142" s="53">
        <f>IFERROR(INDEX($O$15:$O$29,MATCH($C142,$L$15:$L$29,0)),"🟨 validar")</f>
        <v/>
      </c>
      <c r="I142" s="53" t="n"/>
      <c r="J142" s="53" t="inlineStr">
        <is>
          <t>Determinística</t>
        </is>
      </c>
    </row>
    <row r="143" ht="30" customHeight="1">
      <c r="A143" s="53" t="inlineStr">
        <is>
          <t>RT-031</t>
        </is>
      </c>
      <c r="B143" s="53" t="inlineStr">
        <is>
          <t>Técnico</t>
        </is>
      </c>
      <c r="C143" s="53" t="inlineStr">
        <is>
          <t>Gestor de Monitoreo (Torre de Control)</t>
        </is>
      </c>
      <c r="D143" s="53" t="inlineStr">
        <is>
          <t>El almacenamiento de eventos vive en un bus/componente dedicado, no exclusivo de este gestor — múltiples consumidores pueden leerlo.</t>
        </is>
      </c>
      <c r="E143" s="54" t="inlineStr">
        <is>
          <t>M</t>
        </is>
      </c>
      <c r="F143" s="53">
        <f>IF($E143="",0,INDEX($M$5:$M$8,MATCH($E143,$L$5:$L$8,0)))</f>
        <v/>
      </c>
      <c r="G143" s="53">
        <f>IF($F143=0,0,$F143/10)</f>
        <v/>
      </c>
      <c r="H143" s="53">
        <f>IFERROR(INDEX($O$15:$O$29,MATCH($C143,$L$15:$L$29,0)),"🟨 validar")</f>
        <v/>
      </c>
      <c r="I143" s="53" t="n"/>
      <c r="J143" s="53" t="inlineStr">
        <is>
          <t>Determinística</t>
        </is>
      </c>
    </row>
    <row r="144" ht="30" customHeight="1">
      <c r="A144" s="57" t="inlineStr">
        <is>
          <t>RT-032</t>
        </is>
      </c>
      <c r="B144" s="57" t="inlineStr">
        <is>
          <t>Técnico</t>
        </is>
      </c>
      <c r="C144" s="57" t="inlineStr">
        <is>
          <t>Gestor de Monitoreo (Torre de Control)</t>
        </is>
      </c>
      <c r="D144" s="57" t="inlineStr">
        <is>
          <t>Pendiente definir si se expone una API única con filtrado por perfil o múltiples APIs por actor.</t>
        </is>
      </c>
      <c r="E144" s="54" t="n"/>
      <c r="F144" s="53">
        <f>IF($E144="",0,INDEX($M$5:$M$8,MATCH($E144,$L$5:$L$8,0)))</f>
        <v/>
      </c>
      <c r="G144" s="53">
        <f>IF($F144=0,0,$F144/10)</f>
        <v/>
      </c>
      <c r="H144" s="53">
        <f>IFERROR(INDEX($O$15:$O$29,MATCH($C144,$L$15:$L$29,0)),"🟨 validar")</f>
        <v/>
      </c>
      <c r="I144" s="53" t="n"/>
      <c r="J144" s="53" t="n"/>
    </row>
    <row r="145" ht="30" customHeight="1">
      <c r="A145" s="53" t="inlineStr">
        <is>
          <t>RT-033</t>
        </is>
      </c>
      <c r="B145" s="53" t="inlineStr">
        <is>
          <t>Técnico</t>
        </is>
      </c>
      <c r="C145" s="53" t="inlineStr">
        <is>
          <t>Gestor de Monitoreo (Torre de Control)</t>
        </is>
      </c>
      <c r="D145" s="53" t="inlineStr">
        <is>
          <t>Reto de integración en tiempo real con prestadores — hoy no existe (solo portal con interacción manual).</t>
        </is>
      </c>
      <c r="E145" s="54" t="n"/>
      <c r="F145" s="53">
        <f>IF($E145="",0,INDEX($M$5:$M$8,MATCH($E145,$L$5:$L$8,0)))</f>
        <v/>
      </c>
      <c r="G145" s="53">
        <f>IF($F145=0,0,$F145/10)</f>
        <v/>
      </c>
      <c r="H145" s="53">
        <f>IFERROR(INDEX($O$15:$O$29,MATCH($C145,$L$15:$L$29,0)),"🟨 validar")</f>
        <v/>
      </c>
      <c r="I145" s="53" t="n"/>
      <c r="J145" s="53" t="n"/>
    </row>
    <row r="146" ht="30" customHeight="1">
      <c r="A146" s="57" t="inlineStr">
        <is>
          <t>RT-034</t>
        </is>
      </c>
      <c r="B146" s="57" t="inlineStr">
        <is>
          <t>Técnico</t>
        </is>
      </c>
      <c r="C146" s="57" t="inlineStr">
        <is>
          <t>Gestor de Monitoreo (Torre de Control)</t>
        </is>
      </c>
      <c r="D146" s="57" t="inlineStr">
        <is>
          <t>Datalake de autorizaciones como entregable técnico del Release 3 (feb-abr 2027), con apoyo del arquitecto de datos.</t>
        </is>
      </c>
      <c r="E146" s="54" t="n"/>
      <c r="F146" s="53">
        <f>IF($E146="",0,INDEX($M$5:$M$8,MATCH($E146,$L$5:$L$8,0)))</f>
        <v/>
      </c>
      <c r="G146" s="53">
        <f>IF($F146=0,0,$F146/10)</f>
        <v/>
      </c>
      <c r="H146" s="53">
        <f>IFERROR(INDEX($O$15:$O$29,MATCH($C146,$L$15:$L$29,0)),"🟨 validar")</f>
        <v/>
      </c>
      <c r="I146" s="53" t="n"/>
      <c r="J146" s="53" t="n"/>
    </row>
    <row r="147" ht="30" customHeight="1">
      <c r="A147" s="53" t="inlineStr">
        <is>
          <t>RT-035</t>
        </is>
      </c>
      <c r="B147" s="53" t="inlineStr">
        <is>
          <t>Técnico</t>
        </is>
      </c>
      <c r="C147" s="53" t="inlineStr">
        <is>
          <t>Gestor de Finalización</t>
        </is>
      </c>
      <c r="D147" s="53" t="inlineStr">
        <is>
          <t>Excluye explícitamente las "reglas de pago automático" (corresponden a Cuentas Médicas, fuera del MVP).</t>
        </is>
      </c>
      <c r="E147" s="54" t="n"/>
      <c r="F147" s="53">
        <f>IF($E147="",0,INDEX($M$5:$M$8,MATCH($E147,$L$5:$L$8,0)))</f>
        <v/>
      </c>
      <c r="G147" s="53">
        <f>IF($F147=0,0,$F147/10)</f>
        <v/>
      </c>
      <c r="H147" s="53">
        <f>IFERROR(INDEX($O$15:$O$29,MATCH($C147,$L$15:$L$29,0)),"🟨 validar")</f>
        <v/>
      </c>
      <c r="I147" s="53" t="n"/>
      <c r="J147" s="53" t="n"/>
    </row>
    <row r="148" ht="30" customHeight="1">
      <c r="A148" s="57" t="inlineStr">
        <is>
          <t>RT-036</t>
        </is>
      </c>
      <c r="B148" s="57" t="inlineStr">
        <is>
          <t>Técnico</t>
        </is>
      </c>
      <c r="C148" s="57" t="inlineStr">
        <is>
          <t>Gestor de Finalización</t>
        </is>
      </c>
      <c r="D148" s="57" t="inlineStr">
        <is>
          <t>Sin arquitectura ni componentes técnicos Por Validars en ninguna de las fuentes revisadas a la fecha.</t>
        </is>
      </c>
      <c r="E148" s="54" t="n"/>
      <c r="F148" s="53">
        <f>IF($E148="",0,INDEX($M$5:$M$8,MATCH($E148,$L$5:$L$8,0)))</f>
        <v/>
      </c>
      <c r="G148" s="53">
        <f>IF($F148=0,0,$F148/10)</f>
        <v/>
      </c>
      <c r="H148" s="53">
        <f>IFERROR(INDEX($O$15:$O$29,MATCH($C148,$L$15:$L$29,0)),"🟨 validar")</f>
        <v/>
      </c>
      <c r="I148" s="53" t="n"/>
      <c r="J148" s="53" t="n"/>
    </row>
    <row r="149" ht="30" customHeight="1">
      <c r="A149" s="106" t="inlineStr">
        <is>
          <t>RT-037</t>
        </is>
      </c>
      <c r="B149" s="106" t="inlineStr">
        <is>
          <t>Técnico</t>
        </is>
      </c>
      <c r="C149" s="106" t="inlineStr">
        <is>
          <t>Transversal / Principios generales</t>
        </is>
      </c>
      <c r="D149" s="106" t="inlineStr">
        <is>
          <t>Toda estimación presentada a patrocinadores en fase de estructuración debe declarar explícitamente un margen de incertidumbre del 30%.</t>
        </is>
      </c>
      <c r="E149" s="107" t="n"/>
      <c r="F149" s="106">
        <f>IF($E149="",0,INDEX($M$5:$M$8,MATCH($E149,$L$5:$L$8,0)))</f>
        <v/>
      </c>
      <c r="G149" s="106">
        <f>IF($F149=0,0,$F149/10)</f>
        <v/>
      </c>
      <c r="H149" s="106">
        <f>IFERROR(INDEX($O$15:$O$29,MATCH($C149,$L$15:$L$29,0)),"🟨 validar")</f>
        <v/>
      </c>
      <c r="I149" s="106" t="inlineStr">
        <is>
          <t>🟥 No es un entregable de construcción: es la regla de presentación de la estimación (declarar un 30% de incertidumbre ante patrocinadores). El equipo decidió estimar sin aplicar ese margen, así que la suma de esta hoja va sin él. No se talla.</t>
        </is>
      </c>
      <c r="J149" s="53" t="n"/>
    </row>
    <row r="150" ht="30" customHeight="1">
      <c r="A150" s="106" t="inlineStr">
        <is>
          <t>RT-038</t>
        </is>
      </c>
      <c r="B150" s="106" t="inlineStr">
        <is>
          <t>Técnico</t>
        </is>
      </c>
      <c r="C150" s="106" t="inlineStr">
        <is>
          <t>Transversal / Principios generales</t>
        </is>
      </c>
      <c r="D150" s="106" t="inlineStr">
        <is>
          <t>El backlog se talla con escala estándar M≈5 días (medio sprint), L≈10 días (1 sprint), XL≈20 días (2 sprints), aplicada de forma consistente entre gestores para poder comparar esfuerzo.</t>
        </is>
      </c>
      <c r="E150" s="107" t="n"/>
      <c r="F150" s="106">
        <f>IF($E150="",0,INDEX($M$5:$M$8,MATCH($E150,$L$5:$L$8,0)))</f>
        <v/>
      </c>
      <c r="G150" s="106">
        <f>IF($F150=0,0,$F150/10)</f>
        <v/>
      </c>
      <c r="H150" s="106">
        <f>IFERROR(INDEX($O$15:$O$29,MATCH($C150,$L$15:$L$29,0)),"🟨 validar")</f>
        <v/>
      </c>
      <c r="I150" s="106" t="inlineStr">
        <is>
          <t>🟥 No es un entregable: es la propia escala de tallaje que usa esta hoja (M≈5, L≈10, XL≈20). Aplica a este ejercicio, no se talla.</t>
        </is>
      </c>
      <c r="J150" s="53" t="n"/>
    </row>
    <row r="151" ht="30" customHeight="1">
      <c r="A151" s="53" t="inlineStr">
        <is>
          <t>RT-039</t>
        </is>
      </c>
      <c r="B151" s="53" t="inlineStr">
        <is>
          <t>Técnico</t>
        </is>
      </c>
      <c r="C151" s="53" t="inlineStr">
        <is>
          <t>Interoperabilidad (Prestadores)</t>
        </is>
      </c>
      <c r="D151" s="53" t="inlineStr">
        <is>
          <t>El modelo de eventos de interoperabilidad de historia clínica migra hacia una arquitectura 2.0 orientada a eventos (colas por suscripción/webhooks), desde la arquitectura tradicional de microservicios; hoy conecta 6 prestadores de ayuda diagnóstica externa.</t>
        </is>
      </c>
      <c r="E151" s="54" t="n"/>
      <c r="F151" s="53">
        <f>IF($E151="",0,INDEX($M$5:$M$8,MATCH($E151,$L$5:$L$8,0)))</f>
        <v/>
      </c>
      <c r="G151" s="53">
        <f>IF($F151=0,0,$F151/10)</f>
        <v/>
      </c>
      <c r="H151" s="53">
        <f>IFERROR(INDEX($O$15:$O$29,MATCH($C151,$L$15:$L$29,0)),"🟨 validar")</f>
        <v/>
      </c>
      <c r="I151" s="53" t="n"/>
      <c r="J151" s="53" t="n"/>
    </row>
    <row r="152" ht="30" customHeight="1">
      <c r="A152" s="57" t="inlineStr">
        <is>
          <t>RT-040</t>
        </is>
      </c>
      <c r="B152" s="57" t="inlineStr">
        <is>
          <t>Técnico</t>
        </is>
      </c>
      <c r="C152" s="57" t="inlineStr">
        <is>
          <t>Interoperabilidad (Prestadores)</t>
        </is>
      </c>
      <c r="D152" s="57" t="inlineStr">
        <is>
          <t>No existe hoy interoperabilidad de agenda por barreras de mercado (ningún prestador ni aseguradora quiere ser el centralizador); una propuesta de mercado con un tercero integrador está en etapa muy temprana.</t>
        </is>
      </c>
      <c r="E152" s="54" t="n"/>
      <c r="F152" s="53">
        <f>IF($E152="",0,INDEX($M$5:$M$8,MATCH($E152,$L$5:$L$8,0)))</f>
        <v/>
      </c>
      <c r="G152" s="53">
        <f>IF($F152=0,0,$F152/10)</f>
        <v/>
      </c>
      <c r="H152" s="53">
        <f>IFERROR(INDEX($O$15:$O$29,MATCH($C152,$L$15:$L$29,0)),"🟨 validar")</f>
        <v/>
      </c>
      <c r="I152" s="53" t="n"/>
      <c r="J152" s="53" t="n"/>
    </row>
    <row r="153" ht="30" customHeight="1">
      <c r="A153" s="53" t="inlineStr">
        <is>
          <t>RT-041</t>
        </is>
      </c>
      <c r="B153" s="53" t="inlineStr">
        <is>
          <t>Técnico</t>
        </is>
      </c>
      <c r="C153" s="53" t="inlineStr">
        <is>
          <t>NEXO (Asesores)</t>
        </is>
      </c>
      <c r="D153" s="53" t="inlineStr">
        <is>
          <t>Nexo se ajusta a la fecha de integración que defina Gestores (rango manejado: octubre, noviembre o febrero-27); del lado de Nexo el trabajo previo es crear el módulo y las entidades de siniestros.</t>
        </is>
      </c>
      <c r="E153" s="54" t="n"/>
      <c r="F153" s="53">
        <f>IF($E153="",0,INDEX($M$5:$M$8,MATCH($E153,$L$5:$L$8,0)))</f>
        <v/>
      </c>
      <c r="G153" s="53">
        <f>IF($F153=0,0,$F153/10)</f>
        <v/>
      </c>
      <c r="H153" s="53">
        <f>IFERROR(INDEX($O$15:$O$29,MATCH($C153,$L$15:$L$29,0)),"🟨 validar")</f>
        <v/>
      </c>
      <c r="I153" s="53" t="n"/>
      <c r="J153" s="53" t="n"/>
    </row>
    <row r="154" ht="30" customHeight="1">
      <c r="A154" s="57" t="inlineStr">
        <is>
          <t>RT-042</t>
        </is>
      </c>
      <c r="B154" s="57" t="inlineStr">
        <is>
          <t>Técnico</t>
        </is>
      </c>
      <c r="C154" s="57" t="inlineStr">
        <is>
          <t>AVA (Asesores — AVA)</t>
        </is>
      </c>
      <c r="D154" s="57" t="inlineStr">
        <is>
          <t>ABA y Nexo deben tratarse como dos frentes de integración activos en paralelo para asesores (no como reemplazo uno del otro) hasta que exista un plan de migración completo y una decisión formal de descontinuación.</t>
        </is>
      </c>
      <c r="E154" s="54" t="n"/>
      <c r="F154" s="53">
        <f>IF($E154="",0,INDEX($M$5:$M$8,MATCH($E154,$L$5:$L$8,0)))</f>
        <v/>
      </c>
      <c r="G154" s="53">
        <f>IF($F154=0,0,$F154/10)</f>
        <v/>
      </c>
      <c r="H154" s="53">
        <f>IFERROR(INDEX($O$15:$O$29,MATCH($C154,$L$15:$L$29,0)),"🟨 validar")</f>
        <v/>
      </c>
      <c r="I154" s="53" t="n"/>
      <c r="J154" s="53" t="n"/>
    </row>
    <row r="155" ht="30" customHeight="1">
      <c r="A155" s="106" t="inlineStr">
        <is>
          <t>RT-043</t>
        </is>
      </c>
      <c r="B155" s="106" t="inlineStr">
        <is>
          <t>Técnico</t>
        </is>
      </c>
      <c r="C155" s="106" t="inlineStr">
        <is>
          <t>Transversal / Principios generales</t>
        </is>
      </c>
      <c r="D155" s="106" t="inlineStr">
        <is>
          <t xml:space="preserve">Tener en cuenta en el ejercicio de estimación y costos la capacidad requerida en infrastructura de Siniestro Integral por el crecimiento en transacciones </t>
        </is>
      </c>
      <c r="E155" s="107" t="n"/>
      <c r="F155" s="106">
        <f>IF($E155="",0,INDEX($M$5:$M$8,MATCH($E155,$L$5:$L$8,0)))</f>
        <v/>
      </c>
      <c r="G155" s="106">
        <f>IF($F155=0,0,$F155/10)</f>
        <v/>
      </c>
      <c r="H155" s="106">
        <f>IFERROR(INDEX($O$15:$O$29,MATCH($C155,$L$15:$L$29,0)),"🟨 validar")</f>
        <v/>
      </c>
      <c r="I155" s="106" t="inlineStr">
        <is>
          <t>🟥 No estimable como desarrollo: es dimensionamiento de infraestructura de Siniestro Integral por crecimiento transaccional. Necesita el volumen esperado para poder dimensionarse.</t>
        </is>
      </c>
      <c r="J155" s="53" t="n"/>
    </row>
    <row r="156" ht="30" customHeight="1">
      <c r="A156" s="57" t="inlineStr">
        <is>
          <t>RT-044</t>
        </is>
      </c>
      <c r="B156" s="57" t="inlineStr">
        <is>
          <t>Técnico</t>
        </is>
      </c>
      <c r="C156" s="57" t="inlineStr">
        <is>
          <t>Transversal / Principios generales</t>
        </is>
      </c>
      <c r="D156" s="57" t="inlineStr">
        <is>
          <t>Siniestro integral será un copmponente coreless que está en una capa superior donde se reciben las solicitudes entrantes, para luego  procesarlas desde una capa agéntica y que sean enviadas al core como información estrucutrada</t>
        </is>
      </c>
      <c r="E156" s="54" t="inlineStr">
        <is>
          <t>L</t>
        </is>
      </c>
      <c r="F156" s="53">
        <f>IF($E156="",0,INDEX($M$5:$M$8,MATCH($E156,$L$5:$L$8,0)))</f>
        <v/>
      </c>
      <c r="G156" s="53">
        <f>IF($F156=0,0,$F156/10)</f>
        <v/>
      </c>
      <c r="H156" s="53">
        <f>IFERROR(INDEX($O$15:$O$29,MATCH($C156,$L$15:$L$29,0)),"🟨 validar")</f>
        <v/>
      </c>
      <c r="I156" s="53" t="n"/>
      <c r="J156" s="53" t="inlineStr">
        <is>
          <t>Habilitadora</t>
        </is>
      </c>
    </row>
    <row r="157" ht="30" customHeight="1">
      <c r="A157" s="105" t="inlineStr">
        <is>
          <t>RT-045</t>
        </is>
      </c>
      <c r="B157" s="105" t="inlineStr">
        <is>
          <t>Técnico</t>
        </is>
      </c>
      <c r="C157" s="105" t="inlineStr">
        <is>
          <t>Gestor de Solicitud</t>
        </is>
      </c>
      <c r="D157" s="105" t="inlineStr">
        <is>
          <t>Confirmado: un único web component (Flutter), agnóstico de canal y con funcionalidades diferenciadas por rol (prestador suma 2-3 campos adicionales frente a cliente), embebido en app móvil, Sucursal Virtual Personas y Portal de Prestador/Proveedor — se descarta un front independiente por canal.</t>
        </is>
      </c>
      <c r="E157" s="99" t="inlineStr">
        <is>
          <t>M</t>
        </is>
      </c>
      <c r="F157" s="105">
        <f>IF($E157="",0,INDEX($M$5:$M$8,MATCH($E157,$L$5:$L$8,0)))</f>
        <v/>
      </c>
      <c r="G157" s="105">
        <f>IF($F157=0,0,$F157/10)</f>
        <v/>
      </c>
      <c r="H157" s="105">
        <f>IFERROR(INDEX($O$15:$O$29,MATCH($C157,$L$15:$L$29,0)),"🟨 validar")</f>
        <v/>
      </c>
      <c r="I157" s="105" t="inlineStr">
        <is>
          <t>El equipo confirmó Angular. La talla cubre solo la diferenciación por rol del web component único —el prestador suma 2 o 3 campos frente al cliente—, porque la decisión del front único reutilizable ya está tallada en RT-006 y no se cuenta dos veces.</t>
        </is>
      </c>
      <c r="J157" s="53" t="inlineStr">
        <is>
          <t>Determinística</t>
        </is>
      </c>
    </row>
    <row r="158" ht="30" customHeight="1">
      <c r="A158" s="57" t="inlineStr">
        <is>
          <t>RT-046</t>
        </is>
      </c>
      <c r="B158" s="57" t="inlineStr">
        <is>
          <t>Técnico</t>
        </is>
      </c>
      <c r="C158" s="57" t="inlineStr">
        <is>
          <t>AVA (Asesores — AVA)</t>
        </is>
      </c>
      <c r="D158" s="57" t="inlineStr">
        <is>
          <t>AVA no requiere componente propio: su integración se resuelve embebiendo el mismo web component vía redirección (opción con link dentro de AVA); esfuerzo estimado de 1 día para revisar el componente existente de AVA y su embebido. Cierra la definición pendiente en la fila 7 sobre cómo se expondría el front en AVA.</t>
        </is>
      </c>
      <c r="E158" s="54" t="n"/>
      <c r="F158" s="53">
        <f>IF($E158="",0,INDEX($M$5:$M$8,MATCH($E158,$L$5:$L$8,0)))</f>
        <v/>
      </c>
      <c r="G158" s="53">
        <f>IF($F158=0,0,$F158/10)</f>
        <v/>
      </c>
      <c r="H158" s="53">
        <f>IFERROR(INDEX($O$15:$O$29,MATCH($C158,$L$15:$L$29,0)),"🟨 validar")</f>
        <v/>
      </c>
      <c r="I158" s="53" t="n"/>
      <c r="J158" s="53" t="n"/>
    </row>
    <row r="159" ht="30" customHeight="1">
      <c r="A159" s="53" t="inlineStr">
        <is>
          <t>RT-047</t>
        </is>
      </c>
      <c r="B159" s="53" t="inlineStr">
        <is>
          <t>Técnico</t>
        </is>
      </c>
      <c r="C159" s="53" t="inlineStr">
        <is>
          <t>NEXO (Asesores)</t>
        </is>
      </c>
      <c r="D159" s="53" t="inlineStr">
        <is>
          <t>Integración con NEXO confirmada bajo patrón API First: Gestores expone y documenta las APIs; el equipo de NEXO construye su propia experiencia/front y consume esas APIs — no se construye front ni componente de NEXO dentro del alcance de Gestores. Cierra la definición pendiente en la fila 7 sobre cómo se expondría el front en Nexo.</t>
        </is>
      </c>
      <c r="E159" s="54" t="n"/>
      <c r="F159" s="53">
        <f>IF($E159="",0,INDEX($M$5:$M$8,MATCH($E159,$L$5:$L$8,0)))</f>
        <v/>
      </c>
      <c r="G159" s="53">
        <f>IF($F159=0,0,$F159/10)</f>
        <v/>
      </c>
      <c r="H159" s="53">
        <f>IFERROR(INDEX($O$15:$O$29,MATCH($C159,$L$15:$L$29,0)),"🟨 validar")</f>
        <v/>
      </c>
      <c r="I159" s="53" t="n"/>
      <c r="J159" s="53" t="n"/>
    </row>
    <row r="160" ht="30" customHeight="1">
      <c r="A160" s="57" t="inlineStr">
        <is>
          <t>RT-048</t>
        </is>
      </c>
      <c r="B160" s="57" t="inlineStr">
        <is>
          <t>Técnico</t>
        </is>
      </c>
      <c r="C160" s="57" t="inlineStr">
        <is>
          <t>Interoperabilidad (Prestadores)</t>
        </is>
      </c>
      <c r="D160" s="57" t="inlineStr">
        <is>
          <t>El módulo de interoperabilidad de autorizaciones no parte de cero: reutiliza la infraestructura ya construida de interoperabilidad; se tomará como pivote de esfuerzo el costo de la interoperabilidad de ayudas diagnósticas (la más comparable), reconociendo que autorizaciones tiene casuística y costos propios.</t>
        </is>
      </c>
      <c r="E160" s="54" t="n"/>
      <c r="F160" s="53">
        <f>IF($E160="",0,INDEX($M$5:$M$8,MATCH($E160,$L$5:$L$8,0)))</f>
        <v/>
      </c>
      <c r="G160" s="53">
        <f>IF($F160=0,0,$F160/10)</f>
        <v/>
      </c>
      <c r="H160" s="53">
        <f>IFERROR(INDEX($O$15:$O$29,MATCH($C160,$L$15:$L$29,0)),"🟨 validar")</f>
        <v/>
      </c>
      <c r="I160" s="53" t="n"/>
      <c r="J160" s="53" t="n"/>
    </row>
    <row r="161" ht="30" customHeight="1">
      <c r="A161" s="53" t="inlineStr">
        <is>
          <t>RT-049</t>
        </is>
      </c>
      <c r="B161" s="53" t="inlineStr">
        <is>
          <t>Técnico</t>
        </is>
      </c>
      <c r="C161" s="53" t="inlineStr">
        <is>
          <t>Gestor de Monitoreo (Torre de Control)</t>
        </is>
      </c>
      <c r="D161" s="53" t="inlineStr">
        <is>
          <t>Se evalúa como insumo de referencia (no de adopción literal) una propuesta de arquitectura agéntica mundial para torres de control de salud, compuesta por 9 agentes especializados (radar, riesgo operacional, capacidad, predictor, director del tráfico, marcos de actuación, anomalías, explicador, recomendación) más un agente “comandante de operaciones” a futuro con capacidad de ejecución directa.</t>
        </is>
      </c>
      <c r="E161" s="54" t="n"/>
      <c r="F161" s="53">
        <f>IF($E161="",0,INDEX($M$5:$M$8,MATCH($E161,$L$5:$L$8,0)))</f>
        <v/>
      </c>
      <c r="G161" s="53">
        <f>IF($F161=0,0,$F161/10)</f>
        <v/>
      </c>
      <c r="H161" s="53">
        <f>IFERROR(INDEX($O$15:$O$29,MATCH($C161,$L$15:$L$29,0)),"🟨 validar")</f>
        <v/>
      </c>
      <c r="I161" s="53" t="n"/>
      <c r="J161" s="53" t="n"/>
    </row>
    <row r="162" ht="30" customHeight="1">
      <c r="A162" s="57" t="inlineStr">
        <is>
          <t>RT-050</t>
        </is>
      </c>
      <c r="B162" s="57" t="inlineStr">
        <is>
          <t>Técnico</t>
        </is>
      </c>
      <c r="C162" s="57" t="inlineStr">
        <is>
          <t>Gestor de Monitoreo (Torre de Control)</t>
        </is>
      </c>
      <c r="D162" s="57" t="inlineStr">
        <is>
          <t>Los estados administrados por Gestores y los estados administrados por SuraHis se mantienen como conjuntos diferenciados (Gestores tiene estados propios adicionales, ej. “pre radicado”, que no existen en SuraHis) pero deben poder correlacionarse.</t>
        </is>
      </c>
      <c r="E162" s="54" t="inlineStr">
        <is>
          <t>M</t>
        </is>
      </c>
      <c r="F162" s="53">
        <f>IF($E162="",0,INDEX($M$5:$M$8,MATCH($E162,$L$5:$L$8,0)))</f>
        <v/>
      </c>
      <c r="G162" s="53">
        <f>IF($F162=0,0,$F162/10)</f>
        <v/>
      </c>
      <c r="H162" s="53">
        <f>IFERROR(INDEX($O$15:$O$29,MATCH($C162,$L$15:$L$29,0)),"🟨 validar")</f>
        <v/>
      </c>
      <c r="I162" s="53" t="n"/>
      <c r="J162" s="53" t="inlineStr">
        <is>
          <t>Determinística</t>
        </is>
      </c>
    </row>
    <row r="163" ht="30" customHeight="1">
      <c r="A163" s="106" t="inlineStr">
        <is>
          <t>RT-051</t>
        </is>
      </c>
      <c r="B163" s="106" t="inlineStr">
        <is>
          <t>Técnico</t>
        </is>
      </c>
      <c r="C163" s="106" t="inlineStr">
        <is>
          <t>Gestor de Monitoreo (Torre de Control)</t>
        </is>
      </c>
      <c r="D163" s="106" t="inlineStr">
        <is>
          <t>El nivel de autonomía de ejecución de cada agente (recomendar vs. ejecutar) determina directamente con qué sistemas debe conectarse (SuraHis u otros) y qué capacidades técnicas de escritura/ejecución requiere; pendiente de definir antes de dimensionar el desarrollo.</t>
        </is>
      </c>
      <c r="E163" s="107" t="n"/>
      <c r="F163" s="106">
        <f>IF($E163="",0,INDEX($M$5:$M$8,MATCH($E163,$L$5:$L$8,0)))</f>
        <v/>
      </c>
      <c r="G163" s="106">
        <f>IF($F163=0,0,$F163/10)</f>
        <v/>
      </c>
      <c r="H163" s="106">
        <f>IFERROR(INDEX($O$15:$O$29,MATCH($C163,$L$15:$L$29,0)),"🟨 validar")</f>
        <v/>
      </c>
      <c r="I163" s="106" t="inlineStr">
        <is>
          <t>🟥 El propio requisito dice que el nivel de autonomía de cada agente está «pendiente de definir antes de dimensionar el desarrollo». Se respeta: no se talla hasta que se defina.</t>
        </is>
      </c>
      <c r="J163" s="53" t="n"/>
    </row>
    <row r="164" ht="30" customHeight="1">
      <c r="A164" s="57" t="inlineStr">
        <is>
          <t>RT-052</t>
        </is>
      </c>
      <c r="B164" s="57" t="inlineStr">
        <is>
          <t>Técnico</t>
        </is>
      </c>
      <c r="C164" s="57" t="inlineStr">
        <is>
          <t>Gestor de Monitoreo (Torre de Control)</t>
        </is>
      </c>
      <c r="D164" s="57" t="inlineStr">
        <is>
          <t>Principio arquitectónico base heredado del Caso de Negocio de Gestores: arquitectura empresarial reutilizable de seis momentos, con desacople de los cores mediante eventos y microservicios.</t>
        </is>
      </c>
      <c r="E164" s="54" t="inlineStr">
        <is>
          <t>S</t>
        </is>
      </c>
      <c r="F164" s="53">
        <f>IF($E164="",0,INDEX($M$5:$M$8,MATCH($E164,$L$5:$L$8,0)))</f>
        <v/>
      </c>
      <c r="G164" s="53">
        <f>IF($F164=0,0,$F164/10)</f>
        <v/>
      </c>
      <c r="H164" s="53">
        <f>IFERROR(INDEX($O$15:$O$29,MATCH($C164,$L$15:$L$29,0)),"🟨 validar")</f>
        <v/>
      </c>
      <c r="I164" s="53" t="n"/>
      <c r="J164" s="53" t="inlineStr">
        <is>
          <t>Habilitadora</t>
        </is>
      </c>
    </row>
    <row r="165" ht="30" customHeight="1">
      <c r="A165" s="53" t="inlineStr">
        <is>
          <t>RT-053</t>
        </is>
      </c>
      <c r="B165" s="53" t="inlineStr">
        <is>
          <t>Técnico</t>
        </is>
      </c>
      <c r="C165" s="53" t="inlineStr">
        <is>
          <t>Gestor de Monitoreo (Torre de Control)</t>
        </is>
      </c>
      <c r="D165" s="53" t="inlineStr">
        <is>
          <t>La Torre de Control debe suscribirse a la totalidad de los eventos del ecosistema (todos los gestores y cores), no a un subconjunto, como precondición técnica para construir la trazabilidad end-to-end.</t>
        </is>
      </c>
      <c r="E165" s="54" t="inlineStr">
        <is>
          <t>M</t>
        </is>
      </c>
      <c r="F165" s="53">
        <f>IF($E165="",0,INDEX($M$5:$M$8,MATCH($E165,$L$5:$L$8,0)))</f>
        <v/>
      </c>
      <c r="G165" s="53">
        <f>IF($F165=0,0,$F165/10)</f>
        <v/>
      </c>
      <c r="H165" s="53">
        <f>IFERROR(INDEX($O$15:$O$29,MATCH($C165,$L$15:$L$29,0)),"🟨 validar")</f>
        <v/>
      </c>
      <c r="I165" s="53" t="n"/>
      <c r="J165" s="53" t="inlineStr">
        <is>
          <t>Determinística</t>
        </is>
      </c>
    </row>
    <row r="166" ht="30" customHeight="1">
      <c r="A166" s="57" t="inlineStr">
        <is>
          <t>RT-054</t>
        </is>
      </c>
      <c r="B166" s="57" t="inlineStr">
        <is>
          <t>Técnico</t>
        </is>
      </c>
      <c r="C166" s="57" t="inlineStr">
        <is>
          <t>Gestor de Monitoreo (Torre de Control)</t>
        </is>
      </c>
      <c r="D166" s="57" t="inlineStr">
        <is>
          <t>Contrato técnico mínimo: emisión de un evento por cada cambio de estado en cualquier gestor/core del ecosistema, como base para que la Torre de Control pueda construir la trazabilidad end-to-end.</t>
        </is>
      </c>
      <c r="E166" s="54" t="inlineStr">
        <is>
          <t>L</t>
        </is>
      </c>
      <c r="F166" s="53">
        <f>IF($E166="",0,INDEX($M$5:$M$8,MATCH($E166,$L$5:$L$8,0)))</f>
        <v/>
      </c>
      <c r="G166" s="53">
        <f>IF($F166=0,0,$F166/10)</f>
        <v/>
      </c>
      <c r="H166" s="53">
        <f>IFERROR(INDEX($O$15:$O$29,MATCH($C166,$L$15:$L$29,0)),"🟨 validar")</f>
        <v/>
      </c>
      <c r="I166" s="53" t="n"/>
      <c r="J166" s="53" t="inlineStr">
        <is>
          <t>Determinística</t>
        </is>
      </c>
    </row>
    <row r="167" ht="30" customHeight="1">
      <c r="A167" s="98" t="inlineStr">
        <is>
          <t>RF-109</t>
        </is>
      </c>
      <c r="B167" s="98" t="inlineStr">
        <is>
          <t>Funcional</t>
        </is>
      </c>
      <c r="C167" s="98" t="inlineStr">
        <is>
          <t>Gestor de Solicitud</t>
        </is>
      </c>
      <c r="D167" s="98" t="inlineStr">
        <is>
          <t>Api orquestadora por tipo de solicitud: punto único de entrada del gestor. Recibe la radicación desde el canal, crea o recupera la sesión del caso, orquesta el flujo entre los agentes y consolida la respuesta. Se publica en el API Gateway y no contiene lógica de negocio.</t>
        </is>
      </c>
      <c r="E167" s="99" t="inlineStr">
        <is>
          <t>M</t>
        </is>
      </c>
      <c r="F167" s="98">
        <f>IF($E167="",0,INDEX($M$5:$M$8,MATCH($E167,$L$5:$L$8,0)))</f>
        <v/>
      </c>
      <c r="G167" s="98">
        <f>IF($F167=0,0,$F167/10)</f>
        <v/>
      </c>
      <c r="H167" s="98">
        <f>IFERROR(INDEX($O$15:$O$29,MATCH($C167,$L$15:$L$29,0)),"🟨 validar")</f>
        <v/>
      </c>
      <c r="I167" s="98" t="n"/>
      <c r="J167" s="53" t="inlineStr">
        <is>
          <t>Determinística</t>
        </is>
      </c>
    </row>
    <row r="168" ht="30" customHeight="1">
      <c r="A168" s="98" t="inlineStr">
        <is>
          <t>RF-110</t>
        </is>
      </c>
      <c r="B168" s="98" t="inlineStr">
        <is>
          <t>Funcional</t>
        </is>
      </c>
      <c r="C168" s="98" t="inlineStr">
        <is>
          <t>Gestor de Solicitud</t>
        </is>
      </c>
      <c r="D168" s="98" t="inlineStr">
        <is>
          <t>Clasificador de documentos: identifica qué documento es cada archivo recibido (historia clínica, orden médica u otro) antes de extraer, para que el enrutador sepa qué agentes activar.</t>
        </is>
      </c>
      <c r="E168" s="99" t="inlineStr">
        <is>
          <t>M</t>
        </is>
      </c>
      <c r="F168" s="98">
        <f>IF($E168="",0,INDEX($M$5:$M$8,MATCH($E168,$L$5:$L$8,0)))</f>
        <v/>
      </c>
      <c r="G168" s="98">
        <f>IF($F168=0,0,$F168/10)</f>
        <v/>
      </c>
      <c r="H168" s="98">
        <f>IFERROR(INDEX($O$15:$O$29,MATCH($C168,$L$15:$L$29,0)),"🟨 validar")</f>
        <v/>
      </c>
      <c r="I168" s="98" t="n"/>
      <c r="J168" s="53" t="inlineStr">
        <is>
          <t>Agéntica</t>
        </is>
      </c>
    </row>
    <row r="169" ht="30" customHeight="1">
      <c r="A169" s="98" t="inlineStr">
        <is>
          <t>RF-111</t>
        </is>
      </c>
      <c r="B169" s="98" t="inlineStr">
        <is>
          <t>Funcional</t>
        </is>
      </c>
      <c r="C169" s="98" t="inlineStr">
        <is>
          <t>Gestor de Solicitud</t>
        </is>
      </c>
      <c r="D169" s="98" t="inlineStr">
        <is>
          <t>Enrutador: decide qué agentes expertos se activan según el tipo de solicitud y los documentos clasificados. La ruta elegida queda registrada en la traza del caso.</t>
        </is>
      </c>
      <c r="E169" s="99" t="inlineStr">
        <is>
          <t>M</t>
        </is>
      </c>
      <c r="F169" s="98">
        <f>IF($E169="",0,INDEX($M$5:$M$8,MATCH($E169,$L$5:$L$8,0)))</f>
        <v/>
      </c>
      <c r="G169" s="98">
        <f>IF($F169=0,0,$F169/10)</f>
        <v/>
      </c>
      <c r="H169" s="98">
        <f>IFERROR(INDEX($O$15:$O$29,MATCH($C169,$L$15:$L$29,0)),"🟨 validar")</f>
        <v/>
      </c>
      <c r="I169" s="98" t="n"/>
      <c r="J169" s="53" t="inlineStr">
        <is>
          <t>Agéntica</t>
        </is>
      </c>
    </row>
    <row r="170" ht="30" customHeight="1">
      <c r="A170" s="98" t="inlineStr">
        <is>
          <t>RF-112</t>
        </is>
      </c>
      <c r="B170" s="98" t="inlineStr">
        <is>
          <t>Funcional</t>
        </is>
      </c>
      <c r="C170" s="98" t="inlineStr">
        <is>
          <t>Gestor de Solicitud</t>
        </is>
      </c>
      <c r="D170" s="98" t="inlineStr">
        <is>
          <t>Agente request builder: arma la solicitud estructurada únicamente con los campos que tienen respaldo en los documentos extraídos, y marca de forma explícita los campos sin respaldo.</t>
        </is>
      </c>
      <c r="E170" s="99" t="inlineStr">
        <is>
          <t>L</t>
        </is>
      </c>
      <c r="F170" s="98">
        <f>IF($E170="",0,INDEX($M$5:$M$8,MATCH($E170,$L$5:$L$8,0)))</f>
        <v/>
      </c>
      <c r="G170" s="98">
        <f>IF($F170=0,0,$F170/10)</f>
        <v/>
      </c>
      <c r="H170" s="98">
        <f>IFERROR(INDEX($O$15:$O$29,MATCH($C170,$L$15:$L$29,0)),"🟨 validar")</f>
        <v/>
      </c>
      <c r="I170" s="98" t="n"/>
      <c r="J170" s="53" t="inlineStr">
        <is>
          <t>Agéntica</t>
        </is>
      </c>
    </row>
    <row r="171" ht="30" customHeight="1">
      <c r="A171" s="98" t="inlineStr">
        <is>
          <t>RF-113</t>
        </is>
      </c>
      <c r="B171" s="98" t="inlineStr">
        <is>
          <t>Funcional</t>
        </is>
      </c>
      <c r="C171" s="98" t="inlineStr">
        <is>
          <t>Gestor de Solicitud</t>
        </is>
      </c>
      <c r="D171" s="98" t="inlineStr">
        <is>
          <t>LLM-as-a-judge: antes de enviar la solicitud al core, verifica que cumpla el contrato, que cada campo tenga respaldo en la evidencia y que la confianza supere el umbral definido para ese tipo de caso.</t>
        </is>
      </c>
      <c r="E171" s="99" t="inlineStr">
        <is>
          <t>L</t>
        </is>
      </c>
      <c r="F171" s="98">
        <f>IF($E171="",0,INDEX($M$5:$M$8,MATCH($E171,$L$5:$L$8,0)))</f>
        <v/>
      </c>
      <c r="G171" s="98">
        <f>IF($F171=0,0,$F171/10)</f>
        <v/>
      </c>
      <c r="H171" s="98">
        <f>IFERROR(INDEX($O$15:$O$29,MATCH($C171,$L$15:$L$29,0)),"🟨 validar")</f>
        <v/>
      </c>
      <c r="I171" s="98" t="n"/>
      <c r="J171" s="53" t="inlineStr">
        <is>
          <t>Agéntica</t>
        </is>
      </c>
    </row>
    <row r="172" ht="30" customHeight="1">
      <c r="A172" s="98" t="inlineStr">
        <is>
          <t>RF-114</t>
        </is>
      </c>
      <c r="B172" s="98" t="inlineStr">
        <is>
          <t>Funcional</t>
        </is>
      </c>
      <c r="C172" s="98" t="inlineStr">
        <is>
          <t>Gestor de Solicitud</t>
        </is>
      </c>
      <c r="D172" s="98" t="inlineStr">
        <is>
          <t>Escalada a preradicado: cuando no se cumple el contrato o la confianza queda por debajo del umbral, el caso pasa al estado propio del gestor «preradicado», registrando motivo, umbral aplicado y confianza obtenida.</t>
        </is>
      </c>
      <c r="E172" s="99" t="inlineStr">
        <is>
          <t>M</t>
        </is>
      </c>
      <c r="F172" s="98">
        <f>IF($E172="",0,INDEX($M$5:$M$8,MATCH($E172,$L$5:$L$8,0)))</f>
        <v/>
      </c>
      <c r="G172" s="98">
        <f>IF($F172=0,0,$F172/10)</f>
        <v/>
      </c>
      <c r="H172" s="98">
        <f>IFERROR(INDEX($O$15:$O$29,MATCH($C172,$L$15:$L$29,0)),"🟨 validar")</f>
        <v/>
      </c>
      <c r="I172" s="98" t="n"/>
      <c r="J172" s="53" t="inlineStr">
        <is>
          <t>Habilitadora</t>
        </is>
      </c>
    </row>
    <row r="173" ht="30" customHeight="1">
      <c r="A173" s="98" t="inlineStr">
        <is>
          <t>RF-115</t>
        </is>
      </c>
      <c r="B173" s="98" t="inlineStr">
        <is>
          <t>Funcional</t>
        </is>
      </c>
      <c r="C173" s="98" t="inlineStr">
        <is>
          <t>Gestor de Evaluación</t>
        </is>
      </c>
      <c r="D173" s="98" t="inlineStr">
        <is>
          <t>Caché de reglas duras versionadas: la evaluación determinística se sustenta en reglas con versión, vigencia y autor, expuestas como herramienta determinística. Ninguna negación se sustenta en una salida probabilística.</t>
        </is>
      </c>
      <c r="E173" s="99" t="inlineStr">
        <is>
          <t>L</t>
        </is>
      </c>
      <c r="F173" s="98">
        <f>IF($E173="",0,INDEX($M$5:$M$8,MATCH($E173,$L$5:$L$8,0)))</f>
        <v/>
      </c>
      <c r="G173" s="98">
        <f>IF($F173=0,0,$F173/10)</f>
        <v/>
      </c>
      <c r="H173" s="98">
        <f>IFERROR(INDEX($O$15:$O$29,MATCH($C173,$L$15:$L$29,0)),"🟨 validar")</f>
        <v/>
      </c>
      <c r="I173" s="98" t="n"/>
      <c r="J173" s="53" t="inlineStr">
        <is>
          <t>Determinística</t>
        </is>
      </c>
    </row>
    <row r="174" ht="30" customHeight="1">
      <c r="A174" s="98" t="inlineStr">
        <is>
          <t>RF-116</t>
        </is>
      </c>
      <c r="B174" s="98" t="inlineStr">
        <is>
          <t>Funcional</t>
        </is>
      </c>
      <c r="C174" s="98" t="inlineStr">
        <is>
          <t>Gestor de Evaluación</t>
        </is>
      </c>
      <c r="D174" s="98" t="inlineStr">
        <is>
          <t>Medición de la detección de duplicidad: el acierto y los falsos positivos de la detección de solicitudes equivalentes se miden y se reportan por separado.</t>
        </is>
      </c>
      <c r="E174" s="99" t="inlineStr">
        <is>
          <t>S</t>
        </is>
      </c>
      <c r="F174" s="98">
        <f>IF($E174="",0,INDEX($M$5:$M$8,MATCH($E174,$L$5:$L$8,0)))</f>
        <v/>
      </c>
      <c r="G174" s="98">
        <f>IF($F174=0,0,$F174/10)</f>
        <v/>
      </c>
      <c r="H174" s="98">
        <f>IFERROR(INDEX($O$15:$O$29,MATCH($C174,$L$15:$L$29,0)),"🟨 validar")</f>
        <v/>
      </c>
      <c r="I174" s="98" t="n"/>
      <c r="J174" s="53" t="inlineStr">
        <is>
          <t>Habilitadora</t>
        </is>
      </c>
    </row>
    <row r="175" ht="30" customHeight="1">
      <c r="A175" s="98" t="inlineStr">
        <is>
          <t>RF-117</t>
        </is>
      </c>
      <c r="B175" s="98" t="inlineStr">
        <is>
          <t>Funcional</t>
        </is>
      </c>
      <c r="C175" s="98" t="inlineStr">
        <is>
          <t>Gestor de Evaluación</t>
        </is>
      </c>
      <c r="D175" s="98" t="inlineStr">
        <is>
          <t>Invocación del componente analítico y del modelo experto del dominio como herramientas del gestor, sin que el gestor absorba su lógica ni la duplique.</t>
        </is>
      </c>
      <c r="E175" s="99" t="inlineStr">
        <is>
          <t>M</t>
        </is>
      </c>
      <c r="F175" s="98">
        <f>IF($E175="",0,INDEX($M$5:$M$8,MATCH($E175,$L$5:$L$8,0)))</f>
        <v/>
      </c>
      <c r="G175" s="98">
        <f>IF($F175=0,0,$F175/10)</f>
        <v/>
      </c>
      <c r="H175" s="98">
        <f>IFERROR(INDEX($O$15:$O$29,MATCH($C175,$L$15:$L$29,0)),"🟨 validar")</f>
        <v/>
      </c>
      <c r="I175" s="98" t="n"/>
      <c r="J175" s="53" t="inlineStr">
        <is>
          <t>Determinística</t>
        </is>
      </c>
    </row>
    <row r="176" ht="30" customHeight="1">
      <c r="A176" s="98" t="inlineStr">
        <is>
          <t>RF-118</t>
        </is>
      </c>
      <c r="B176" s="98" t="inlineStr">
        <is>
          <t>Funcional</t>
        </is>
      </c>
      <c r="C176" s="98" t="inlineStr">
        <is>
          <t>Canales / Front Externos</t>
        </is>
      </c>
      <c r="D176" s="98" t="inlineStr">
        <is>
          <t>Marca de origen: cada solicitud viaja con el canal por el que entró y ese dato se conserva en el evento, para que los casos que entran por caminos que no pasan por los gestores no contaminen la métrica de quien no participó.</t>
        </is>
      </c>
      <c r="E176" s="99" t="inlineStr">
        <is>
          <t>S</t>
        </is>
      </c>
      <c r="F176" s="98">
        <f>IF($E176="",0,INDEX($M$5:$M$8,MATCH($E176,$L$5:$L$8,0)))</f>
        <v/>
      </c>
      <c r="G176" s="98">
        <f>IF($F176=0,0,$F176/10)</f>
        <v/>
      </c>
      <c r="H176" s="98">
        <f>IFERROR(INDEX($O$15:$O$29,MATCH($C176,$L$15:$L$29,0)),"🟨 validar")</f>
        <v/>
      </c>
      <c r="I176" s="98" t="n"/>
      <c r="J176" s="53" t="inlineStr">
        <is>
          <t>Determinística</t>
        </is>
      </c>
    </row>
    <row r="177" ht="30" customHeight="1">
      <c r="A177" s="98" t="inlineStr">
        <is>
          <t>RF-119</t>
        </is>
      </c>
      <c r="B177" s="98" t="inlineStr">
        <is>
          <t>Funcional</t>
        </is>
      </c>
      <c r="C177" s="98" t="inlineStr">
        <is>
          <t>Gestor de Monitoreo (Torre de Control)</t>
        </is>
      </c>
      <c r="D177" s="98" t="inlineStr">
        <is>
          <t>Ingesta idempotente y ventana para evidencia rezagada: la torre recibe eventos y cargas garantizando idempotencia y orden, y acepta evidencia que llega semanas después sin reabrir el proceso de negocio.</t>
        </is>
      </c>
      <c r="E177" s="99" t="inlineStr">
        <is>
          <t>L</t>
        </is>
      </c>
      <c r="F177" s="98">
        <f>IF($E177="",0,INDEX($M$5:$M$8,MATCH($E177,$L$5:$L$8,0)))</f>
        <v/>
      </c>
      <c r="G177" s="98">
        <f>IF($F177=0,0,$F177/10)</f>
        <v/>
      </c>
      <c r="H177" s="98">
        <f>IFERROR(INDEX($O$15:$O$29,MATCH($C177,$L$15:$L$29,0)),"🟨 validar")</f>
        <v/>
      </c>
      <c r="I177" s="98" t="n"/>
      <c r="J177" s="53" t="inlineStr">
        <is>
          <t>Determinística</t>
        </is>
      </c>
    </row>
    <row r="178" ht="30" customHeight="1">
      <c r="A178" s="98" t="inlineStr">
        <is>
          <t>RF-120</t>
        </is>
      </c>
      <c r="B178" s="98" t="inlineStr">
        <is>
          <t>Funcional</t>
        </is>
      </c>
      <c r="C178" s="98" t="inlineStr">
        <is>
          <t>Gestor de Monitoreo (Torre de Control)</t>
        </is>
      </c>
      <c r="D178" s="98" t="inlineStr">
        <is>
          <t>Contrato de eventos publicado y versionado con compatibilidad hacia atrás. El emisor que no cumple el esquema queda rechazado y el rechazo se registra como falla del emisor, no como pérdida silenciosa.</t>
        </is>
      </c>
      <c r="E178" s="99" t="inlineStr">
        <is>
          <t>M</t>
        </is>
      </c>
      <c r="F178" s="98">
        <f>IF($E178="",0,INDEX($M$5:$M$8,MATCH($E178,$L$5:$L$8,0)))</f>
        <v/>
      </c>
      <c r="G178" s="98">
        <f>IF($F178=0,0,$F178/10)</f>
        <v/>
      </c>
      <c r="H178" s="98">
        <f>IFERROR(INDEX($O$15:$O$29,MATCH($C178,$L$15:$L$29,0)),"🟨 validar")</f>
        <v/>
      </c>
      <c r="I178" s="98" t="n"/>
      <c r="J178" s="53" t="inlineStr">
        <is>
          <t>Determinística</t>
        </is>
      </c>
    </row>
    <row r="179" ht="30" customHeight="1">
      <c r="A179" s="98" t="inlineStr">
        <is>
          <t>RF-121</t>
        </is>
      </c>
      <c r="B179" s="98" t="inlineStr">
        <is>
          <t>Funcional</t>
        </is>
      </c>
      <c r="C179" s="98" t="inlineStr">
        <is>
          <t>Gestor de Monitoreo (Torre de Control)</t>
        </is>
      </c>
      <c r="D179" s="98" t="inlineStr">
        <is>
          <t>Dos horizontes de retención: la traza técnica se conserva lo que dure el diagnóstico de un incidente; el registro que sustenta si una decisión estuvo bien se conserva hasta que llegue la glosa o la reclamación, y ese no se muestrea.</t>
        </is>
      </c>
      <c r="E179" s="99" t="inlineStr">
        <is>
          <t>M</t>
        </is>
      </c>
      <c r="F179" s="98">
        <f>IF($E179="",0,INDEX($M$5:$M$8,MATCH($E179,$L$5:$L$8,0)))</f>
        <v/>
      </c>
      <c r="G179" s="98">
        <f>IF($F179=0,0,$F179/10)</f>
        <v/>
      </c>
      <c r="H179" s="98">
        <f>IFERROR(INDEX($O$15:$O$29,MATCH($C179,$L$15:$L$29,0)),"🟨 validar")</f>
        <v/>
      </c>
      <c r="I179" s="98" t="n"/>
      <c r="J179" s="53" t="inlineStr">
        <is>
          <t>Determinística</t>
        </is>
      </c>
    </row>
    <row r="180" ht="30" customHeight="1">
      <c r="A180" s="98" t="inlineStr">
        <is>
          <t>RF-122</t>
        </is>
      </c>
      <c r="B180" s="98" t="inlineStr">
        <is>
          <t>Funcional</t>
        </is>
      </c>
      <c r="C180" s="98" t="inlineStr">
        <is>
          <t>Gestor de Monitoreo (Torre de Control)</t>
        </is>
      </c>
      <c r="D180" s="98" t="inlineStr">
        <is>
          <t>Correlación del caso con su siniestro padre mediante llave única, de modo que la solicitud, sus servicios hijo y los eventos de todos los emisores se lean como un solo caso.</t>
        </is>
      </c>
      <c r="E180" s="99" t="inlineStr">
        <is>
          <t>L</t>
        </is>
      </c>
      <c r="F180" s="98">
        <f>IF($E180="",0,INDEX($M$5:$M$8,MATCH($E180,$L$5:$L$8,0)))</f>
        <v/>
      </c>
      <c r="G180" s="98">
        <f>IF($F180=0,0,$F180/10)</f>
        <v/>
      </c>
      <c r="H180" s="98">
        <f>IFERROR(INDEX($O$15:$O$29,MATCH($C180,$L$15:$L$29,0)),"🟨 validar")</f>
        <v/>
      </c>
      <c r="I180" s="98" t="n"/>
      <c r="J180" s="53" t="inlineStr">
        <is>
          <t>Determinística</t>
        </is>
      </c>
    </row>
    <row r="181" ht="30" customHeight="1">
      <c r="A181" s="98" t="inlineStr">
        <is>
          <t>RF-123</t>
        </is>
      </c>
      <c r="B181" s="98" t="inlineStr">
        <is>
          <t>Funcional</t>
        </is>
      </c>
      <c r="C181" s="98" t="inlineStr">
        <is>
          <t>Transversal</t>
        </is>
      </c>
      <c r="D181" s="98" t="inlineStr">
        <is>
          <t>Golden set por gestor: conjunto de evaluación versionado, con dueño explícito, balanceado entre casos que deben resolverse y casos que deben escalarse, y refrescado periódicamente. Cada caso corregido por una persona entra al golden set del agente responsable.</t>
        </is>
      </c>
      <c r="E181" s="99" t="inlineStr">
        <is>
          <t>L</t>
        </is>
      </c>
      <c r="F181" s="98">
        <f>IF($E181="",0,INDEX($M$5:$M$8,MATCH($E181,$L$5:$L$8,0)))</f>
        <v/>
      </c>
      <c r="G181" s="98">
        <f>IF($F181=0,0,$F181/10)</f>
        <v/>
      </c>
      <c r="H181" s="98">
        <f>IFERROR(INDEX($O$15:$O$29,MATCH($C181,$L$15:$L$29,0)),"🟨 validar")</f>
        <v/>
      </c>
      <c r="I181" s="98" t="n"/>
      <c r="J181" s="53" t="inlineStr">
        <is>
          <t>Habilitadora</t>
        </is>
      </c>
    </row>
    <row r="182" ht="30" customHeight="1">
      <c r="A182" s="98" t="inlineStr">
        <is>
          <t>RF-124</t>
        </is>
      </c>
      <c r="B182" s="98" t="inlineStr">
        <is>
          <t>Funcional</t>
        </is>
      </c>
      <c r="C182" s="98" t="inlineStr">
        <is>
          <t>Transversal</t>
        </is>
      </c>
      <c r="D182" s="98" t="inlineStr">
        <is>
          <t>Corrección estructurada: cuando una persona corrige el trabajo de un agente, se registra qué campo estaba mal, cuál era el valor correcto y de dónde salía en el documento, para que la corrección sea reutilizable como caso de evaluación.</t>
        </is>
      </c>
      <c r="E182" s="99" t="inlineStr">
        <is>
          <t>M</t>
        </is>
      </c>
      <c r="F182" s="98">
        <f>IF($E182="",0,INDEX($M$5:$M$8,MATCH($E182,$L$5:$L$8,0)))</f>
        <v/>
      </c>
      <c r="G182" s="98">
        <f>IF($F182=0,0,$F182/10)</f>
        <v/>
      </c>
      <c r="H182" s="98">
        <f>IFERROR(INDEX($O$15:$O$29,MATCH($C182,$L$15:$L$29,0)),"🟨 validar")</f>
        <v/>
      </c>
      <c r="I182" s="98" t="n"/>
      <c r="J182" s="53" t="inlineStr">
        <is>
          <t>Habilitadora</t>
        </is>
      </c>
    </row>
    <row r="183" ht="30" customHeight="1">
      <c r="A183" s="98" t="inlineStr">
        <is>
          <t>RF-125</t>
        </is>
      </c>
      <c r="B183" s="98" t="inlineStr">
        <is>
          <t>Funcional</t>
        </is>
      </c>
      <c r="C183" s="98" t="inlineStr">
        <is>
          <t>Transversal</t>
        </is>
      </c>
      <c r="D183" s="98" t="inlineStr">
        <is>
          <t>Muestreo de casos aprobados: desde el primer día se revisa una muestra fija de los casos que el agente resolvió sin escalar, y se suman casos adversarios construidos a propósito (documentos ilegibles, órdenes con dos procedimientos, contradicción entre historia y orden).</t>
        </is>
      </c>
      <c r="E183" s="99" t="inlineStr">
        <is>
          <t>M</t>
        </is>
      </c>
      <c r="F183" s="98">
        <f>IF($E183="",0,INDEX($M$5:$M$8,MATCH($E183,$L$5:$L$8,0)))</f>
        <v/>
      </c>
      <c r="G183" s="98">
        <f>IF($F183=0,0,$F183/10)</f>
        <v/>
      </c>
      <c r="H183" s="98">
        <f>IFERROR(INDEX($O$15:$O$29,MATCH($C183,$L$15:$L$29,0)),"🟨 validar")</f>
        <v/>
      </c>
      <c r="I183" s="98" t="n"/>
      <c r="J183" s="53" t="inlineStr">
        <is>
          <t>Habilitadora</t>
        </is>
      </c>
    </row>
    <row r="184" ht="30" customHeight="1">
      <c r="A184" s="98" t="inlineStr">
        <is>
          <t>RF-126</t>
        </is>
      </c>
      <c r="B184" s="98" t="inlineStr">
        <is>
          <t>Funcional</t>
        </is>
      </c>
      <c r="C184" s="98" t="inlineStr">
        <is>
          <t>Transversal</t>
        </is>
      </c>
      <c r="D184" s="98" t="inlineStr">
        <is>
          <t>Compuerta de promoción: ninguna versión de un agente, de su prompt o de su configuración llega a producción sin resultado de suite contra el golden set con criterio de no regresión. La promoción queda registrada con autor, motivo y reversión inmediata.</t>
        </is>
      </c>
      <c r="E184" s="99" t="inlineStr">
        <is>
          <t>L</t>
        </is>
      </c>
      <c r="F184" s="98">
        <f>IF($E184="",0,INDEX($M$5:$M$8,MATCH($E184,$L$5:$L$8,0)))</f>
        <v/>
      </c>
      <c r="G184" s="98">
        <f>IF($F184=0,0,$F184/10)</f>
        <v/>
      </c>
      <c r="H184" s="98">
        <f>IFERROR(INDEX($O$15:$O$29,MATCH($C184,$L$15:$L$29,0)),"🟨 validar")</f>
        <v/>
      </c>
      <c r="I184" s="98" t="n"/>
      <c r="J184" s="53" t="inlineStr">
        <is>
          <t>Habilitadora</t>
        </is>
      </c>
    </row>
    <row r="185" ht="30" customHeight="1">
      <c r="A185" s="98" t="inlineStr">
        <is>
          <t>RF-127</t>
        </is>
      </c>
      <c r="B185" s="98" t="inlineStr">
        <is>
          <t>Funcional</t>
        </is>
      </c>
      <c r="C185" s="98" t="inlineStr">
        <is>
          <t>Transversal</t>
        </is>
      </c>
      <c r="D185" s="98" t="inlineStr">
        <is>
          <t>Umbral y grado de autonomía como configuración: el umbral de confianza y el grado de autonomía de cada agente son configuración versionada del plano de control, leída en cada ejecución, y no constantes embebidas en el agente.</t>
        </is>
      </c>
      <c r="E185" s="99" t="inlineStr">
        <is>
          <t>M</t>
        </is>
      </c>
      <c r="F185" s="98">
        <f>IF($E185="",0,INDEX($M$5:$M$8,MATCH($E185,$L$5:$L$8,0)))</f>
        <v/>
      </c>
      <c r="G185" s="98">
        <f>IF($F185=0,0,$F185/10)</f>
        <v/>
      </c>
      <c r="H185" s="98">
        <f>IFERROR(INDEX($O$15:$O$29,MATCH($C185,$L$15:$L$29,0)),"🟨 validar")</f>
        <v/>
      </c>
      <c r="I185" s="98" t="n"/>
      <c r="J185" s="53" t="inlineStr">
        <is>
          <t>Habilitadora</t>
        </is>
      </c>
    </row>
    <row r="186" ht="30" customHeight="1">
      <c r="A186" s="98" t="inlineStr">
        <is>
          <t>RF-128</t>
        </is>
      </c>
      <c r="B186" s="98" t="inlineStr">
        <is>
          <t>Funcional</t>
        </is>
      </c>
      <c r="C186" s="98" t="inlineStr">
        <is>
          <t>Transversal</t>
        </is>
      </c>
      <c r="D186" s="98" t="inlineStr">
        <is>
          <t>Trazabilidad de la decisión: cada decisión de un agente queda registrada con agente, versión, prompt utilizado, umbral aplicado, confianza obtenida y herramientas invocadas, correlacionada con el caso y con su siniestro padre.</t>
        </is>
      </c>
      <c r="E186" s="99" t="inlineStr">
        <is>
          <t>L</t>
        </is>
      </c>
      <c r="F186" s="98">
        <f>IF($E186="",0,INDEX($M$5:$M$8,MATCH($E186,$L$5:$L$8,0)))</f>
        <v/>
      </c>
      <c r="G186" s="98">
        <f>IF($F186=0,0,$F186/10)</f>
        <v/>
      </c>
      <c r="H186" s="98">
        <f>IFERROR(INDEX($O$15:$O$29,MATCH($C186,$L$15:$L$29,0)),"🟨 validar")</f>
        <v/>
      </c>
      <c r="I186" s="98" t="n"/>
      <c r="J186" s="53" t="inlineStr">
        <is>
          <t>Habilitadora</t>
        </is>
      </c>
    </row>
    <row r="187" ht="30" customHeight="1">
      <c r="A187" s="98" t="inlineStr">
        <is>
          <t>RF-129</t>
        </is>
      </c>
      <c r="B187" s="98" t="inlineStr">
        <is>
          <t>Funcional</t>
        </is>
      </c>
      <c r="C187" s="98" t="inlineStr">
        <is>
          <t>Transversal</t>
        </is>
      </c>
      <c r="D187" s="98" t="inlineStr">
        <is>
          <t>Calibración del LLM-as-a-judge contra una muestra revisada por personas expertas. El nivel de coincidencia obtenido se reporta junto a cualquier métrica que dependa de ese juez.</t>
        </is>
      </c>
      <c r="E187" s="99" t="inlineStr">
        <is>
          <t>M</t>
        </is>
      </c>
      <c r="F187" s="98">
        <f>IF($E187="",0,INDEX($M$5:$M$8,MATCH($E187,$L$5:$L$8,0)))</f>
        <v/>
      </c>
      <c r="G187" s="98">
        <f>IF($F187=0,0,$F187/10)</f>
        <v/>
      </c>
      <c r="H187" s="98">
        <f>IFERROR(INDEX($O$15:$O$29,MATCH($C187,$L$15:$L$29,0)),"🟨 validar")</f>
        <v/>
      </c>
      <c r="I187" s="98" t="n"/>
      <c r="J187" s="53" t="inlineStr">
        <is>
          <t>Habilitadora</t>
        </is>
      </c>
    </row>
  </sheetData>
  <autoFilter ref="A4:Q187"/>
  <mergeCells count="16">
    <mergeCell ref="M48:Q48"/>
    <mergeCell ref="M40:Q40"/>
    <mergeCell ref="M35:Q35"/>
    <mergeCell ref="M43:Q43"/>
    <mergeCell ref="M34:Q34"/>
    <mergeCell ref="A2:I2"/>
    <mergeCell ref="M57:Q57"/>
    <mergeCell ref="M47:Q47"/>
    <mergeCell ref="M37:Q37"/>
    <mergeCell ref="A1:I1"/>
    <mergeCell ref="L9:N12"/>
    <mergeCell ref="L13:Q13"/>
    <mergeCell ref="M33:Q33"/>
    <mergeCell ref="M46:Q46"/>
    <mergeCell ref="M36:Q36"/>
    <mergeCell ref="L3:N3"/>
  </mergeCells>
  <dataValidations count="2">
    <dataValidation sqref="E5:E187" showDropDown="0" showInputMessage="0" showErrorMessage="0" allowBlank="1" type="list">
      <formula1>$L$5:$L$8</formula1>
    </dataValidation>
    <dataValidation sqref="J5:J187" showDropDown="0" showInputMessage="0" showErrorMessage="0" allowBlank="1" type="list">
      <formula1>"Agéntica,Habilitadora,Determinística"</formula1>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theme="5" tint="0.5999938962981048"/>
    <outlinePr summaryBelow="1" summaryRight="1"/>
    <pageSetUpPr/>
  </sheetPr>
  <dimension ref="A1:I32"/>
  <sheetViews>
    <sheetView showGridLines="0" zoomScaleNormal="100" workbookViewId="0">
      <pane ySplit="8" topLeftCell="A25" activePane="bottomLeft" state="frozen"/>
      <selection pane="bottomLeft" activeCell="B6" sqref="B6"/>
    </sheetView>
  </sheetViews>
  <sheetFormatPr baseColWidth="8" defaultColWidth="8.5703125" defaultRowHeight="14.45"/>
  <cols>
    <col width="32" customWidth="1" min="1" max="1"/>
    <col width="29.28515625" customWidth="1" min="2" max="2"/>
    <col width="14" customWidth="1" min="3" max="4"/>
    <col width="16" customWidth="1" min="5" max="5"/>
    <col width="18" customWidth="1" min="6" max="6"/>
    <col width="25.42578125" customWidth="1" min="7" max="7"/>
    <col width="12" customWidth="1" min="8" max="8"/>
    <col width="28" customWidth="1" min="9" max="9"/>
  </cols>
  <sheetData>
    <row r="1" ht="25.5" customHeight="1">
      <c r="A1" s="88" t="inlineStr">
        <is>
          <t>Estimación por Costos — Épicas Gestores 2026</t>
        </is>
      </c>
    </row>
    <row r="2" ht="25.5" customHeight="1">
      <c r="A2" s="89" t="inlineStr">
        <is>
          <t>Los "Días estimados" se traen automáticamente de la hoja "Estimación por Requisitos" (suma por Talla). Complete las celdas amarillas (% de contingencia y tarifa/día) para calcular el costo por épica.</t>
        </is>
      </c>
    </row>
    <row r="4" ht="15" customHeight="1">
      <c r="A4" s="79" t="inlineStr">
        <is>
          <t>% Contingencia / incertidumbre</t>
        </is>
      </c>
      <c r="B4" s="80" t="n">
        <v>0.3</v>
      </c>
      <c r="C4" s="91" t="inlineStr">
        <is>
          <t>Fuente: Acta_ArranqueEstimacionCosto_20260821 — "eso debe tener un 30% […] de incertidumbre".</t>
        </is>
      </c>
    </row>
    <row r="5" ht="20.25" customHeight="1">
      <c r="A5" s="79" t="inlineStr">
        <is>
          <t>Tarifa día promedio, COP (todos los perfiles)</t>
        </is>
      </c>
      <c r="B5" s="78" t="n"/>
      <c r="C5" s="91" t="inlineStr">
        <is>
          <t>🟨 A definir por el equipo — no hay una tarifa/día documentada en las actas revisadas. El libro "Estimación de Costos Alto Nivel.xlsx" (22-ago-2026) usó una tarifa diaria implícita editable.</t>
        </is>
      </c>
    </row>
    <row r="6" ht="23.25" customHeight="1">
      <c r="A6" s="79" t="inlineStr">
        <is>
          <t>Presupuesto aprobado (COP)</t>
        </is>
      </c>
      <c r="B6" s="78" t="n">
        <v>1700000000</v>
      </c>
      <c r="C6" s="91" t="inlineStr">
        <is>
          <t>Fuente: Caso de Negocio Gestores, sección 10 — Inversión: $1.700 millones.</t>
        </is>
      </c>
    </row>
    <row r="8" ht="30" customHeight="1">
      <c r="A8" s="51" t="inlineStr">
        <is>
          <t>Épica / Gestor-Frente</t>
        </is>
      </c>
      <c r="B8" s="51" t="inlineStr">
        <is>
          <t># Requisitos</t>
        </is>
      </c>
      <c r="C8" s="51" t="inlineStr">
        <is>
          <t>Días estimados</t>
        </is>
      </c>
      <c r="D8" s="51" t="inlineStr">
        <is>
          <t>Sprints estimados</t>
        </is>
      </c>
      <c r="E8" s="51" t="inlineStr">
        <is>
          <t>Días con contingencia</t>
        </is>
      </c>
      <c r="F8" s="51" t="inlineStr">
        <is>
          <t>Costo estimado (COP)</t>
        </is>
      </c>
      <c r="G8" s="51" t="inlineStr">
        <is>
          <t>% del presupuesto aprobado</t>
        </is>
      </c>
      <c r="H8" s="51" t="inlineStr">
        <is>
          <t>¿En MVP?</t>
        </is>
      </c>
      <c r="I8" s="51" t="inlineStr">
        <is>
          <t>Release sugerido</t>
        </is>
      </c>
    </row>
    <row r="9" ht="21.75" customHeight="1">
      <c r="A9" s="58" t="inlineStr">
        <is>
          <t>Gestor de Monitoreo (Torre de Control)</t>
        </is>
      </c>
      <c r="B9" s="77" t="n">
        <v>33</v>
      </c>
      <c r="C9" s="77" t="n">
        <v>0</v>
      </c>
      <c r="D9" s="77">
        <f>IF(C9=0,0,C9/10)</f>
        <v/>
      </c>
      <c r="E9" s="77">
        <f>C9*(1+$B$4)</f>
        <v/>
      </c>
      <c r="F9" s="76">
        <f>IF($B$5="",0,E9*$B$5)</f>
        <v/>
      </c>
      <c r="G9" s="75">
        <f>IF($B$6=0,"",F9/$B$6)</f>
        <v/>
      </c>
      <c r="H9" s="58" t="inlineStr">
        <is>
          <t>Parcial</t>
        </is>
      </c>
      <c r="I9" s="58" t="inlineStr">
        <is>
          <t>Release 2-3</t>
        </is>
      </c>
    </row>
    <row r="10" ht="15" customHeight="1">
      <c r="A10" s="58" t="inlineStr">
        <is>
          <t>Interoperabilidad (Prestadores)</t>
        </is>
      </c>
      <c r="B10" s="77" t="n">
        <v>19</v>
      </c>
      <c r="C10" s="77" t="n">
        <v>0</v>
      </c>
      <c r="D10" s="77">
        <f>IF(C10=0,0,C10/10)</f>
        <v/>
      </c>
      <c r="E10" s="77">
        <f>C10*(1+$B$4)</f>
        <v/>
      </c>
      <c r="F10" s="76">
        <f>IF($B$5="",0,E10*$B$5)</f>
        <v/>
      </c>
      <c r="G10" s="75">
        <f>IF($B$6=0,"",F10/$B$6)</f>
        <v/>
      </c>
      <c r="H10" s="58" t="inlineStr">
        <is>
          <t>Parcial</t>
        </is>
      </c>
      <c r="I10" s="58" t="inlineStr">
        <is>
          <t>Release 1-2 (según reutilización)</t>
        </is>
      </c>
    </row>
    <row r="11" ht="15" customHeight="1">
      <c r="A11" s="60" t="inlineStr">
        <is>
          <t>Gestor de Evaluación</t>
        </is>
      </c>
      <c r="B11" s="74" t="n">
        <v>17</v>
      </c>
      <c r="C11" s="74" t="n">
        <v>0</v>
      </c>
      <c r="D11" s="74">
        <f>IF(C11=0,0,C11/10)</f>
        <v/>
      </c>
      <c r="E11" s="74">
        <f>C11*(1+$B$4)</f>
        <v/>
      </c>
      <c r="F11" s="73">
        <f>IF($B$5="",0,E11*$B$5)</f>
        <v/>
      </c>
      <c r="G11" s="72">
        <f>IF($B$6=0,"",F11/$B$6)</f>
        <v/>
      </c>
      <c r="H11" s="60" t="inlineStr">
        <is>
          <t>Sí</t>
        </is>
      </c>
      <c r="I11" s="60" t="inlineStr">
        <is>
          <t>Release 2 (dentro del MVP)</t>
        </is>
      </c>
    </row>
    <row r="12" ht="15" customHeight="1">
      <c r="A12" s="60" t="inlineStr">
        <is>
          <t>Gestor de Solicitud</t>
        </is>
      </c>
      <c r="B12" s="74" t="n">
        <v>16</v>
      </c>
      <c r="C12" s="74" t="n">
        <v>2</v>
      </c>
      <c r="D12" s="74">
        <f>IF(C12=0,0,C12/10)</f>
        <v/>
      </c>
      <c r="E12" s="74">
        <f>C12*(1+$B$4)</f>
        <v/>
      </c>
      <c r="F12" s="73">
        <f>IF($B$5="",0,E12*$B$5)</f>
        <v/>
      </c>
      <c r="G12" s="72">
        <f>IF($B$6=0,"",F12/$B$6)</f>
        <v/>
      </c>
      <c r="H12" s="60" t="inlineStr">
        <is>
          <t>Sí</t>
        </is>
      </c>
      <c r="I12" s="60" t="inlineStr">
        <is>
          <t>Release 1</t>
        </is>
      </c>
    </row>
    <row r="13" ht="15" customHeight="1">
      <c r="A13" s="62" t="inlineStr">
        <is>
          <t>Gestor de Coordinación</t>
        </is>
      </c>
      <c r="B13" s="56" t="n">
        <v>14</v>
      </c>
      <c r="C13" s="56" t="n">
        <v>0</v>
      </c>
      <c r="D13" s="56">
        <f>IF(C13=0,0,C13/10)</f>
        <v/>
      </c>
      <c r="E13" s="56">
        <f>C13*(1+$B$4)</f>
        <v/>
      </c>
      <c r="F13" s="71">
        <f>IF($B$5="",0,E13*$B$5)</f>
        <v/>
      </c>
      <c r="G13" s="70">
        <f>IF($B$6=0,"",F13/$B$6)</f>
        <v/>
      </c>
      <c r="H13" s="62" t="inlineStr">
        <is>
          <t>No</t>
        </is>
      </c>
      <c r="I13" s="62" t="inlineStr">
        <is>
          <t>No aplica (absorbido por Core)</t>
        </is>
      </c>
    </row>
    <row r="14" ht="15" customHeight="1">
      <c r="A14" s="60" t="inlineStr">
        <is>
          <t>Canales / Front Externos</t>
        </is>
      </c>
      <c r="B14" s="74" t="n">
        <v>13</v>
      </c>
      <c r="C14" s="74" t="n">
        <v>5</v>
      </c>
      <c r="D14" s="74">
        <f>IF(C14=0,0,C14/10)</f>
        <v/>
      </c>
      <c r="E14" s="74">
        <f>C14*(1+$B$4)</f>
        <v/>
      </c>
      <c r="F14" s="73">
        <f>IF($B$5="",0,E14*$B$5)</f>
        <v/>
      </c>
      <c r="G14" s="72">
        <f>IF($B$6=0,"",F14/$B$6)</f>
        <v/>
      </c>
      <c r="H14" s="60" t="inlineStr">
        <is>
          <t>Sí</t>
        </is>
      </c>
      <c r="I14" s="60" t="inlineStr">
        <is>
          <t>Release 1-2</t>
        </is>
      </c>
    </row>
    <row r="15" ht="15" customHeight="1">
      <c r="A15" s="60" t="inlineStr">
        <is>
          <t>Transversal / Principios generales</t>
        </is>
      </c>
      <c r="B15" s="74" t="n">
        <v>11</v>
      </c>
      <c r="C15" s="74" t="n">
        <v>0</v>
      </c>
      <c r="D15" s="74">
        <f>IF(C15=0,0,C15/10)</f>
        <v/>
      </c>
      <c r="E15" s="74">
        <f>C15*(1+$B$4)</f>
        <v/>
      </c>
      <c r="F15" s="73">
        <f>IF($B$5="",0,E15*$B$5)</f>
        <v/>
      </c>
      <c r="G15" s="72">
        <f>IF($B$6=0,"",F15/$B$6)</f>
        <v/>
      </c>
      <c r="H15" s="60" t="inlineStr">
        <is>
          <t>Sí</t>
        </is>
      </c>
      <c r="I15" s="60" t="inlineStr">
        <is>
          <t>Transversal (todos los releases)</t>
        </is>
      </c>
    </row>
    <row r="16" ht="15" customHeight="1">
      <c r="A16" s="58" t="inlineStr">
        <is>
          <t>Gestor de Asignación</t>
        </is>
      </c>
      <c r="B16" s="77" t="n">
        <v>8</v>
      </c>
      <c r="C16" s="77" t="n">
        <v>0</v>
      </c>
      <c r="D16" s="77">
        <f>IF(C16=0,0,C16/10)</f>
        <v/>
      </c>
      <c r="E16" s="77">
        <f>C16*(1+$B$4)</f>
        <v/>
      </c>
      <c r="F16" s="76">
        <f>IF($B$5="",0,E16*$B$5)</f>
        <v/>
      </c>
      <c r="G16" s="75">
        <f>IF($B$6=0,"",F16/$B$6)</f>
        <v/>
      </c>
      <c r="H16" s="58" t="inlineStr">
        <is>
          <t>Parcial</t>
        </is>
      </c>
      <c r="I16" s="58" t="inlineStr">
        <is>
          <t>Release 2 (ligado a Evaluación)</t>
        </is>
      </c>
    </row>
    <row r="17" ht="15" customHeight="1">
      <c r="A17" s="60" t="inlineStr">
        <is>
          <t>Siniestro Integral</t>
        </is>
      </c>
      <c r="B17" s="74" t="n">
        <v>8</v>
      </c>
      <c r="C17" s="74" t="n">
        <v>0</v>
      </c>
      <c r="D17" s="74">
        <f>IF(C17=0,0,C17/10)</f>
        <v/>
      </c>
      <c r="E17" s="74">
        <f>C17*(1+$B$4)</f>
        <v/>
      </c>
      <c r="F17" s="73">
        <f>IF($B$5="",0,E17*$B$5)</f>
        <v/>
      </c>
      <c r="G17" s="72">
        <f>IF($B$6=0,"",F17/$B$6)</f>
        <v/>
      </c>
      <c r="H17" s="60" t="inlineStr">
        <is>
          <t>Sí</t>
        </is>
      </c>
      <c r="I17" s="60" t="inlineStr">
        <is>
          <t>Release 1</t>
        </is>
      </c>
    </row>
    <row r="18" ht="15" customHeight="1">
      <c r="A18" s="62" t="inlineStr">
        <is>
          <t>NEXO (Asesores)</t>
        </is>
      </c>
      <c r="B18" s="56" t="n">
        <v>6</v>
      </c>
      <c r="C18" s="56" t="n">
        <v>0</v>
      </c>
      <c r="D18" s="56">
        <f>IF(C18=0,0,C18/10)</f>
        <v/>
      </c>
      <c r="E18" s="56">
        <f>C18*(1+$B$4)</f>
        <v/>
      </c>
      <c r="F18" s="71">
        <f>IF($B$5="",0,E18*$B$5)</f>
        <v/>
      </c>
      <c r="G18" s="70">
        <f>IF($B$6=0,"",F18/$B$6)</f>
        <v/>
      </c>
      <c r="H18" s="62" t="inlineStr">
        <is>
          <t>No</t>
        </is>
      </c>
      <c r="I18" s="62" t="inlineStr">
        <is>
          <t>Futuro (2027, por revisar)</t>
        </is>
      </c>
    </row>
    <row r="19" ht="15" customHeight="1">
      <c r="A19" s="62" t="inlineStr">
        <is>
          <t>Gestor de Prestación</t>
        </is>
      </c>
      <c r="B19" s="56" t="n">
        <v>6</v>
      </c>
      <c r="C19" s="56" t="n">
        <v>0</v>
      </c>
      <c r="D19" s="56">
        <f>IF(C19=0,0,C19/10)</f>
        <v/>
      </c>
      <c r="E19" s="56">
        <f>C19*(1+$B$4)</f>
        <v/>
      </c>
      <c r="F19" s="71">
        <f>IF($B$5="",0,E19*$B$5)</f>
        <v/>
      </c>
      <c r="G19" s="70">
        <f>IF($B$6=0,"",F19/$B$6)</f>
        <v/>
      </c>
      <c r="H19" s="62" t="inlineStr">
        <is>
          <t>No</t>
        </is>
      </c>
      <c r="I19" s="62" t="inlineStr">
        <is>
          <t>Fuera del MVP / por definir</t>
        </is>
      </c>
    </row>
    <row r="20" ht="15" customHeight="1">
      <c r="A20" s="62" t="inlineStr">
        <is>
          <t>AVA (Asesores — AVA)</t>
        </is>
      </c>
      <c r="B20" s="56" t="n">
        <v>6</v>
      </c>
      <c r="C20" s="56" t="n">
        <v>0</v>
      </c>
      <c r="D20" s="56">
        <f>IF(C20=0,0,C20/10)</f>
        <v/>
      </c>
      <c r="E20" s="56">
        <f>C20*(1+$B$4)</f>
        <v/>
      </c>
      <c r="F20" s="71">
        <f>IF($B$5="",0,E20*$B$5)</f>
        <v/>
      </c>
      <c r="G20" s="70">
        <f>IF($B$6=0,"",F20/$B$6)</f>
        <v/>
      </c>
      <c r="H20" s="62" t="inlineStr">
        <is>
          <t>No</t>
        </is>
      </c>
      <c r="I20" s="62" t="inlineStr">
        <is>
          <t>Futuro (2027)</t>
        </is>
      </c>
    </row>
    <row r="21" ht="15" customHeight="1">
      <c r="A21" s="60" t="inlineStr">
        <is>
          <t>Transversal</t>
        </is>
      </c>
      <c r="B21" s="74" t="n">
        <v>2</v>
      </c>
      <c r="C21" s="74" t="n">
        <v>0</v>
      </c>
      <c r="D21" s="74">
        <f>IF(C21=0,0,C21/10)</f>
        <v/>
      </c>
      <c r="E21" s="74">
        <f>C21*(1+$B$4)</f>
        <v/>
      </c>
      <c r="F21" s="73">
        <f>IF($B$5="",0,E21*$B$5)</f>
        <v/>
      </c>
      <c r="G21" s="72">
        <f>IF($B$6=0,"",F21/$B$6)</f>
        <v/>
      </c>
      <c r="H21" s="60" t="inlineStr">
        <is>
          <t>Sí</t>
        </is>
      </c>
      <c r="I21" s="60" t="inlineStr">
        <is>
          <t>Transversal (todos los releases)</t>
        </is>
      </c>
    </row>
    <row r="22" ht="21.75" customHeight="1">
      <c r="A22" s="62" t="inlineStr">
        <is>
          <t>Gestor de Finalización</t>
        </is>
      </c>
      <c r="B22" s="56" t="n">
        <v>2</v>
      </c>
      <c r="C22" s="56" t="n">
        <v>0</v>
      </c>
      <c r="D22" s="56">
        <f>IF(C22=0,0,C22/10)</f>
        <v/>
      </c>
      <c r="E22" s="56">
        <f>C22*(1+$B$4)</f>
        <v/>
      </c>
      <c r="F22" s="71">
        <f>IF($B$5="",0,E22*$B$5)</f>
        <v/>
      </c>
      <c r="G22" s="70">
        <f>IF($B$6=0,"",F22/$B$6)</f>
        <v/>
      </c>
      <c r="H22" s="62" t="inlineStr">
        <is>
          <t>No</t>
        </is>
      </c>
      <c r="I22" s="62" t="inlineStr">
        <is>
          <t>Fuera del alcance de Salud (líneas punteadas)</t>
        </is>
      </c>
    </row>
    <row r="23" ht="21.75" customHeight="1">
      <c r="A23" s="62" t="inlineStr">
        <is>
          <t>Surahis</t>
        </is>
      </c>
      <c r="B23" s="56" t="n">
        <v>1</v>
      </c>
      <c r="C23" s="56" t="n">
        <v>0</v>
      </c>
      <c r="D23" s="56">
        <f>IF(C23=0,0,C23/10)</f>
        <v/>
      </c>
      <c r="E23" s="56">
        <f>C23*(1+$B$4)</f>
        <v/>
      </c>
      <c r="F23" s="71">
        <f>IF($B$5="",0,E23*$B$5)</f>
        <v/>
      </c>
      <c r="G23" s="70">
        <f>IF($B$6=0,"",F23/$B$6)</f>
        <v/>
      </c>
      <c r="H23" s="62" t="inlineStr">
        <is>
          <t>N/A</t>
        </is>
      </c>
      <c r="I23" s="62" t="inlineStr">
        <is>
          <t>Core (no es una épica de Gestores)</t>
        </is>
      </c>
    </row>
    <row r="24" ht="15" customHeight="1">
      <c r="A24" s="69" t="inlineStr">
        <is>
          <t>TOTAL</t>
        </is>
      </c>
      <c r="B24" s="66">
        <f>SUM(B9:B23)</f>
        <v/>
      </c>
      <c r="C24" s="66">
        <f>SUM(C9:C23)</f>
        <v/>
      </c>
      <c r="D24" s="66">
        <f>SUM(D9:D23)</f>
        <v/>
      </c>
      <c r="E24" s="66">
        <f>SUM(E9:E23)</f>
        <v/>
      </c>
      <c r="F24" s="68">
        <f>SUM(F9:F23)</f>
        <v/>
      </c>
      <c r="G24" s="67">
        <f>IF($B$6=0,"",F24/$B$6)</f>
        <v/>
      </c>
      <c r="H24" s="66" t="n"/>
      <c r="I24" s="66" t="n"/>
    </row>
    <row r="27" ht="15" customHeight="1">
      <c r="A27" s="97" t="inlineStr">
        <is>
          <t>Resumen por estado de MVP</t>
        </is>
      </c>
    </row>
    <row r="28" ht="32.25" customHeight="1">
      <c r="A28" s="52" t="inlineStr">
        <is>
          <t>Estado MVP</t>
        </is>
      </c>
      <c r="B28" s="52" t="inlineStr">
        <is>
          <t>Días estimados</t>
        </is>
      </c>
      <c r="C28" s="52" t="inlineStr">
        <is>
          <t>Días con contingencia</t>
        </is>
      </c>
      <c r="D28" s="52" t="inlineStr">
        <is>
          <t>Costo estimado (COP)</t>
        </is>
      </c>
      <c r="E28" s="52" t="inlineStr">
        <is>
          <t>% del presupuesto aprobado</t>
        </is>
      </c>
    </row>
    <row r="29" ht="15" customHeight="1">
      <c r="A29" s="65" t="inlineStr">
        <is>
          <t>Sí</t>
        </is>
      </c>
      <c r="B29" s="65">
        <f>SUMIF($H$9:$H$23,A29,$C$9:$C$23)</f>
        <v/>
      </c>
      <c r="C29" s="65">
        <f>SUMIF($H$9:$H$23,A29,$E$9:$E$23)</f>
        <v/>
      </c>
      <c r="D29" s="64">
        <f>SUMIF($H$9:$H$23,A29,$F$9:$F$23)</f>
        <v/>
      </c>
      <c r="E29" s="63">
        <f>IF($B$6=0,"",D29/$B$6)</f>
        <v/>
      </c>
    </row>
    <row r="30" ht="15" customHeight="1">
      <c r="A30" s="65" t="inlineStr">
        <is>
          <t>Parcial</t>
        </is>
      </c>
      <c r="B30" s="65">
        <f>SUMIF($H$9:$H$23,A30,$C$9:$C$23)</f>
        <v/>
      </c>
      <c r="C30" s="65">
        <f>SUMIF($H$9:$H$23,A30,$E$9:$E$23)</f>
        <v/>
      </c>
      <c r="D30" s="64">
        <f>SUMIF($H$9:$H$23,A30,$F$9:$F$23)</f>
        <v/>
      </c>
      <c r="E30" s="63">
        <f>IF($B$6=0,"",D30/$B$6)</f>
        <v/>
      </c>
    </row>
    <row r="31" ht="15" customHeight="1">
      <c r="A31" s="65" t="inlineStr">
        <is>
          <t>No</t>
        </is>
      </c>
      <c r="B31" s="65">
        <f>SUMIF($H$9:$H$23,A31,$C$9:$C$23)</f>
        <v/>
      </c>
      <c r="C31" s="65">
        <f>SUMIF($H$9:$H$23,A31,$E$9:$E$23)</f>
        <v/>
      </c>
      <c r="D31" s="64">
        <f>SUMIF($H$9:$H$23,A31,$F$9:$F$23)</f>
        <v/>
      </c>
      <c r="E31" s="63">
        <f>IF($B$6=0,"",D31/$B$6)</f>
        <v/>
      </c>
    </row>
    <row r="32" ht="15" customHeight="1">
      <c r="A32" s="65" t="inlineStr">
        <is>
          <t>N/A</t>
        </is>
      </c>
      <c r="B32" s="65">
        <f>SUMIF($H$9:$H$23,A32,$C$9:$C$23)</f>
        <v/>
      </c>
      <c r="C32" s="65">
        <f>SUMIF($H$9:$H$23,A32,$E$9:$E$23)</f>
        <v/>
      </c>
      <c r="D32" s="64">
        <f>SUMIF($H$9:$H$23,A32,$F$9:$F$23)</f>
        <v/>
      </c>
      <c r="E32" s="63">
        <f>IF($B$6=0,"",D32/$B$6)</f>
        <v/>
      </c>
    </row>
  </sheetData>
  <mergeCells count="6">
    <mergeCell ref="A2:I2"/>
    <mergeCell ref="C4:I4"/>
    <mergeCell ref="A1:I1"/>
    <mergeCell ref="C6:I6"/>
    <mergeCell ref="C5:I5"/>
    <mergeCell ref="A27:E27"/>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theme="9"/>
    <outlinePr summaryBelow="1" summaryRight="1"/>
    <pageSetUpPr/>
  </sheetPr>
  <dimension ref="A1:H14"/>
  <sheetViews>
    <sheetView workbookViewId="0">
      <selection activeCell="I13" sqref="I13"/>
    </sheetView>
  </sheetViews>
  <sheetFormatPr baseColWidth="8" defaultColWidth="11.42578125" defaultRowHeight="14.45"/>
  <cols>
    <col width="17.7109375" customWidth="1" min="2" max="2"/>
    <col width="18.42578125" customWidth="1" min="3" max="3"/>
    <col width="39.140625" customWidth="1" min="4" max="4"/>
    <col width="14.42578125" customWidth="1" min="5" max="5"/>
    <col width="18.42578125" customWidth="1" min="7" max="7"/>
    <col width="24.85546875" customWidth="1" min="8" max="8"/>
  </cols>
  <sheetData>
    <row r="1" ht="23.45" customHeight="1">
      <c r="A1" s="92" t="inlineStr">
        <is>
          <t>Matriz de casos para notificar novedades de autorizaciones</t>
        </is>
      </c>
    </row>
    <row r="2">
      <c r="A2" s="35" t="n"/>
      <c r="B2" s="35" t="n"/>
      <c r="C2" s="35" t="n"/>
      <c r="D2" s="35" t="n"/>
      <c r="E2" s="35" t="n"/>
      <c r="F2" s="35" t="n"/>
      <c r="G2" s="35" t="n"/>
      <c r="H2" s="35" t="n"/>
    </row>
    <row r="3" ht="15.95" customHeight="1">
      <c r="A3" s="93" t="inlineStr">
        <is>
          <t>CATÁLOGO DE EVENTOS DE NOTIFICACIÓN</t>
        </is>
      </c>
      <c r="B3" s="100" t="n"/>
      <c r="C3" s="100" t="n"/>
      <c r="D3" s="100" t="n"/>
      <c r="E3" s="100" t="n"/>
      <c r="F3" s="100" t="n"/>
      <c r="G3" s="100" t="n"/>
      <c r="H3" s="100" t="n"/>
    </row>
    <row r="4">
      <c r="A4" s="36" t="inlineStr">
        <is>
          <t>ID</t>
        </is>
      </c>
      <c r="B4" s="37" t="inlineStr">
        <is>
          <t>Caso / disparador</t>
        </is>
      </c>
      <c r="C4" s="37" t="inlineStr">
        <is>
          <t>A quién notificar</t>
        </is>
      </c>
      <c r="D4" s="37" t="inlineStr">
        <is>
          <t>Mensaje o acción mínima</t>
        </is>
      </c>
      <c r="E4" s="37" t="inlineStr">
        <is>
          <t>Canal sugerido</t>
        </is>
      </c>
      <c r="F4" s="37" t="inlineStr">
        <is>
          <t>Prioridad</t>
        </is>
      </c>
      <c r="G4" s="37" t="inlineStr">
        <is>
          <t>Responsable</t>
        </is>
      </c>
      <c r="H4" s="38" t="inlineStr">
        <is>
          <t>Observaciones</t>
        </is>
      </c>
    </row>
    <row r="5" ht="72.59999999999999" customHeight="1">
      <c r="A5" s="39" t="n">
        <v>1</v>
      </c>
      <c r="B5" s="40" t="inlineStr">
        <is>
          <t>Solicitud recibida o preradicada</t>
        </is>
      </c>
      <c r="C5" s="40" t="inlineStr">
        <is>
          <t>Solicitante: asegurado, asesor o proveedor</t>
        </is>
      </c>
      <c r="D5" s="40" t="inlineStr">
        <is>
          <t>Confirmar recepción, mostrar número de solicitud y explicar el siguiente paso.
Para el asegurado se debe notificar las radicadas por él mismo, proveedor y asesor (para evitar duplicidad)</t>
        </is>
      </c>
      <c r="E5" s="40" t="inlineStr">
        <is>
          <t>Pantalla (Front) + correo</t>
        </is>
      </c>
      <c r="F5" s="41" t="inlineStr">
        <is>
          <t>Alta</t>
        </is>
      </c>
      <c r="G5" s="40" t="inlineStr">
        <is>
          <t>Pantalla (Front): Gestores
Correo: SuraHis--&gt; Conexión con CCM</t>
        </is>
      </c>
      <c r="H5" s="42" t="inlineStr">
        <is>
          <t>Para asesor y proveedor: Solo aplica notificación via correo electrónico</t>
        </is>
      </c>
    </row>
    <row r="6" ht="72.59999999999999" customHeight="1">
      <c r="A6" s="43" t="n">
        <v>2</v>
      </c>
      <c r="B6" s="44" t="inlineStr">
        <is>
          <t>Autorización aprobada</t>
        </is>
      </c>
      <c r="C6" s="44" t="inlineStr">
        <is>
          <t>Solicitante: asegurado; proveedor, asesor</t>
        </is>
      </c>
      <c r="D6" s="44" t="inlineStr">
        <is>
          <t>Entregar número de autorización, PDF, servicios aprobados, prestador y vigencia.
Para el asegurado se debe notificar las radicadas por él mismo, proveedor y asesor (para evitar duplicidad)</t>
        </is>
      </c>
      <c r="E6" s="44" t="inlineStr">
        <is>
          <t>Pantalla (consulta de solicitudes) + correo (CCM)</t>
        </is>
      </c>
      <c r="F6" s="41" t="inlineStr">
        <is>
          <t>Alta</t>
        </is>
      </c>
      <c r="G6" s="44" t="inlineStr">
        <is>
          <t>Pantalla (Front): Gestores
Correo: SuraHis--&gt; Conexión con CCM</t>
        </is>
      </c>
      <c r="H6" s="45" t="inlineStr">
        <is>
          <t>Para asesor y proveedor: Solo aplica notificación via correo electrónico</t>
        </is>
      </c>
    </row>
    <row r="7" ht="87" customHeight="1">
      <c r="A7" s="39" t="n">
        <v>3</v>
      </c>
      <c r="B7" s="40" t="inlineStr">
        <is>
          <t>Rechazo con EPS SURA vigente</t>
        </is>
      </c>
      <c r="C7" s="40" t="inlineStr">
        <is>
          <t>Asegurado; solicitante (asesor o proveedor, si aplica)</t>
        </is>
      </c>
      <c r="D7" s="40" t="inlineStr">
        <is>
          <t>Informar servicio no cubierto por póliza, número de SAS radicado en Salud Web y ruta de continuidad.
Para el asegurado se debe notificar las radicadas por él mismo, proveedor y asesor (para evitar duplicidad)</t>
        </is>
      </c>
      <c r="E7" s="40" t="inlineStr">
        <is>
          <t>Llamada + correo (CCM)</t>
        </is>
      </c>
      <c r="F7" s="46" t="inlineStr">
        <is>
          <t>Crítica</t>
        </is>
      </c>
      <c r="G7" s="40" t="inlineStr">
        <is>
          <t>Llamada--&gt; Equipo humano de negocio
Correo: SuraHis--&gt; Conexión con CCM</t>
        </is>
      </c>
      <c r="H7" s="42" t="inlineStr">
        <is>
          <t>Para asesor y proveedor: Solo aplica notificación via correo electrónico</t>
        </is>
      </c>
    </row>
    <row r="8" ht="57.95" customHeight="1">
      <c r="A8" s="43" t="n">
        <v>4</v>
      </c>
      <c r="B8" s="44" t="inlineStr">
        <is>
          <t>Rechazo sin EPS SURA</t>
        </is>
      </c>
      <c r="C8" s="44" t="inlineStr">
        <is>
          <t>Asegurado; solicitante (asesor o proveedor, si aplica)</t>
        </is>
      </c>
      <c r="D8" s="44" t="inlineStr">
        <is>
          <t>Enviar carta de servicio no autorizado, motivo y alternativas o canales de orientación.</t>
        </is>
      </c>
      <c r="E8" s="44" t="inlineStr">
        <is>
          <t>Llamada + carta/correo</t>
        </is>
      </c>
      <c r="F8" s="46" t="inlineStr">
        <is>
          <t>Crítica</t>
        </is>
      </c>
      <c r="G8" s="44" t="inlineStr">
        <is>
          <t>Llamada--&gt; Equipo humano de negocio
Saludweb--&gt; Conexión con CCM</t>
        </is>
      </c>
      <c r="H8" s="45" t="n"/>
    </row>
    <row r="9" ht="72.59999999999999" customHeight="1">
      <c r="A9" s="39" t="n">
        <v>5</v>
      </c>
      <c r="B9" s="40" t="inlineStr">
        <is>
          <t>Documentos faltantes, ilegibles o inconsistentes</t>
        </is>
      </c>
      <c r="C9" s="40" t="inlineStr">
        <is>
          <t>Solicitante; proveedor, asegurado, asesor cuando falte soporte médico</t>
        </is>
      </c>
      <c r="D9" s="40" t="inlineStr">
        <is>
          <t>Indicar exactamente qué documento debe corregirse o adjuntarse y el plazo para responder.</t>
        </is>
      </c>
      <c r="E9" s="40" t="inlineStr">
        <is>
          <t>Portal (consulta de solicitudes) + llamada + Whatsapp + Correo</t>
        </is>
      </c>
      <c r="F9" s="41" t="inlineStr">
        <is>
          <t>Alta</t>
        </is>
      </c>
      <c r="G9" s="40" t="inlineStr">
        <is>
          <t>Llamada--&gt; Equipo humano de negocio
Whatsapp y portales--&gt; Gestores</t>
        </is>
      </c>
      <c r="H9" s="42" t="inlineStr">
        <is>
          <t>El correo aplica para asesor por marketing cloud</t>
        </is>
      </c>
    </row>
    <row r="10" ht="57.95" customHeight="1">
      <c r="A10" s="43" t="n">
        <v>6</v>
      </c>
      <c r="B10" s="44" t="inlineStr">
        <is>
          <t>Validación de derechos no superada o contrato sin vigencia</t>
        </is>
      </c>
      <c r="C10" s="44" t="inlineStr">
        <is>
          <t>Asegurado; solicitante (asesor o proveedor)</t>
        </is>
      </c>
      <c r="D10" s="44" t="inlineStr">
        <is>
          <t>Explicar que no fue posible validar derechos, dato a revisar y canal para aclaración.</t>
        </is>
      </c>
      <c r="E10" s="44" t="inlineStr">
        <is>
          <t>Pantalla (Front)</t>
        </is>
      </c>
      <c r="F10" s="41" t="inlineStr">
        <is>
          <t>Alta</t>
        </is>
      </c>
      <c r="G10" s="44" t="inlineStr">
        <is>
          <t>Se emite mensaje en pantalla antes enviar la solicitud</t>
        </is>
      </c>
      <c r="H10" s="45" t="inlineStr">
        <is>
          <t>No aplica</t>
        </is>
      </c>
    </row>
    <row r="11" ht="43.5" customHeight="1">
      <c r="A11" s="39" t="n">
        <v>7</v>
      </c>
      <c r="B11" s="40" t="inlineStr">
        <is>
          <t>Prestador sin convenio vigente o redireccionamiento</t>
        </is>
      </c>
      <c r="C11" s="40" t="inlineStr">
        <is>
          <t>Asegurado</t>
        </is>
      </c>
      <c r="D11" s="40" t="inlineStr">
        <is>
          <t>Informar que el prestador sugerido no esta en convenio y sugerir nevos prestadores</t>
        </is>
      </c>
      <c r="E11" s="40" t="inlineStr">
        <is>
          <t>Whatsapp o mensaje push APP</t>
        </is>
      </c>
      <c r="F11" s="41" t="inlineStr">
        <is>
          <t>Alta</t>
        </is>
      </c>
      <c r="G11" s="40" t="inlineStr">
        <is>
          <t>Gestores</t>
        </is>
      </c>
      <c r="H11" s="42" t="inlineStr">
        <is>
          <t>No aplica</t>
        </is>
      </c>
    </row>
    <row r="12" ht="43.5" customHeight="1">
      <c r="A12" s="43" t="n">
        <v>8</v>
      </c>
      <c r="B12" s="44" t="inlineStr">
        <is>
          <t>Solicitud próxima a vencer el tiempo de respuesta</t>
        </is>
      </c>
      <c r="C12" s="44" t="inlineStr">
        <is>
          <t>Solicitante; asegurado y asesor</t>
        </is>
      </c>
      <c r="D12" s="44" t="inlineStr">
        <is>
          <t>Informar que el caso sigue en gestión, causa del retraso y nueva hora estimada de respuesta.</t>
        </is>
      </c>
      <c r="E12" s="44" t="inlineStr">
        <is>
          <t>Whatsapp o mensaje push APP + Correo</t>
        </is>
      </c>
      <c r="F12" s="41" t="inlineStr">
        <is>
          <t>Alta</t>
        </is>
      </c>
      <c r="G12" s="44" t="inlineStr">
        <is>
          <t>Gestores</t>
        </is>
      </c>
      <c r="H12" s="45" t="inlineStr">
        <is>
          <t>El correo aplica para asesor por marketing cloud</t>
        </is>
      </c>
    </row>
    <row r="13" ht="43.5" customHeight="1">
      <c r="A13" s="39" t="n">
        <v>9</v>
      </c>
      <c r="B13" s="40" t="inlineStr">
        <is>
          <t>Solicitud vencida o incumplimiento del SLA</t>
        </is>
      </c>
      <c r="C13" s="40" t="inlineStr">
        <is>
          <t>Solicitante; asegurado y asesor</t>
        </is>
      </c>
      <c r="D13" s="40" t="inlineStr">
        <is>
          <t>Notificar demora, prioridad de gestión, nueva fecha estimada y canal de escalamiento.</t>
        </is>
      </c>
      <c r="E13" s="40" t="inlineStr">
        <is>
          <t>Whatsapp o mensaje push APP + Correo</t>
        </is>
      </c>
      <c r="F13" s="46" t="inlineStr">
        <is>
          <t>Crítica</t>
        </is>
      </c>
      <c r="G13" s="40" t="inlineStr">
        <is>
          <t>Gestores</t>
        </is>
      </c>
      <c r="H13" s="42" t="inlineStr">
        <is>
          <t>El correo aplica para asesor por marketing cloud</t>
        </is>
      </c>
    </row>
    <row r="14" ht="57.95" customHeight="1">
      <c r="A14" s="43" t="n">
        <v>10</v>
      </c>
      <c r="B14" s="44" t="inlineStr">
        <is>
          <t>Solicitud cancelada, desistida o cerrada sin autorización</t>
        </is>
      </c>
      <c r="C14" s="44" t="inlineStr">
        <is>
          <t>Asegurado, asesor y proveedor</t>
        </is>
      </c>
      <c r="D14" s="44" t="inlineStr">
        <is>
          <t>Confirmar cierre, motivo, fecha y condiciones para presentar una nueva solicitud.</t>
        </is>
      </c>
      <c r="E14" s="44" t="inlineStr">
        <is>
          <t>Correo + portal (consulta de solicitudes)</t>
        </is>
      </c>
      <c r="F14" s="41" t="inlineStr">
        <is>
          <t>Alta</t>
        </is>
      </c>
      <c r="G14" s="44" t="inlineStr">
        <is>
          <t>Pantalla (Front): Gestores
Correo: SuraHis--&gt; Conexión con CCM</t>
        </is>
      </c>
      <c r="H14" s="45" t="inlineStr">
        <is>
          <t>Para asesor y proveedor: Solo aplica notificación via correo electrónico</t>
        </is>
      </c>
    </row>
  </sheetData>
  <mergeCells count="2">
    <mergeCell ref="A3:H3"/>
    <mergeCell ref="A1:H1"/>
  </mergeCells>
  <pageMargins left="0.7" right="0.7" top="0.75" bottom="0.75" header="0.3" footer="0.3"/>
</worksheet>
</file>

<file path=xl/worksheets/sheet4.xml><?xml version="1.0" encoding="utf-8"?>
<worksheet xmlns="http://schemas.openxmlformats.org/spreadsheetml/2006/main">
  <sheetPr filterMode="1">
    <tabColor theme="5"/>
    <outlinePr summaryBelow="1" summaryRight="1"/>
    <pageSetUpPr/>
  </sheetPr>
  <dimension ref="A1:G111"/>
  <sheetViews>
    <sheetView zoomScale="93" zoomScaleNormal="130" workbookViewId="0">
      <selection activeCell="D5" sqref="D5"/>
    </sheetView>
  </sheetViews>
  <sheetFormatPr baseColWidth="8" defaultColWidth="10.85546875" defaultRowHeight="15" customHeight="1"/>
  <cols>
    <col width="17.42578125" customWidth="1" style="6" min="1" max="1"/>
    <col width="18.5703125" customWidth="1" style="7" min="2" max="3"/>
    <col width="66.7109375" customWidth="1" style="3" min="4" max="4"/>
    <col width="30.42578125" customWidth="1" style="6" min="5" max="5"/>
    <col width="13.42578125" customWidth="1" style="3" min="6" max="6"/>
    <col width="27.85546875" customWidth="1" style="3" min="7" max="7"/>
    <col width="10.85546875" customWidth="1" style="3" min="8" max="16384"/>
  </cols>
  <sheetData>
    <row r="1" ht="39" customFormat="1" customHeight="1" s="7">
      <c r="A1" s="1" t="inlineStr">
        <is>
          <t>Gestor / Frente</t>
        </is>
      </c>
      <c r="B1" s="1" t="inlineStr">
        <is>
          <t>Responsable</t>
        </is>
      </c>
      <c r="C1" s="1" t="inlineStr">
        <is>
          <t>¿MVP?</t>
        </is>
      </c>
      <c r="D1" s="1" t="inlineStr">
        <is>
          <t>Requisito funcional (regla de negocio)</t>
        </is>
      </c>
      <c r="E1" s="1" t="inlineStr">
        <is>
          <t>Observación</t>
        </is>
      </c>
      <c r="F1" s="1" t="inlineStr">
        <is>
          <t>Estado</t>
        </is>
      </c>
      <c r="G1" s="1" t="inlineStr">
        <is>
          <t>Decisión / Seguimiento</t>
        </is>
      </c>
    </row>
    <row r="2" hidden="1" ht="44.25" customHeight="1">
      <c r="A2" s="4" t="inlineStr">
        <is>
          <t>Canales / Front Externos</t>
        </is>
      </c>
      <c r="B2" s="5" t="inlineStr">
        <is>
          <t>James</t>
        </is>
      </c>
      <c r="C2" s="5" t="n"/>
      <c r="D2" s="4" t="inlineStr">
        <is>
          <t>Se debe realizar la comprobación de derechos (vigencia de póliza, mora) de forma obligatoria desde que se ingresan de los datos del asegurado en la radicación de la solicitud</t>
        </is>
      </c>
      <c r="E2" s="4" t="inlineStr">
        <is>
          <t>el equipo del core debe construir el servicio para la comprobación de derechos del paciente.</t>
        </is>
      </c>
      <c r="F2" s="8" t="inlineStr">
        <is>
          <t>Cerrado</t>
        </is>
      </c>
      <c r="G2" s="4" t="n"/>
    </row>
    <row r="3" hidden="1" ht="132" customHeight="1">
      <c r="A3" s="4" t="inlineStr">
        <is>
          <t>Canales / Front Externos</t>
        </is>
      </c>
      <c r="B3" s="5" t="inlineStr">
        <is>
          <t>James</t>
        </is>
      </c>
      <c r="C3" s="5" t="n"/>
      <c r="D3" s="4" t="inlineStr">
        <is>
          <t>Documentos aparentemente inválidos se debe sugerir en pantalla que se revisen antes de enviar la solicitud, sin embargo no se debe restringir el ingreso (agente IA light).</t>
        </is>
      </c>
      <c r="E3" s="4" t="inlineStr">
        <is>
          <t>Esto lo revisamos con Pacho y no hay forma de hacerlo en línea, sino cuando se haya enviado la autorización y el gestor de solicitudes haga la validación y nos retorne el resultado: quedamos en se manajeba a través de los estados  y en la pantalla del fomulario definir que formatos vamos a permitr.</t>
        </is>
      </c>
      <c r="F3" s="8" t="inlineStr">
        <is>
          <t>Cerrado</t>
        </is>
      </c>
      <c r="G3" s="4" t="n"/>
    </row>
    <row r="4" hidden="1" ht="58.5" customHeight="1">
      <c r="A4" s="4" t="inlineStr">
        <is>
          <t>Canales / Front Externos</t>
        </is>
      </c>
      <c r="B4" s="5" t="inlineStr">
        <is>
          <t>James</t>
        </is>
      </c>
      <c r="C4" s="5" t="n"/>
      <c r="D4" s="4" t="inlineStr">
        <is>
          <t>Omnicanalidad real: el historial de solicitudes/autorizaciones debe verse igual sin importar el canal de origen.</t>
        </is>
      </c>
      <c r="E4" s="5" t="inlineStr">
        <is>
          <t xml:space="preserve">La opción del tracking de autorizaciones es transversal para todos los públicos lo que cambia son los filtros y que podriá hacer </t>
        </is>
      </c>
      <c r="F4" s="8" t="inlineStr">
        <is>
          <t>Cerrado</t>
        </is>
      </c>
      <c r="G4" s="4" t="n"/>
    </row>
    <row r="5" hidden="1" ht="116.25" customHeight="1">
      <c r="A5" s="4" t="inlineStr">
        <is>
          <t>Canales / Front Externos</t>
        </is>
      </c>
      <c r="B5" s="5" t="inlineStr">
        <is>
          <t>James</t>
        </is>
      </c>
      <c r="C5" s="5" t="n"/>
      <c r="D5" s="4" t="inlineStr">
        <is>
          <t>Para el prestador se deben habilitar 2 alternativas para realizar la radicación de la solicitud:
1. Con documentos (orden médica e historia clinica)
2. Sin documentos: Se debe habilitar todos los datos requeridos para que se ingresen de forma manual
Para el asegurado y asesor SIEMPRE se deben solicitar los documentos adjuntos (orden médica e historia clinica), no se debe habilitar el ingreso de datos manuales.</t>
        </is>
      </c>
      <c r="E5" s="5" t="inlineStr">
        <is>
          <t>Eso es una regla de negocio que no afecta a la aplicación.</t>
        </is>
      </c>
      <c r="F5" s="8" t="inlineStr">
        <is>
          <t>Cerrado</t>
        </is>
      </c>
      <c r="G5" s="4" t="n"/>
    </row>
    <row r="6" hidden="1" ht="146.25" customHeight="1">
      <c r="A6" s="4" t="inlineStr">
        <is>
          <t>Canales / Front Externos</t>
        </is>
      </c>
      <c r="B6" s="5" t="inlineStr">
        <is>
          <t>James</t>
        </is>
      </c>
      <c r="C6" s="5" t="n"/>
      <c r="D6" s="4" t="inlineStr">
        <is>
          <t>Habilitar el canal de acceso para que los 3 tipos de publico puedan realizar solicitudes de autorización: prestador (70-80% del volumen, foco prioritario), cliente/asegurado (~15%) y asesor (~5%, tendencia a minimizarse).
(Portal Prestador, SVP, AVA/NEXO, Super App, WH)</t>
        </is>
      </c>
      <c r="E6" s="4" t="inlineStr">
        <is>
          <t>2026
Prestador: Portal Prestador
Cliente: SVP
2027
Prestador: Whatsapp para prestador
Cliente: App y Whatsapp para Cliente
Asesor: Portal de Canales (Nuevo AVA) , Nexo (Se revisará 2027), Whatsapp</t>
        </is>
      </c>
      <c r="F6" s="8" t="inlineStr">
        <is>
          <t>Cerrado</t>
        </is>
      </c>
      <c r="G6" s="4" t="n"/>
    </row>
    <row r="7" hidden="1" ht="44.25" customHeight="1">
      <c r="A7" s="4" t="inlineStr">
        <is>
          <t>Canales / Front Externos</t>
        </is>
      </c>
      <c r="B7" s="5" t="inlineStr">
        <is>
          <t>Vivi/Sebas</t>
        </is>
      </c>
      <c r="C7" s="5" t="n"/>
      <c r="D7" s="4" t="inlineStr">
        <is>
          <t>Rescate digital automático: si falla el canal al radicar, se contacta tibbot desde el canal</t>
        </is>
      </c>
      <c r="E7" s="4" t="inlineStr">
        <is>
          <t xml:space="preserve">Se debe enviar el evento a la torre de control con la inconsistencia reportada </t>
        </is>
      </c>
      <c r="F7" s="8" t="inlineStr">
        <is>
          <t>Cerrado</t>
        </is>
      </c>
      <c r="G7" s="4" t="n"/>
    </row>
    <row r="8" hidden="1" ht="58.5" customHeight="1">
      <c r="A8" s="4" t="inlineStr">
        <is>
          <t>Canales / Front Externos</t>
        </is>
      </c>
      <c r="B8" s="5" t="inlineStr">
        <is>
          <t>James</t>
        </is>
      </c>
      <c r="C8" s="5" t="n"/>
      <c r="D8" s="4" t="inlineStr">
        <is>
          <t>Solicitar solo la identificación del asegurado (aplica solo para prestador y asesor) + 2 documentos (historia clínica y orden médica); el usuario selecciona la persona del grupo familiar para el cual requiere la autorización, indica el proveedor en el cual desea recibir la atención y adjunta los documentos.</t>
        </is>
      </c>
      <c r="E8" s="5" t="n"/>
      <c r="F8" s="8" t="inlineStr">
        <is>
          <t>Cerrado</t>
        </is>
      </c>
      <c r="G8" s="4" t="n"/>
    </row>
    <row r="9" hidden="1" ht="58.5" customHeight="1">
      <c r="A9" s="4" t="inlineStr">
        <is>
          <t>Gestor de Solicitud</t>
        </is>
      </c>
      <c r="B9" s="5" t="inlineStr">
        <is>
          <t>Vivi/Sebas</t>
        </is>
      </c>
      <c r="C9" s="5" t="n"/>
      <c r="D9" s="4" t="inlineStr">
        <is>
          <t>Documento no legible nunca bloquea al usuario, le sugiere en pantalla que revise si el documento adjunto es correcto y le debe permitir volverlo a ingresar y en caso de que no actualice el documento y envie la solicitud, se debe pasar a bandeja de revisión manual en Surahis</t>
        </is>
      </c>
      <c r="E9" s="5" t="n"/>
      <c r="F9" s="8" t="inlineStr">
        <is>
          <t>Cerrado</t>
        </is>
      </c>
      <c r="G9" s="4" t="n"/>
    </row>
    <row r="10" hidden="1" ht="29.25" customHeight="1">
      <c r="A10" s="4" t="inlineStr">
        <is>
          <t>Siniestro Integral</t>
        </is>
      </c>
      <c r="B10" s="5" t="inlineStr">
        <is>
          <t>Vivi/Sebas</t>
        </is>
      </c>
      <c r="C10" s="5" t="n"/>
      <c r="D10" s="4" t="inlineStr">
        <is>
          <t>Modelo de datos "padre-hijo": la solicitud es el padre; cada servicio o cups es una solicitud hijo y debe tener un estado propio.</t>
        </is>
      </c>
      <c r="E10" s="5" t="n"/>
      <c r="F10" s="8" t="inlineStr">
        <is>
          <t>Cerrado</t>
        </is>
      </c>
      <c r="G10" s="4" t="n"/>
    </row>
    <row r="11" hidden="1" ht="29.25" customHeight="1">
      <c r="A11" s="4" t="inlineStr">
        <is>
          <t>Siniestro Integral</t>
        </is>
      </c>
      <c r="B11" s="5" t="inlineStr">
        <is>
          <t>Vivi/Sebas</t>
        </is>
      </c>
      <c r="C11" s="5" t="n"/>
      <c r="D11" s="4" t="inlineStr">
        <is>
          <t>Genera un ID temporal como número radicador (correlation ID), y almacena la información de forma temporal. (Siniestro Padre)</t>
        </is>
      </c>
      <c r="E11" s="5" t="n"/>
      <c r="F11" s="8" t="inlineStr">
        <is>
          <t>Cerrado</t>
        </is>
      </c>
      <c r="G11" s="4" t="n"/>
    </row>
    <row r="12" hidden="1" ht="29.25" customHeight="1">
      <c r="A12" s="4" t="inlineStr">
        <is>
          <t>Gestor de Evaluación</t>
        </is>
      </c>
      <c r="B12" s="5" t="inlineStr">
        <is>
          <t>Vivi/Sebas</t>
        </is>
      </c>
      <c r="C12" s="5" t="n"/>
      <c r="D12" s="4" t="inlineStr">
        <is>
          <t>Extrae mediante agente IA la información de los documentos adjuntos (orden médica + historia clínica).</t>
        </is>
      </c>
      <c r="E12" s="5" t="n"/>
      <c r="F12" s="8" t="inlineStr">
        <is>
          <t>Cerrado</t>
        </is>
      </c>
      <c r="G12" s="4" t="n"/>
    </row>
    <row r="13" hidden="1" ht="44.25" customHeight="1">
      <c r="A13" s="4" t="inlineStr">
        <is>
          <t>Siniestro Integral</t>
        </is>
      </c>
      <c r="B13" s="5" t="inlineStr">
        <is>
          <t>Vivi/Sebas</t>
        </is>
      </c>
      <c r="C13" s="5" t="n"/>
      <c r="D13" s="4" t="inlineStr">
        <is>
          <t>Almacena los documentos en P8, se debe conservar la lógica que se tiene para que este relacionado al número de solicitud que permita ser identificado facilmente</t>
        </is>
      </c>
      <c r="E13" s="5" t="n"/>
      <c r="F13" s="8" t="inlineStr">
        <is>
          <t>Cerrado</t>
        </is>
      </c>
      <c r="G13" s="4" t="n"/>
    </row>
    <row r="14" hidden="1" ht="29.25" customHeight="1">
      <c r="A14" s="4" t="inlineStr">
        <is>
          <t>Siniestro Integral</t>
        </is>
      </c>
      <c r="B14" s="5" t="inlineStr">
        <is>
          <t>Vivi/Sebas</t>
        </is>
      </c>
      <c r="C14" s="5" t="n"/>
      <c r="D14" s="4" t="inlineStr">
        <is>
          <t>Los documentos se suben a P8 cuando la solicitud se crea en el Core (SuraHis)</t>
        </is>
      </c>
      <c r="E14" s="5" t="inlineStr">
        <is>
          <t>El core debe entregar a siniestro integral el número de la solicitud</t>
        </is>
      </c>
      <c r="F14" s="8" t="inlineStr">
        <is>
          <t>Cerrado</t>
        </is>
      </c>
      <c r="G14" s="4" t="n"/>
    </row>
    <row r="15" hidden="1" ht="29.25" customHeight="1">
      <c r="A15" s="4" t="inlineStr">
        <is>
          <t>Siniestro Integral</t>
        </is>
      </c>
      <c r="B15" s="5" t="inlineStr">
        <is>
          <t>Vivi/Sebas</t>
        </is>
      </c>
      <c r="C15" s="5" t="n"/>
      <c r="D15" s="4" t="inlineStr">
        <is>
          <t>Envia al Core una petición de creación de solicitud y publica un evento para que la torre de control guarde trazabilidad</t>
        </is>
      </c>
      <c r="E15" s="5" t="n"/>
      <c r="F15" s="8" t="inlineStr">
        <is>
          <t>Cerrado</t>
        </is>
      </c>
      <c r="G15" s="4" t="n"/>
    </row>
    <row r="16" hidden="1" ht="44.25" customHeight="1">
      <c r="A16" s="4" t="inlineStr">
        <is>
          <t>Gestor de Evaluación</t>
        </is>
      </c>
      <c r="B16" s="5" t="inlineStr">
        <is>
          <t>Vivi/Sebas</t>
        </is>
      </c>
      <c r="C16" s="5" t="n"/>
      <c r="D16" s="4" t="inlineStr">
        <is>
          <t>Autorización automática aplica para servicios clasificados como "nivel 1" (algunas no requieren soportes) ; para los niveles 3 y 4 (alto costo/riesgo) siempre van a evaluación manual.</t>
        </is>
      </c>
      <c r="E16" s="5" t="inlineStr">
        <is>
          <t>Validar con Negocio</t>
        </is>
      </c>
      <c r="F16" s="8" t="inlineStr">
        <is>
          <t>Cerrado</t>
        </is>
      </c>
      <c r="G16" s="4" t="n"/>
    </row>
    <row r="17" hidden="1" ht="44.25" customHeight="1">
      <c r="A17" s="4" t="inlineStr">
        <is>
          <t>Surahis</t>
        </is>
      </c>
      <c r="B17" s="5" t="inlineStr">
        <is>
          <t>Vivi/Sebas</t>
        </is>
      </c>
      <c r="C17" s="5" t="n"/>
      <c r="D17" s="4" t="inlineStr">
        <is>
          <t>Se debe activar la Integralidad automática con EPS Sura cuando la póliza voluntaria no cubre el servicio y se genera la negación de una solicitud (régimen contributivo activo).</t>
        </is>
      </c>
      <c r="E17" s="5" t="inlineStr">
        <is>
          <t>Validar con Negocio, dado que se trabaja desde SuraHis.</t>
        </is>
      </c>
      <c r="F17" s="8" t="inlineStr">
        <is>
          <t>Cerrado</t>
        </is>
      </c>
      <c r="G17" s="4" t="n"/>
    </row>
    <row r="18" hidden="1" ht="58.5" customHeight="1">
      <c r="A18" s="4" t="inlineStr">
        <is>
          <t>Gestor de Solicitud</t>
        </is>
      </c>
      <c r="B18" s="5" t="inlineStr">
        <is>
          <t>Vivi/Sebas</t>
        </is>
      </c>
      <c r="C18" s="5" t="n"/>
      <c r="D18" s="4" t="inlineStr">
        <is>
          <t>Se debe habilitar la opción de "Reestudio": permite solicitar una reevaluación de una solicitud negada adjuntando nueva evidencia u observaciones, se debe conservar el mismo número de solicitud padre y se debe enviar al core con el mismo evaluador de la solicitud inicial.</t>
        </is>
      </c>
      <c r="E18" s="5" t="inlineStr">
        <is>
          <t>Revisemos con Negocio.</t>
        </is>
      </c>
      <c r="F18" s="8" t="inlineStr">
        <is>
          <t>Cerrado</t>
        </is>
      </c>
      <c r="G18" s="4" t="n"/>
    </row>
    <row r="19" hidden="1" ht="29.25" customFormat="1" customHeight="1" s="85">
      <c r="A19" s="22" t="inlineStr">
        <is>
          <t>Siniestro Integral</t>
        </is>
      </c>
      <c r="B19" s="21" t="inlineStr">
        <is>
          <t>Vivi/Sebas</t>
        </is>
      </c>
      <c r="C19" s="21" t="n"/>
      <c r="D19" s="22" t="inlineStr">
        <is>
          <t>Validar si se debe publicar eventos antes de generar la solicitud oficial por parte del core</t>
        </is>
      </c>
      <c r="E19" s="21" t="inlineStr">
        <is>
          <t>La torre de control se activa desde el momento cero  (Presolicitud)</t>
        </is>
      </c>
      <c r="F19" s="8" t="inlineStr">
        <is>
          <t>Cerrado</t>
        </is>
      </c>
      <c r="G19" s="22" t="n"/>
    </row>
    <row r="20" hidden="1" ht="218.25" customHeight="1">
      <c r="A20" s="4" t="inlineStr">
        <is>
          <t>Gestor de Solicitud</t>
        </is>
      </c>
      <c r="B20" s="5" t="inlineStr">
        <is>
          <t>Vivi/Sebas</t>
        </is>
      </c>
      <c r="C20" s="5" t="n"/>
      <c r="D20" s="4" t="inlineStr">
        <is>
          <t>Se debe incorporar como requisito funcional el "rescate de la solicitud" cuando la radicación no se concluye, sin importar en qué paso quedó.</t>
        </is>
      </c>
      <c r="E20" s="5" t="inlineStr">
        <is>
          <t>El rescate digital se va a realizar por medio de tibot en dos pasos: 
1. Estará visible en todo el proceso de la solicitud de autorización para que el asegurado pueda hacer uso de él en caso de tener dudas.
2. Si identifica un error en la creación de la solicitud, se va a activar una ventana emergente donde se resuelva la duda del asegurado.
3. En caso de que el tibot no pueda resolver las dudas, se debe habilitar el paso a un asesor humano.</t>
        </is>
      </c>
      <c r="F20" s="8" t="inlineStr">
        <is>
          <t>Cerrado</t>
        </is>
      </c>
      <c r="G20" s="4" t="n"/>
    </row>
    <row r="21" hidden="1" ht="29.25" customHeight="1">
      <c r="A21" s="4" t="inlineStr">
        <is>
          <t>Gestor de Solicitud</t>
        </is>
      </c>
      <c r="B21" s="5" t="inlineStr">
        <is>
          <t>Tani</t>
        </is>
      </c>
      <c r="C21" s="5" t="n"/>
      <c r="D21" s="4" t="inlineStr">
        <is>
          <t>Disponer en el front al prestador el cambio de estado de la solicitud de Autorización</t>
        </is>
      </c>
      <c r="E21" s="5" t="n"/>
      <c r="F21" s="8" t="inlineStr">
        <is>
          <t>Cerrado</t>
        </is>
      </c>
      <c r="G21" s="4" t="n"/>
    </row>
    <row r="22" hidden="1" ht="72.75" customHeight="1">
      <c r="A22" s="4" t="inlineStr">
        <is>
          <t>Gestor de Evaluación</t>
        </is>
      </c>
      <c r="B22" s="5" t="inlineStr">
        <is>
          <t>Vivi/Sebas</t>
        </is>
      </c>
      <c r="C22" s="5" t="n"/>
      <c r="D22" s="4" t="inlineStr">
        <is>
          <t>Consulta al Core (SuraHis) coberturas, vigencias (MORA), convenios y exclusiones para los controles de evaluación, con la validación de estas reglas toma la decisión de: 
1. Rechazar la solicitud
2. Aprobar la solicitud y enviar al agente de pertinencia</t>
        </is>
      </c>
      <c r="E22" s="5" t="n"/>
      <c r="F22" s="8" t="inlineStr">
        <is>
          <t>Cerrado</t>
        </is>
      </c>
      <c r="G22" s="4" t="n"/>
    </row>
    <row r="23" hidden="1" ht="58.5" customHeight="1">
      <c r="A23" s="4" t="inlineStr">
        <is>
          <t>Gestor de Evaluación</t>
        </is>
      </c>
      <c r="B23" s="5" t="inlineStr">
        <is>
          <t>Vivi/Sebas</t>
        </is>
      </c>
      <c r="C23" s="5" t="n"/>
      <c r="D23" s="4" t="inlineStr">
        <is>
          <t>Revisar la integración para consultar mora (ir directamente al core de PDN o pasar por SuraHis).</t>
        </is>
      </c>
      <c r="E23" s="5" t="inlineStr">
        <is>
          <t>Validado con Andrés Cahrry y se concluyó que se contemplará dentro de las reglas duras. Retorna a suraHis</t>
        </is>
      </c>
      <c r="F23" s="8" t="inlineStr">
        <is>
          <t>Cerrado</t>
        </is>
      </c>
      <c r="G23" s="4" t="inlineStr">
        <is>
          <t>Validado con Andrés Cahrry y se concluyó que se contemplará dentro de las reglas duras. Retorna a suraHis</t>
        </is>
      </c>
    </row>
    <row r="24" hidden="1" ht="29.25" customHeight="1">
      <c r="A24" s="4" t="inlineStr">
        <is>
          <t>Gestor de Evaluación</t>
        </is>
      </c>
      <c r="B24" s="5" t="inlineStr">
        <is>
          <t>Vivi/Sebas</t>
        </is>
      </c>
      <c r="C24" s="5" t="n"/>
      <c r="D24" s="4" t="inlineStr">
        <is>
          <t>Reutiliza el homologador de CUPS y el motor ya productivo del proyecto de autorizaciones EPS, en vez de partir de cero.</t>
        </is>
      </c>
      <c r="E24" s="5" t="n"/>
      <c r="F24" s="8" t="inlineStr">
        <is>
          <t>Cerrado</t>
        </is>
      </c>
      <c r="G24" s="4" t="n"/>
    </row>
    <row r="25" hidden="1" ht="29.25" customHeight="1">
      <c r="A25" s="4" t="inlineStr">
        <is>
          <t>Gestor de Evaluación</t>
        </is>
      </c>
      <c r="B25" s="5" t="inlineStr">
        <is>
          <t>Vivi/Sebas</t>
        </is>
      </c>
      <c r="C25" s="5" t="n"/>
      <c r="D25" s="4" t="inlineStr">
        <is>
          <t>Valida la pertinencia médica; decide autorizar o escalar a evaluación manual (coherencia orden médica/historia clínica, CIE-10/CUPS, score de complejidad).</t>
        </is>
      </c>
      <c r="E25" s="5" t="n"/>
      <c r="F25" s="8" t="inlineStr">
        <is>
          <t>Cerrado</t>
        </is>
      </c>
      <c r="G25" s="4" t="n"/>
    </row>
    <row r="26" hidden="1" ht="44.25" customHeight="1">
      <c r="A26" s="4" t="inlineStr">
        <is>
          <t>Gestor de Evaluación</t>
        </is>
      </c>
      <c r="B26" s="5" t="inlineStr">
        <is>
          <t>Vivi/Sebas</t>
        </is>
      </c>
      <c r="C26" s="5" t="n"/>
      <c r="D26" s="4" t="inlineStr">
        <is>
          <t>Regla crítica: la negación nunca se hace 100% automática — toda negación exige intervención de un evaluador humano (administrativa vs. por pertinencia médica).</t>
        </is>
      </c>
      <c r="E26" s="5" t="n"/>
      <c r="F26" s="8" t="inlineStr">
        <is>
          <t>Cerrado</t>
        </is>
      </c>
      <c r="G26" s="4" t="n"/>
    </row>
    <row r="27" hidden="1" ht="58.5" customHeight="1">
      <c r="A27" s="4" t="inlineStr">
        <is>
          <t>Gestor de Evaluación</t>
        </is>
      </c>
      <c r="B27" s="5" t="inlineStr">
        <is>
          <t>Vivi/Sebas</t>
        </is>
      </c>
      <c r="C27" s="5" t="n"/>
      <c r="D27" s="4" t="inlineStr">
        <is>
          <t>Niveles de escalamiento: Nivel 1 automático · Nivel 2 administrativo · Niveles 3 (enfermeras/instrumentadoras) y 4 (médicos/especialistas).</t>
        </is>
      </c>
      <c r="E27" s="4" t="inlineStr">
        <is>
          <t>Esta dentro de Gestores va a sugerir el nivel al cual se debe escalar y se lo comparte a suraHis</t>
        </is>
      </c>
      <c r="F27" s="8" t="inlineStr">
        <is>
          <t>Cerrado</t>
        </is>
      </c>
      <c r="G27" s="4" t="inlineStr">
        <is>
          <t>Esta dentro de Gestores va a sugerir el nivel al cual se debe escalar y se lo comparte a suraHis</t>
        </is>
      </c>
    </row>
    <row r="28" hidden="1" ht="29.25" customHeight="1">
      <c r="A28" s="4" t="inlineStr">
        <is>
          <t>Gestor de Evaluación</t>
        </is>
      </c>
      <c r="B28" s="5" t="inlineStr">
        <is>
          <t>Vivi/Sebas</t>
        </is>
      </c>
      <c r="C28" s="5" t="n"/>
      <c r="D28" s="4" t="inlineStr">
        <is>
          <t>El agente entrega un "concepto"/resumen de su análisis al escalar a la bandeja manual, para acelerar la revisión humana.</t>
        </is>
      </c>
      <c r="E28" s="5" t="n"/>
      <c r="F28" s="8" t="inlineStr">
        <is>
          <t>Cerrado</t>
        </is>
      </c>
      <c r="G28" s="4" t="n"/>
    </row>
    <row r="29" hidden="1" ht="29.25" customHeight="1">
      <c r="A29" s="4" t="inlineStr">
        <is>
          <t>Gestor de Evaluación</t>
        </is>
      </c>
      <c r="B29" s="5" t="inlineStr">
        <is>
          <t>Vivi/Sebas</t>
        </is>
      </c>
      <c r="C29" s="5" t="n"/>
      <c r="D29" s="4" t="inlineStr">
        <is>
          <t>No genera el número de solicitud de autorización/negación: deja el caso listo vía evento — el consecutivo lo genera SuraHis.</t>
        </is>
      </c>
      <c r="E29" s="5" t="n"/>
      <c r="F29" s="8" t="inlineStr">
        <is>
          <t>Cerrado</t>
        </is>
      </c>
      <c r="G29" s="4" t="n"/>
    </row>
    <row r="30" hidden="1" ht="44.25" customHeight="1">
      <c r="A30" s="4" t="inlineStr">
        <is>
          <t>Gestor de Evaluación</t>
        </is>
      </c>
      <c r="B30" s="5" t="inlineStr">
        <is>
          <t>Vivi/Sebas</t>
        </is>
      </c>
      <c r="C30" s="5" t="n"/>
      <c r="D30" s="4" t="inlineStr">
        <is>
          <t>Valida duplicidad (mismo prestador/documentos o mismo tipo de servicio) consultando histórico en SuraHis; casos sospechosos van a bandeja manual con nivel + prioridad + explicación, sin negación automática.</t>
        </is>
      </c>
      <c r="E30" s="5" t="inlineStr">
        <is>
          <t>Falta definir con negocio/equipo médico la ventana de tiempo y el criterio exacto por tipo de servicio.</t>
        </is>
      </c>
      <c r="F30" s="8" t="inlineStr">
        <is>
          <t>Cerrado</t>
        </is>
      </c>
      <c r="G30" s="4" t="n"/>
    </row>
    <row r="31" hidden="1" ht="58.5" customHeight="1">
      <c r="A31" s="4" t="inlineStr">
        <is>
          <t>Gestor de Asignación</t>
        </is>
      </c>
      <c r="B31" s="5" t="inlineStr">
        <is>
          <t>Charry</t>
        </is>
      </c>
      <c r="C31" s="5" t="n"/>
      <c r="D31" s="4" t="inlineStr">
        <is>
          <t>La asignación al equipo se distribuye según reglas de criticidad (marcas en salud, PEP, edad del asegurado, urgencia, quejas/tutelas, diagnósticos de riesgo) entre evaluadores disponibles por nivel.</t>
        </is>
      </c>
      <c r="E31" s="5" t="inlineStr">
        <is>
          <t>Se declara que esta asignación se va a realizar en SURAHIS y el gestor determina y sugiere la criticidad de la atención</t>
        </is>
      </c>
      <c r="F31" s="8" t="inlineStr">
        <is>
          <t>Cerrado</t>
        </is>
      </c>
      <c r="G31" s="4" t="n"/>
    </row>
    <row r="32" hidden="1" ht="29.25" customHeight="1">
      <c r="A32" s="4" t="inlineStr">
        <is>
          <t>Gestor de Asignación</t>
        </is>
      </c>
      <c r="B32" s="5" t="inlineStr">
        <is>
          <t>Charry</t>
        </is>
      </c>
      <c r="C32" s="5" t="n"/>
      <c r="D32" s="4" t="inlineStr">
        <is>
          <t>Para solicitudes pendientes por gestión se habilita la reasignación entre niveles.</t>
        </is>
      </c>
      <c r="E32" s="5" t="inlineStr">
        <is>
          <t>Se declara que esta función "va en SuraHis".</t>
        </is>
      </c>
      <c r="F32" s="8" t="inlineStr">
        <is>
          <t>Cerrado</t>
        </is>
      </c>
      <c r="G32" s="4" t="n"/>
    </row>
    <row r="33" hidden="1" ht="29.25" customHeight="1">
      <c r="A33" s="4" t="inlineStr">
        <is>
          <t>Gestor de Asignación</t>
        </is>
      </c>
      <c r="B33" s="5" t="inlineStr">
        <is>
          <t>Charry</t>
        </is>
      </c>
      <c r="C33" s="5" t="n"/>
      <c r="D33" s="4" t="inlineStr">
        <is>
          <t>Cada solicitud debe tener un tiempo de respuesta asignado (100% de las solicitudes en menos de 24 horas).</t>
        </is>
      </c>
      <c r="E33" s="5" t="inlineStr">
        <is>
          <t>Se declara que esta función "va en SuraHis".</t>
        </is>
      </c>
      <c r="F33" s="8" t="inlineStr">
        <is>
          <t>Cerrado</t>
        </is>
      </c>
      <c r="G33" s="4" t="n"/>
    </row>
    <row r="34" hidden="1" ht="58.5" customHeight="1">
      <c r="A34" s="4" t="inlineStr">
        <is>
          <t>Gestor de Asignación</t>
        </is>
      </c>
      <c r="B34" s="5" t="inlineStr">
        <is>
          <t>Charry</t>
        </is>
      </c>
      <c r="C34" s="5" t="n"/>
      <c r="D34" s="4" t="inlineStr">
        <is>
          <t>Se debe notificar al asegurado cuando se identifique en el proceso de evaluación manual que se requiere un documento adicional para entregar una decisión en la evaluación, esta notificación debe incluir el enlace de la SVP o APP para que el asegurado cargue el requisito pendiente</t>
        </is>
      </c>
      <c r="E34" s="5" t="n"/>
      <c r="F34" s="8" t="inlineStr">
        <is>
          <t>Cerrado</t>
        </is>
      </c>
      <c r="G34" s="4" t="n"/>
    </row>
    <row r="35" hidden="1" ht="44.25" customHeight="1">
      <c r="A35" s="4" t="inlineStr">
        <is>
          <t>Gestor de Asignación</t>
        </is>
      </c>
      <c r="B35" s="5" t="inlineStr">
        <is>
          <t>Vivi/Sebas</t>
        </is>
      </c>
      <c r="C35" s="5" t="n"/>
      <c r="D35" s="4" t="inlineStr">
        <is>
          <t>Cuando el asegurado cargue el requisito pendiente, esta solicitud se debe encolar nuevamente en la bandeja manual en surahis y se debe asignar al mismo evaluador y con un tiempo de respuesta prioritario</t>
        </is>
      </c>
      <c r="E35" s="5" t="inlineStr">
        <is>
          <t>Se declara que esta función "va en SuraHis".</t>
        </is>
      </c>
      <c r="F35" s="8" t="inlineStr">
        <is>
          <t>Cerrado</t>
        </is>
      </c>
      <c r="G35" s="4" t="n"/>
    </row>
    <row r="36" hidden="1" ht="29.25" customHeight="1">
      <c r="A36" s="4" t="inlineStr">
        <is>
          <t>Gestor de Asignación</t>
        </is>
      </c>
      <c r="B36" s="5" t="inlineStr">
        <is>
          <t>Charry</t>
        </is>
      </c>
      <c r="C36" s="5" t="n"/>
      <c r="D36" s="4" t="inlineStr">
        <is>
          <t>Con la negación de un servicio se debe activar la radicación automática de la solicitud de integralidad a EPS Sura en el aplicativo salud web</t>
        </is>
      </c>
      <c r="E36" s="5" t="inlineStr">
        <is>
          <t>Se declara que esta función "va en SuraHis".</t>
        </is>
      </c>
      <c r="F36" s="8" t="inlineStr">
        <is>
          <t>Cerrado</t>
        </is>
      </c>
      <c r="G36" s="4" t="n"/>
    </row>
    <row r="37" hidden="1" ht="44.25" customHeight="1">
      <c r="A37" s="16" t="inlineStr">
        <is>
          <t>Gestor de Asignación</t>
        </is>
      </c>
      <c r="B37" s="17" t="inlineStr">
        <is>
          <t>Charry</t>
        </is>
      </c>
      <c r="C37" s="17" t="n"/>
      <c r="D37" s="16" t="inlineStr">
        <is>
          <t>Surahis publica un evento con el cambio de estado de la solicitud de integralidad en salud web y con este evento se alimenta la torre de control y se actualiza el estado en los canales (Front)</t>
        </is>
      </c>
      <c r="E37" s="17" t="n"/>
      <c r="F37" s="17" t="inlineStr">
        <is>
          <t>Por validar con TI</t>
        </is>
      </c>
      <c r="G37" s="16" t="n"/>
    </row>
    <row r="38" hidden="1" ht="29.25" customHeight="1">
      <c r="A38" s="4" t="inlineStr">
        <is>
          <t>Gestor de Asignación</t>
        </is>
      </c>
      <c r="B38" s="5" t="inlineStr">
        <is>
          <t>Charry</t>
        </is>
      </c>
      <c r="C38" s="5" t="n"/>
      <c r="D38" s="4" t="inlineStr">
        <is>
          <t>Se debe habilitar la opción de resignación manual de solicitudes a otro evaluador (novedades con el evaluador asignado inicialmente).</t>
        </is>
      </c>
      <c r="E38" s="5" t="inlineStr">
        <is>
          <t>Se declara que esta función "va en SuraHis".</t>
        </is>
      </c>
      <c r="F38" s="8" t="inlineStr">
        <is>
          <t>Cerrado</t>
        </is>
      </c>
      <c r="G38" s="4" t="n"/>
    </row>
    <row r="39" hidden="1" ht="29.25" customHeight="1">
      <c r="A39" s="4" t="inlineStr">
        <is>
          <t>Gestor de Coordinación</t>
        </is>
      </c>
      <c r="B39" s="5" t="inlineStr">
        <is>
          <t>Tani</t>
        </is>
      </c>
      <c r="C39" s="5" t="n"/>
      <c r="D39" s="4" t="inlineStr">
        <is>
          <t xml:space="preserve">Si el asegurado sugiere un prestador y está en convenio para los servicios que se requieren se genera la autorización sin problema a ese prestador </t>
        </is>
      </c>
      <c r="E39" s="5" t="n"/>
      <c r="F39" s="8" t="inlineStr">
        <is>
          <t>Cerrado</t>
        </is>
      </c>
      <c r="G39" s="4" t="n"/>
    </row>
    <row r="40" hidden="1" ht="44.25" customHeight="1">
      <c r="A40" s="4" t="n"/>
      <c r="B40" s="5" t="inlineStr">
        <is>
          <t>Tani</t>
        </is>
      </c>
      <c r="C40" s="5" t="n"/>
      <c r="D40" s="4" t="inlineStr">
        <is>
          <t>Si el asegurado sugiere un prestador y no está en convenio direcciona el servicio ya autorizado al prestador adecuado: (evalúa tarifa/cercanía/especialización, con Sistema de Reglas).</t>
        </is>
      </c>
      <c r="E40" s="5" t="n"/>
      <c r="F40" s="8" t="inlineStr">
        <is>
          <t>Cerrado</t>
        </is>
      </c>
      <c r="G40" s="4" t="n"/>
    </row>
    <row r="41" hidden="1" ht="218.25" customHeight="1">
      <c r="A41" s="4" t="inlineStr">
        <is>
          <t>Gestor de Coordinación</t>
        </is>
      </c>
      <c r="B41" s="5" t="inlineStr">
        <is>
          <t>Tani</t>
        </is>
      </c>
      <c r="C41" s="5" t="n"/>
      <c r="D41" s="4" t="inlineStr">
        <is>
          <t>Existente 3 casos de negocio: 
1. producto modular: Se asigna el proveedor de acuerdo con la red disponible para ese producto (direccionamiento automático) · 
2. clásica/global/evoluciona: cliente elige y se valida si esta habilitado el convenio para ese proveedor
3. No se tiene un prestador sugerido por el asegurado: se recomienda el mejor basado en el sistema de reglas definido
Reglas: 
1. Si el proveedor radica una solicitud de autorización, el debe tener la prioridad para atenderla  (siempre y cuando este contratado el servicio) 
2. Cuando el asegurado solicita una autorización y en el ordenamiento esta un proveedor que atiende diferente al sugerido por el asegurado, se debe dar prioridad al que sugiere el asegurado</t>
        </is>
      </c>
      <c r="E41" s="4" t="inlineStr">
        <is>
          <t>Vamos a tener algunos productos que tienen direccionamientos específicos, para ellos siempre se tienen que asignar unos prestadores específicos. 
Si el asegurado no sugiere prestador debemos sugerirlo nosotros con base a los criterios relacionados para selección (ejemplo: Cercanía por medio de sistema de reglas)</t>
        </is>
      </c>
      <c r="F41" s="8" t="inlineStr">
        <is>
          <t>Cerrado</t>
        </is>
      </c>
      <c r="G41" s="4" t="n"/>
    </row>
    <row r="42" hidden="1" ht="29.25" customHeight="1">
      <c r="A42" s="4" t="inlineStr">
        <is>
          <t>Gestor de Coordinación</t>
        </is>
      </c>
      <c r="B42" s="5" t="inlineStr">
        <is>
          <t>Tani</t>
        </is>
      </c>
      <c r="C42" s="5" t="n"/>
      <c r="D42" s="4" t="inlineStr">
        <is>
          <t>Criterios de priorización de prestadores: quejas (Medallia), satisfacción, disponibilidad de citas, "suficiencia de la red" y tarifa del prestador.</t>
        </is>
      </c>
      <c r="E42" s="5" t="inlineStr">
        <is>
          <t>Podrían incluirse otra más adelante. A hoy son estas</t>
        </is>
      </c>
      <c r="F42" s="8" t="inlineStr">
        <is>
          <t>Cerrado</t>
        </is>
      </c>
      <c r="G42" s="4" t="n"/>
    </row>
    <row r="43" hidden="1" ht="102" customHeight="1">
      <c r="A43" s="16" t="inlineStr">
        <is>
          <t>Gestor de Coordinación</t>
        </is>
      </c>
      <c r="B43" s="17" t="inlineStr">
        <is>
          <t>Tani</t>
        </is>
      </c>
      <c r="C43" s="17" t="n"/>
      <c r="D43" s="16" t="inlineStr">
        <is>
          <t>Si el prestador elegido no tiene convenio vigente, se asigna automáticamente el mejor rankeado y se notifica al cliente.</t>
        </is>
      </c>
      <c r="E43" s="17" t="inlineStr">
        <is>
          <t>Notifiación pendiente de validación quien envía.
Para evitar que la notificación quede duplicada quien notifica la aprobación de la autorización debe comentar el cambio del proveedor</t>
        </is>
      </c>
      <c r="F43" s="17" t="inlineStr">
        <is>
          <t>Por validar con TI</t>
        </is>
      </c>
      <c r="G43" s="16" t="n"/>
    </row>
    <row r="44" hidden="1" ht="44.25" customHeight="1">
      <c r="A44" s="16" t="inlineStr">
        <is>
          <t>Gestor de Coordinación</t>
        </is>
      </c>
      <c r="B44" s="17" t="inlineStr">
        <is>
          <t>Tani</t>
        </is>
      </c>
      <c r="C44" s="17" t="n"/>
      <c r="D44" s="16" t="inlineStr">
        <is>
          <t>Si no hay red contratada en la ciudad, se escala a Convenios (bandeja de convenios en SuraHis).</t>
        </is>
      </c>
      <c r="E44" s="17" t="inlineStr">
        <is>
          <t>Pendiente validar con SuraHis para aclarar la bandeja de convenios en el proyecto</t>
        </is>
      </c>
      <c r="F44" s="17" t="inlineStr">
        <is>
          <t>Por validar con TI</t>
        </is>
      </c>
      <c r="G44" s="16" t="n"/>
    </row>
    <row r="45" hidden="1" ht="29.25" customHeight="1">
      <c r="A45" s="4" t="inlineStr">
        <is>
          <t>Gestor de Coordinación</t>
        </is>
      </c>
      <c r="B45" s="5" t="inlineStr">
        <is>
          <t>Tani</t>
        </is>
      </c>
      <c r="C45" s="5" t="n"/>
      <c r="D45" s="4" t="inlineStr">
        <is>
          <t>mapear automáticamente la autorización contra el convenio/tarifa para pagar más rápido y reducir glosas.</t>
        </is>
      </c>
      <c r="E45" s="5" t="n"/>
      <c r="F45" s="8" t="inlineStr">
        <is>
          <t>Cerrado</t>
        </is>
      </c>
      <c r="G45" s="4" t="n"/>
    </row>
    <row r="46" hidden="1" ht="58.5" customHeight="1">
      <c r="A46" s="4" t="inlineStr">
        <is>
          <t>Gestor de Prestación</t>
        </is>
      </c>
      <c r="B46" s="5" t="inlineStr">
        <is>
          <t>Vivi/Sebas</t>
        </is>
      </c>
      <c r="C46" s="5" t="n"/>
      <c r="D46" s="4" t="inlineStr">
        <is>
          <t>Da seguimiento al "momento de verdad": si la cita fue programada, si el paciente asistió, novedades del servicio.</t>
        </is>
      </c>
      <c r="E46" s="5" t="inlineStr">
        <is>
          <t>Eventos entre Prestación y Torre de control</t>
        </is>
      </c>
      <c r="F46" s="8" t="inlineStr">
        <is>
          <t>Cerrado</t>
        </is>
      </c>
      <c r="G46" s="4" t="inlineStr">
        <is>
          <t>Eventos entre Prestación y Torre de controll o tambien interoperabilidad y torre de control</t>
        </is>
      </c>
    </row>
    <row r="47" hidden="1" ht="29.25" customHeight="1">
      <c r="A47" s="4" t="inlineStr">
        <is>
          <t>Gestor de Prestación</t>
        </is>
      </c>
      <c r="B47" s="5" t="inlineStr">
        <is>
          <t>Vivi/Sebas</t>
        </is>
      </c>
      <c r="C47" s="5" t="n"/>
      <c r="D47" s="4" t="inlineStr">
        <is>
          <t>Mecanismo actual: confirmación por QR escaneado por el asegurado (piloto ya finalizado, solo consulta externa).</t>
        </is>
      </c>
      <c r="E47" s="5" t="inlineStr">
        <is>
          <t>Validar con Negocio</t>
        </is>
      </c>
      <c r="F47" s="8" t="inlineStr">
        <is>
          <t>Cerrado</t>
        </is>
      </c>
      <c r="G47" s="4" t="n"/>
    </row>
    <row r="48" hidden="1" ht="44.25" customHeight="1">
      <c r="A48" s="4" t="inlineStr">
        <is>
          <t>Gestor de Prestación</t>
        </is>
      </c>
      <c r="B48" s="5" t="inlineStr">
        <is>
          <t>Vivi/Sebas</t>
        </is>
      </c>
      <c r="C48" s="5" t="n"/>
      <c r="D48" s="4" t="inlineStr">
        <is>
          <t>Se evalúa evolucionar a clave dinámica (doble factor, ya disponible en la app) como mecanismo de confirmación de atención.</t>
        </is>
      </c>
      <c r="E48" s="4" t="inlineStr">
        <is>
          <t>No va dentro del alcance de gestores en esta fase. Va por otro proyecto</t>
        </is>
      </c>
      <c r="F48" s="8" t="inlineStr">
        <is>
          <t>Cerrado</t>
        </is>
      </c>
      <c r="G48" s="4" t="inlineStr">
        <is>
          <t>No va dentro del alcance de gestores en esta fase. Va por otro proyecto</t>
        </is>
      </c>
    </row>
    <row r="49" hidden="1" ht="44.25" customHeight="1">
      <c r="A49" s="4" t="inlineStr">
        <is>
          <t>Gestor de Prestación</t>
        </is>
      </c>
      <c r="B49" s="5" t="inlineStr">
        <is>
          <t>Vivi/Sebas</t>
        </is>
      </c>
      <c r="C49" s="5" t="n"/>
      <c r="D49" s="4" t="inlineStr">
        <is>
          <t>Visión ideal (aún no lograda ni por EPS): OTP de asistencia + interoperabilidad directa con el sistema propio del prestador.</t>
        </is>
      </c>
      <c r="E49" s="4" t="inlineStr">
        <is>
          <t>No va dentro del alcance de gestores en esta fase. Va por otro proyecto</t>
        </is>
      </c>
      <c r="F49" s="8" t="inlineStr">
        <is>
          <t>Cerrado</t>
        </is>
      </c>
      <c r="G49" s="4" t="inlineStr">
        <is>
          <t>No va dentro del alcance de gestores en esta fase. Va por otro proyecto</t>
        </is>
      </c>
    </row>
    <row r="50" hidden="1" ht="72.75" customHeight="1">
      <c r="A50" s="4" t="inlineStr">
        <is>
          <t>Gestor de Monitoreo (Torre de Control)</t>
        </is>
      </c>
      <c r="B50" s="5" t="inlineStr">
        <is>
          <t>Vivi/Sebas</t>
        </is>
      </c>
      <c r="C50" s="5" t="n"/>
      <c r="D50" s="4" t="inlineStr">
        <is>
          <t>Recolectar información de todos los gestores para mapear las novedades del ciclo de la solicitud (Monitoreo funcional del proceso end-to-end sobre los seis momentos definidos en el Caso de Negocio de Gestores (Solicitud, Evaluación, Coordinación, Prestación, Monitoreo, Finalización), no solo del ciclo de vida de la autorización)</t>
        </is>
      </c>
      <c r="E50" s="5" t="inlineStr">
        <is>
          <t>Se incluye el ver la trazabilidad detallada, en el uno a uno</t>
        </is>
      </c>
      <c r="F50" s="8" t="inlineStr">
        <is>
          <t>Cerrado</t>
        </is>
      </c>
      <c r="G50" s="4" t="inlineStr">
        <is>
          <t>Esto es lo que queremos hacer con el gestor.</t>
        </is>
      </c>
    </row>
    <row r="51" hidden="1" ht="87.75" customHeight="1">
      <c r="A51" s="4" t="inlineStr">
        <is>
          <t>Gestor de Monitoreo (Torre de Control)</t>
        </is>
      </c>
      <c r="B51" s="5" t="inlineStr">
        <is>
          <t>Vivi/Sebas</t>
        </is>
      </c>
      <c r="C51" s="86" t="n"/>
      <c r="D51" s="23" t="inlineStr">
        <is>
          <t>Monitorea el ciclo de vida completo de la solicitud: cumplimiento de SLA/ANS (semaforos que indiquen posible incumplimiento), carga de trabajo, trazabilidad,capacidad y riesgo acumulado del ciclo.</t>
        </is>
      </c>
      <c r="E51" s="5" t="inlineStr">
        <is>
          <t>Se debe incluir el obtener la información de carga de trabajo desde SuraHIS.
Se quiere tener el SLA detallado, en el uno a uno pero tambien el SLA agrupado</t>
        </is>
      </c>
      <c r="F51" s="8" t="inlineStr">
        <is>
          <t>Cerrado</t>
        </is>
      </c>
      <c r="G51" s="4" t="n"/>
    </row>
    <row r="52" hidden="1" ht="54.75" customHeight="1">
      <c r="A52" s="48" t="inlineStr">
        <is>
          <t>Gestor de Monitoreo (Torre de Control)</t>
        </is>
      </c>
      <c r="B52" s="49" t="inlineStr">
        <is>
          <t>Vivi/Sebas</t>
        </is>
      </c>
      <c r="C52" s="49" t="n"/>
      <c r="D52" s="48" t="inlineStr">
        <is>
          <t>Visión unificada del caso o “siniestro padre”: la Torre de Control debe presentar una vista consolidada única del caso, enlazando la solicitud, la autorización y el siniestro relacionado bajo un mismo identificador padre, en lugar de vistas fragmentadas por sistema de origen.</t>
        </is>
      </c>
      <c r="E52" s="50" t="inlineStr">
        <is>
          <t>Negocio se tiene claridad de la necesidad se debe validar con Andrés Charry</t>
        </is>
      </c>
      <c r="F52" s="17" t="inlineStr">
        <is>
          <t>Por validar con TI</t>
        </is>
      </c>
      <c r="G52" s="50" t="inlineStr">
        <is>
          <t>Canales: Visual no cambia mucho queda muy similar como siniestro integral</t>
        </is>
      </c>
    </row>
    <row r="53" hidden="1" ht="87.75" customHeight="1">
      <c r="A53" s="16" t="inlineStr">
        <is>
          <t>Gestor de Monitoreo (Torre de Control)</t>
        </is>
      </c>
      <c r="B53" s="17" t="inlineStr">
        <is>
          <t>Vivi/Sebas</t>
        </is>
      </c>
      <c r="C53" s="17" t="n"/>
      <c r="D53" s="16" t="inlineStr">
        <is>
          <t>Capacidades proactivas (contactar directamente al cliente/prestador/asesor) emite notificaciones en 3 dimensiones (actor, canal, proactivo/pasivo), ejemplo: asegurado ante el incumplimiento de un SLA para dar tranquilidad de la gestión de la solicitud y alerta internamente a evaluadores/líderes por casos por vencer o desborde de capacidad, apertura de autorización, autorización en evaluación, autorización aprobada, etc.</t>
        </is>
      </c>
      <c r="E53" s="16" t="inlineStr">
        <is>
          <t>El equipo de negocio nos va a generar un listado de notificaciones para definir la forma</t>
        </is>
      </c>
      <c r="F53" s="17" t="inlineStr">
        <is>
          <t>Por validar con TI</t>
        </is>
      </c>
      <c r="G53" s="16" t="inlineStr">
        <is>
          <t>Torre de control va a enviar</t>
        </is>
      </c>
    </row>
    <row r="54" hidden="1" ht="44.25" customHeight="1">
      <c r="A54" s="4" t="inlineStr">
        <is>
          <t>Gestor de Monitoreo (Torre de Control)</t>
        </is>
      </c>
      <c r="B54" s="5" t="inlineStr">
        <is>
          <t>Vivi/Sebas</t>
        </is>
      </c>
      <c r="C54" s="86" t="n"/>
      <c r="D54" s="23" t="inlineStr">
        <is>
          <t>Capacidad de intervenir otros gestores cuando se detecte algún comportamiento insual en la solicitud</t>
        </is>
      </c>
      <c r="E54" s="5" t="n"/>
      <c r="F54" s="8" t="inlineStr">
        <is>
          <t>Cerrado</t>
        </is>
      </c>
      <c r="G54" s="4" t="n"/>
    </row>
    <row r="55" hidden="1" ht="44.25" customHeight="1">
      <c r="A55" s="4" t="inlineStr">
        <is>
          <t>Gestor de Monitoreo (Torre de Control)</t>
        </is>
      </c>
      <c r="B55" s="5" t="inlineStr">
        <is>
          <t>Vivi/Sebas</t>
        </is>
      </c>
      <c r="C55" s="5" t="n"/>
      <c r="D55" s="4" t="inlineStr">
        <is>
          <t>Indicador en la torre de control para visualización de los siniestros duplicados ingresados por el prestador que sean para el mismo</t>
        </is>
      </c>
      <c r="E55" s="4" t="inlineStr">
        <is>
          <t>Cantidad
Ver +</t>
        </is>
      </c>
      <c r="F55" s="8" t="inlineStr">
        <is>
          <t>Cerrado</t>
        </is>
      </c>
      <c r="G55" s="4" t="n"/>
    </row>
    <row r="56" hidden="1" ht="72.75" customHeight="1">
      <c r="A56" s="4" t="inlineStr">
        <is>
          <t>Gestor de Evaluación</t>
        </is>
      </c>
      <c r="B56" s="5" t="inlineStr">
        <is>
          <t>Vivi/Sebas</t>
        </is>
      </c>
      <c r="C56" s="5" t="n"/>
      <c r="D56" s="4" t="inlineStr">
        <is>
          <t>Detecta solicitudes repetidas (2 o más veces) con las mismas características y activa el mismo flujo de rescate con mensaje diferenciado, notificando al asegurado y al gestor de solicitud para bloquear la radicación de una nueva solicitud</t>
        </is>
      </c>
      <c r="E56" s="4" t="inlineStr">
        <is>
          <t>Se deben encolar a la bandeja de Gestión manual. Será el Gestor de evaluación quien revisa quien lo considera repetido y lo envía a una bandeja manual para rechazo</t>
        </is>
      </c>
      <c r="F56" s="8" t="inlineStr">
        <is>
          <t>Cerrado</t>
        </is>
      </c>
      <c r="G56" s="4" t="n"/>
    </row>
    <row r="57" hidden="1" ht="72.75" customHeight="1">
      <c r="A57" s="4" t="inlineStr">
        <is>
          <t>Gestor de Monitoreo (Torre de Control)</t>
        </is>
      </c>
      <c r="B57" s="5" t="inlineStr">
        <is>
          <t>Vivi/Sebas</t>
        </is>
      </c>
      <c r="C57" s="5" t="n"/>
      <c r="D57" s="4" t="inlineStr">
        <is>
          <t>Expone información distinta según el actor consultante (prestador, cliente, asesor), enmascarando datos sensibles.</t>
        </is>
      </c>
      <c r="E57" s="5" t="n"/>
      <c r="F57" s="8" t="inlineStr">
        <is>
          <t>Cerrado</t>
        </is>
      </c>
      <c r="G57" s="4" t="inlineStr">
        <is>
          <t>Vamos a tener front y ya no es solo un gestor tambien es un componente tecnológico que tendrá una capa de observabilidad operativa</t>
        </is>
      </c>
    </row>
    <row r="58" hidden="1" ht="44.25" customHeight="1">
      <c r="A58" s="4" t="inlineStr">
        <is>
          <t>Gestor de Monitoreo (Torre de Control)</t>
        </is>
      </c>
      <c r="B58" s="5" t="inlineStr">
        <is>
          <t>Vivi/Sebas</t>
        </is>
      </c>
      <c r="C58" s="5" t="n"/>
      <c r="D58" s="4" t="inlineStr">
        <is>
          <t>Se requiere una vista que nos permita realizar la auditoria de toda la trazabilidad de las solicitudes</t>
        </is>
      </c>
      <c r="E58" s="4" t="n"/>
      <c r="F58" s="8" t="inlineStr">
        <is>
          <t>Cerrado</t>
        </is>
      </c>
      <c r="G58" s="4" t="n"/>
    </row>
    <row r="59" hidden="1" ht="29.25" customHeight="1">
      <c r="A59" s="4" t="inlineStr">
        <is>
          <t>Canales / Front Externos</t>
        </is>
      </c>
      <c r="B59" s="5" t="inlineStr">
        <is>
          <t>James</t>
        </is>
      </c>
      <c r="C59" s="5" t="n"/>
      <c r="D59" s="22" t="inlineStr">
        <is>
          <t>El Portal Proveedor es el canal priorizado para el Release 1 del MVP y SVP Cliente</t>
        </is>
      </c>
      <c r="E59" s="5" t="inlineStr">
        <is>
          <t>OK</t>
        </is>
      </c>
      <c r="F59" s="8" t="inlineStr">
        <is>
          <t>Cerrado</t>
        </is>
      </c>
      <c r="G59" s="4" t="n"/>
    </row>
    <row r="60" hidden="1" ht="29.25" customHeight="1">
      <c r="A60" s="4" t="inlineStr">
        <is>
          <t>Canales / Front Externos</t>
        </is>
      </c>
      <c r="B60" s="5" t="inlineStr">
        <is>
          <t>James</t>
        </is>
      </c>
      <c r="C60" s="5" t="n"/>
      <c r="D60" s="4" t="inlineStr">
        <is>
          <t>La selección de prestador no es necesaria en la solicitud inicial, se debe sugerir el prestador cuando se tenga idetificado el servicio que solicita.</t>
        </is>
      </c>
      <c r="E60" s="5" t="inlineStr">
        <is>
          <t>Ok, se debe tener presente en las historias de usuario</t>
        </is>
      </c>
      <c r="F60" s="8" t="inlineStr">
        <is>
          <t>Cerrado</t>
        </is>
      </c>
      <c r="G60" s="4" t="n"/>
    </row>
    <row r="61" hidden="1" ht="72.75" customHeight="1">
      <c r="A61" s="4" t="inlineStr">
        <is>
          <t>Canales / Front Externos</t>
        </is>
      </c>
      <c r="B61" s="5" t="inlineStr">
        <is>
          <t>James</t>
        </is>
      </c>
      <c r="C61" s="5" t="n"/>
      <c r="D61" s="4" t="inlineStr">
        <is>
          <t>El cliente debe recibir notificación automática cuando un prestador radica una solicitud en su nombre, con visibilidad completa del caso sin importar el canal de radicación (evita duplicados).</t>
        </is>
      </c>
      <c r="E61" s="5" t="inlineStr">
        <is>
          <t>Eso no lo maneja el canal , sino los frentes del core - Sura HIS o S.I - lo que podemos hacer de nuestro lado es conectarlo con firebase para las notificaciones push en la APP</t>
        </is>
      </c>
      <c r="F61" s="8" t="inlineStr">
        <is>
          <t>Cerrado</t>
        </is>
      </c>
      <c r="G61" s="4" t="n"/>
    </row>
    <row r="62" ht="58.5" customFormat="1" customHeight="1" s="85">
      <c r="A62" s="22" t="inlineStr">
        <is>
          <t>Interoperabilidad (Prestadores)</t>
        </is>
      </c>
      <c r="B62" s="21" t="inlineStr">
        <is>
          <t>Checho</t>
        </is>
      </c>
      <c r="C62" s="21" t="n"/>
      <c r="D62" s="22" t="inlineStr">
        <is>
          <t>El Gestor de Prestación no requiere capacidad agéntica para la confirmación de atención; la integración se conecta directo entre Super App/interoperabilidad y el Core (SuraHis), sin crear un componente nuevo en Gestores.</t>
        </is>
      </c>
      <c r="E62" s="21" t="inlineStr">
        <is>
          <t>La confirmación de la atención de hace directamente desde la superapp hacia el core y desde interoperabilidad habia sura His</t>
        </is>
      </c>
      <c r="F62" s="8" t="inlineStr">
        <is>
          <t>Cerrado</t>
        </is>
      </c>
      <c r="G62" s="22" t="n"/>
    </row>
    <row r="63" hidden="1" ht="72.75" customHeight="1">
      <c r="A63" s="4" t="inlineStr">
        <is>
          <t>Interoperabilidad (Prestadores)</t>
        </is>
      </c>
      <c r="B63" s="5" t="inlineStr">
        <is>
          <t>Checho</t>
        </is>
      </c>
      <c r="C63" s="5" t="n"/>
      <c r="D63" s="4" t="inlineStr">
        <is>
          <t>La interoperabilidad administrativa de autorizaciones está en construcción por el equipo de Interoperabilidad (Sergio "Checho" Pérez) junto con el equipo de autorizaciones y pólizas; no alcanza a cerrarse antes del cierre de estructuración.</t>
        </is>
      </c>
      <c r="E63" s="5" t="inlineStr">
        <is>
          <t>Sin estimación detallada de costos aún, solo a muy alto nivel.</t>
        </is>
      </c>
      <c r="F63" s="8" t="inlineStr">
        <is>
          <t>Cerrado</t>
        </is>
      </c>
      <c r="G63" s="4" t="inlineStr">
        <is>
          <t>Se va a tomar un pivote un ejercicio anterior similar porque no alcanzan a terminar la estimación para esta necesidad antes de la fecha pactada</t>
        </is>
      </c>
    </row>
    <row r="64" hidden="1" ht="44.25" customHeight="1">
      <c r="A64" s="4" t="inlineStr">
        <is>
          <t>Interoperabilidad (Prestadores)</t>
        </is>
      </c>
      <c r="B64" s="5" t="inlineStr">
        <is>
          <t>Checho</t>
        </is>
      </c>
      <c r="C64" s="5" t="n"/>
      <c r="D64" s="4" t="inlineStr">
        <is>
          <t>Hoy existen ~12 software de interoperabilidad habilitados con prestadores (incluye Himed/proveedor Pareto, Salud Tools, Servintech), con datos de institución/médico tratante, fecha y tipo/motivo de consulta.</t>
        </is>
      </c>
      <c r="E64" s="5" t="inlineStr">
        <is>
          <t>Falta confirmar si hay que ajustar algo con estos 12 software o si es transparente para ellos.</t>
        </is>
      </c>
      <c r="F64" s="8" t="inlineStr">
        <is>
          <t>Cerrado</t>
        </is>
      </c>
      <c r="G64" s="4" t="inlineStr">
        <is>
          <t>Todo depende del proyecto de interoperabilidad</t>
        </is>
      </c>
    </row>
    <row r="65" ht="29.25" customFormat="1" customHeight="1" s="85">
      <c r="A65" s="22" t="inlineStr">
        <is>
          <t>Interoperabilidad (Prestadores)</t>
        </is>
      </c>
      <c r="B65" s="21" t="inlineStr">
        <is>
          <t>Charry</t>
        </is>
      </c>
      <c r="C65" s="21" t="inlineStr">
        <is>
          <t>No</t>
        </is>
      </c>
      <c r="D65" s="22" t="inlineStr">
        <is>
          <t>Obtener la fecha de programación de la cita con prestación interna y a futuro  con interoperabilidad para prestación externa</t>
        </is>
      </c>
      <c r="E65" s="21" t="n"/>
      <c r="F65" s="17" t="inlineStr">
        <is>
          <t xml:space="preserve">Por validar </t>
        </is>
      </c>
      <c r="G65" s="22" t="n"/>
    </row>
    <row r="66" ht="102" customFormat="1" customHeight="1" s="85">
      <c r="A66" s="22" t="inlineStr">
        <is>
          <t>Interoperabilidad (Prestadores)</t>
        </is>
      </c>
      <c r="B66" s="21" t="inlineStr">
        <is>
          <t>Checho</t>
        </is>
      </c>
      <c r="C66" s="21" t="n"/>
      <c r="D66" s="22" t="inlineStr">
        <is>
          <t>Debe agendarse cita con previo consentimiento explícito del asegurado (el sistema sugiere las citas disponibles y confirma con el asegurado antes de agendar). Solo para prestación interna</t>
        </is>
      </c>
      <c r="E66" s="22" t="inlineStr">
        <is>
          <t xml:space="preserve">Agendamiento en red externa no está dentro de nuestro alcance inicial (MPV), pero si se puede tener conexión con citas disponibles en red propia (IPS SURA, ayudas dx SURA)
</t>
        </is>
      </c>
      <c r="F66" s="21" t="n"/>
      <c r="G66" s="22" t="inlineStr">
        <is>
          <t>Para red externa se evaluará el proceso de agendamiento de citas cuando se tenga la conexión con interoperabilidad en agendamiento</t>
        </is>
      </c>
    </row>
    <row r="67" hidden="1" ht="44.25" customHeight="1">
      <c r="A67" s="4" t="inlineStr">
        <is>
          <t>Interoperabilidad (Prestadores)</t>
        </is>
      </c>
      <c r="B67" s="5" t="inlineStr">
        <is>
          <t>Checho</t>
        </is>
      </c>
      <c r="C67" s="5" t="n"/>
      <c r="D67" s="4" t="inlineStr">
        <is>
          <t>¿Cómo se cierra la brecha de confirmación de atención para prestación externa (~60-70% de la población)? SuraHis resolvería el gap interno, pero no está claro que resuelva el externo.</t>
        </is>
      </c>
      <c r="E67" s="5" t="n"/>
      <c r="F67" s="8" t="inlineStr">
        <is>
          <t>Cerrado</t>
        </is>
      </c>
      <c r="G67" s="4" t="inlineStr">
        <is>
          <t>Por medio del front de canales</t>
        </is>
      </c>
    </row>
    <row r="68" hidden="1" ht="44.25" customHeight="1">
      <c r="A68" s="4" t="inlineStr">
        <is>
          <t>NEXO (Asesores)</t>
        </is>
      </c>
      <c r="B68" s="5" t="inlineStr">
        <is>
          <t>Pao Chica</t>
        </is>
      </c>
      <c r="C68" s="5" t="n"/>
      <c r="D68" s="4" t="inlineStr">
        <is>
          <t>El asesor debe poder radicar en nombre del cliente reutilizando la misma evidencia (ej. foto) que el cliente envía por WhatsApp, para no duplicar captura de información.</t>
        </is>
      </c>
      <c r="E68" s="5" t="inlineStr">
        <is>
          <t>Propuesto por Nexo (Carlos Carmona)</t>
        </is>
      </c>
      <c r="F68" s="8" t="inlineStr">
        <is>
          <t>Cerrado</t>
        </is>
      </c>
      <c r="G68" s="4" t="n"/>
    </row>
    <row r="69" hidden="1" ht="44.25" customHeight="1">
      <c r="A69" s="4" t="inlineStr">
        <is>
          <t>NEXO (Asesores)</t>
        </is>
      </c>
      <c r="B69" s="5" t="inlineStr">
        <is>
          <t>Pao Chica</t>
        </is>
      </c>
      <c r="C69" s="5" t="n"/>
      <c r="D69" s="16" t="inlineStr">
        <is>
          <t>Se debe habilitar consulta rápida del estado de la autorización desde el WhatsApp de asesores de Nexo (~14.000 usuarios) mediante la cédula del cliente.</t>
        </is>
      </c>
      <c r="E69" s="5" t="inlineStr">
        <is>
          <t>Por validar con Nexo si aplica en el MVP o en una fase posterior.</t>
        </is>
      </c>
      <c r="F69" s="8" t="inlineStr">
        <is>
          <t>Cerrado</t>
        </is>
      </c>
      <c r="G69" s="4" t="n"/>
    </row>
    <row r="70" hidden="1" ht="44.25" customHeight="1">
      <c r="A70" s="4" t="inlineStr">
        <is>
          <t>AVA (Asesores — AVA)</t>
        </is>
      </c>
      <c r="B70" s="5" t="inlineStr">
        <is>
          <t>Alan</t>
        </is>
      </c>
      <c r="C70" s="5" t="n"/>
      <c r="D70" s="4" t="inlineStr">
        <is>
          <t>AVA se mantiene habilitado en paralelo a Nexo (no lo reemplaza 1:1): Nexo no cubrirá el 100% de los ~4.500 asesores (independientes, agencias y corredores pueden no migrar).</t>
        </is>
      </c>
      <c r="E70" s="5" t="inlineStr">
        <is>
          <t xml:space="preserve">Se debe tener en cuenta que AVA se va a reemplazar por una nueva plataforma </t>
        </is>
      </c>
      <c r="F70" s="8" t="inlineStr">
        <is>
          <t>Cerrado</t>
        </is>
      </c>
      <c r="G70" s="4" t="n"/>
    </row>
    <row r="71" hidden="1" ht="58.5" customHeight="1">
      <c r="A71" s="4" t="inlineStr">
        <is>
          <t>AVA (Asesores — AVA)</t>
        </is>
      </c>
      <c r="B71" s="5" t="inlineStr">
        <is>
          <t>Alan</t>
        </is>
      </c>
      <c r="C71" s="5" t="n"/>
      <c r="D71" s="4" t="inlineStr">
        <is>
          <t>La trazabilidad de la solicitud debe resolverse desde la capa de Gestores, sin depender de si el origen fue AVA o Nexo (mismo estándar de trazabilidad para ambos frentes).</t>
        </is>
      </c>
      <c r="E71" s="5" t="inlineStr">
        <is>
          <t>Se debe enviar a AVA/NEXO la trazabilidad de las solicitudes indiferente del canal de origen de la radicación</t>
        </is>
      </c>
      <c r="F71" s="8" t="inlineStr">
        <is>
          <t>Cerrado</t>
        </is>
      </c>
      <c r="G71" s="4" t="inlineStr">
        <is>
          <t>Con AVA y con Nexo debemos tener integración por eventos para trazabilidad</t>
        </is>
      </c>
    </row>
    <row r="72" hidden="1" ht="44.25" customHeight="1">
      <c r="A72" s="4" t="inlineStr">
        <is>
          <t>AVA (Asesores — AVA)</t>
        </is>
      </c>
      <c r="B72" s="5" t="inlineStr">
        <is>
          <t>Alan</t>
        </is>
      </c>
      <c r="C72" s="5" t="n"/>
      <c r="D72" s="4" t="inlineStr">
        <is>
          <t>Hoy las tres opciones de Reclamaciones en AVA (consultar estado, ingresar autorización, ingresar reembolso) redirigen al aplicativo ADR — no es experiencia nativa; debe evolucionar a integración directa con Gestores.</t>
        </is>
      </c>
      <c r="E72" s="5" t="n"/>
      <c r="F72" s="8" t="inlineStr">
        <is>
          <t>Cerrado</t>
        </is>
      </c>
      <c r="G72" s="4" t="inlineStr">
        <is>
          <t>Se utilizará front único de canales</t>
        </is>
      </c>
    </row>
    <row r="73" ht="72.75" customFormat="1" customHeight="1" s="31">
      <c r="A73" s="16" t="inlineStr">
        <is>
          <t>Interoperabilidad (Prestadores)</t>
        </is>
      </c>
      <c r="B73" s="17" t="inlineStr">
        <is>
          <t>Checho</t>
        </is>
      </c>
      <c r="C73" s="17" t="n"/>
      <c r="D73" s="16" t="inlineStr">
        <is>
          <t>Principio de responsabilidad única: si Gestores necesita un dato o funcionalidad de interoperabilidad, primero debe solicitarlo a través de SuraHIS (el core); una conexión directa de Gestores a Interoperabilidad solo se justifica cuando SuraHIS no tiene o no va a tener ese dato.</t>
        </is>
      </c>
      <c r="E73" s="17" t="inlineStr">
        <is>
          <t>Vivi quiere conocer la arquitectura de esa fracción del proceso</t>
        </is>
      </c>
      <c r="F73" s="17" t="inlineStr">
        <is>
          <t>Por validar con TI</t>
        </is>
      </c>
      <c r="G73" s="16" t="inlineStr">
        <is>
          <t>Debemos tener un componente hacía interoprabilidad para completar la información que vea que falta en el flujo de evaluación en la HC</t>
        </is>
      </c>
    </row>
    <row r="74" hidden="1" ht="72.75" customHeight="1">
      <c r="A74" s="4" t="inlineStr">
        <is>
          <t>Interoperabilidad (Prestadores)</t>
        </is>
      </c>
      <c r="B74" s="5" t="inlineStr">
        <is>
          <t>Checho</t>
        </is>
      </c>
      <c r="C74" s="5" t="n"/>
      <c r="D74" s="4" t="inlineStr">
        <is>
          <t>Se definen 5 momentos de integración con Interoperabilidad: (1) solicitud/consulta de historia clínica, (2) envío de la autorización al prestador, (3) confirmación de la atención/prestación, (4) recepción de nuevas órdenes o autorizaciones que surjan durante la atención (ej. exámenes adicionales), (5) agenda disponible en el prestador para atención de un servicio</t>
        </is>
      </c>
      <c r="E74" s="5" t="n"/>
      <c r="F74" s="8" t="inlineStr">
        <is>
          <t>Cerrado</t>
        </is>
      </c>
      <c r="G74" s="4" t="n"/>
    </row>
    <row r="75" hidden="1" ht="44.25" customHeight="1">
      <c r="A75" s="4" t="inlineStr">
        <is>
          <t>Interoperabilidad (Prestadores)</t>
        </is>
      </c>
      <c r="B75" s="5" t="inlineStr">
        <is>
          <t>Checho</t>
        </is>
      </c>
      <c r="C75" s="5" t="n"/>
      <c r="D75" s="4" t="inlineStr">
        <is>
          <t>El estándar de referencia para el intercambio de información clínica es el RDA (Resumen Digital de Atención), alineado con FHIR/HL7 y con la normativa colombiana vigente.</t>
        </is>
      </c>
      <c r="E75" s="5" t="n"/>
      <c r="F75" s="8" t="inlineStr">
        <is>
          <t>Cerrado</t>
        </is>
      </c>
      <c r="G75" s="4" t="n"/>
    </row>
    <row r="76" hidden="1" ht="44.25" customHeight="1">
      <c r="A76" s="4" t="inlineStr">
        <is>
          <t>Interoperabilidad (Prestadores)</t>
        </is>
      </c>
      <c r="B76" s="5" t="inlineStr">
        <is>
          <t>Checho</t>
        </is>
      </c>
      <c r="C76" s="5" t="n"/>
      <c r="D76" s="4" t="inlineStr">
        <is>
          <t>Se solicitará al equipo de Interoperabilidad que su primer entregable/release sean los contratos de API (aunque la solución completa no esté lista), para que Gestores pueda construir e integrar desde ya contra un contrato estable.</t>
        </is>
      </c>
      <c r="E76" s="5" t="n"/>
      <c r="F76" s="8" t="inlineStr">
        <is>
          <t>Cerrado</t>
        </is>
      </c>
      <c r="G76" s="4" t="n"/>
    </row>
    <row r="77" hidden="1" ht="44.25" customHeight="1">
      <c r="A77" s="4" t="inlineStr">
        <is>
          <t>Canales / Front Externos</t>
        </is>
      </c>
      <c r="B77" s="5" t="inlineStr">
        <is>
          <t>James</t>
        </is>
      </c>
      <c r="C77" s="5" t="n"/>
      <c r="D77" s="4" t="inlineStr">
        <is>
          <t>La SVP (y en general los canales de cliente) deben permitir editar/cambiar el prestador asignado en la autorización, dentro de un tiempo máximo definido; superado ese tiempo, se confirma automáticamente el prestador por defecto.</t>
        </is>
      </c>
      <c r="E77" s="5" t="inlineStr">
        <is>
          <t>Ok,- es una regla de negocio para las historias de usuario</t>
        </is>
      </c>
      <c r="F77" s="8" t="inlineStr">
        <is>
          <t>Cerrado</t>
        </is>
      </c>
      <c r="G77" s="4" t="n"/>
    </row>
    <row r="78" hidden="1" ht="68.09999999999999" customHeight="1">
      <c r="A78" s="16" t="inlineStr">
        <is>
          <t>Gestor de Coordinación</t>
        </is>
      </c>
      <c r="B78" s="17" t="inlineStr">
        <is>
          <t>Tani</t>
        </is>
      </c>
      <c r="C78" s="17" t="n"/>
      <c r="D78" s="16" t="inlineStr">
        <is>
          <t>Evaluar incorporar un componente conversacional (chat/WhatsApp) en el Gestor de Coordinación que confirme con el cliente el prestador asignado antes de cerrar la autorización, ofreciendo alternativas; si el cliente no responde en un tiempo definido, se asume el prestador asignado por defecto.</t>
        </is>
      </c>
      <c r="E78" s="17" t="inlineStr">
        <is>
          <t>Solo aplicaría a algunos servicios/productos, no a la totalidad — a escala completa (~600.000 autorizaciones/mes) no es viable para todos los casos.</t>
        </is>
      </c>
      <c r="F78" s="17" t="inlineStr">
        <is>
          <t>Por validar con TI</t>
        </is>
      </c>
      <c r="G78" s="16" t="inlineStr">
        <is>
          <t>Agosto26:Pendiente la sesión de mañana previa con juan toto</t>
        </is>
      </c>
    </row>
    <row r="79" hidden="1" ht="44.25" customHeight="1">
      <c r="A79" s="4" t="inlineStr">
        <is>
          <t>Transversal</t>
        </is>
      </c>
      <c r="B79" s="5" t="inlineStr">
        <is>
          <t>Tani</t>
        </is>
      </c>
      <c r="C79" s="5" t="n"/>
      <c r="D79" s="4" t="inlineStr">
        <is>
          <t>si la libre elección de prestador aplica solo a pólizas Salud Global o a todo el portafolio (excepto modular). Es "muy importante" porque si cambia, impacta todo el portafolio.</t>
        </is>
      </c>
      <c r="E79" s="5" t="n"/>
      <c r="F79" s="8" t="inlineStr">
        <is>
          <t>Cerrado</t>
        </is>
      </c>
      <c r="G79" s="4" t="n"/>
    </row>
    <row r="80" hidden="1" ht="58.5" customHeight="1">
      <c r="A80" s="4" t="inlineStr">
        <is>
          <t>Gestor de Solicitud</t>
        </is>
      </c>
      <c r="B80" s="5" t="inlineStr">
        <is>
          <t>Vivi/Sebas</t>
        </is>
      </c>
      <c r="C80" s="5" t="n"/>
      <c r="D80" s="4" t="inlineStr">
        <is>
          <t>reglas de visibilidad en el portal de solicitudes — si el prestador que originó una orden puede ver las solicitudes que quedaron asignadas a otro prestador. Señalada explícitamente como decisión "muy importante" sin dueño claro todavía.</t>
        </is>
      </c>
      <c r="E80" s="5" t="n"/>
      <c r="F80" s="8" t="inlineStr">
        <is>
          <t>Cerrado</t>
        </is>
      </c>
      <c r="G80" s="4" t="n"/>
    </row>
    <row r="81" hidden="1" ht="44.25" customHeight="1">
      <c r="A81" s="4" t="inlineStr">
        <is>
          <t>Interoperabilidad (Prestadores)</t>
        </is>
      </c>
      <c r="B81" s="5" t="inlineStr">
        <is>
          <t>Vivi/Sebas</t>
        </is>
      </c>
      <c r="C81" s="5" t="n"/>
      <c r="D81" s="4" t="inlineStr">
        <is>
          <t>falta decidir el modelo operativo único entre 3 opciones (vía interoperabilidad cuando esté lista, que el prestador que generó la orden asuma el costo operativo, o que se le entregue el papeleo al cliente).</t>
        </is>
      </c>
      <c r="E81" s="5" t="n"/>
      <c r="F81" s="8" t="inlineStr">
        <is>
          <t>Cerrado</t>
        </is>
      </c>
      <c r="G81" s="4" t="n"/>
    </row>
    <row r="82" hidden="1" ht="44.25" customHeight="1">
      <c r="A82" s="4" t="inlineStr">
        <is>
          <t>Transversal</t>
        </is>
      </c>
      <c r="B82" s="5" t="inlineStr">
        <is>
          <t>Tani</t>
        </is>
      </c>
      <c r="C82" s="5" t="n"/>
      <c r="D82" s="4" t="inlineStr">
        <is>
          <t>Definir si se incorpora un paso explícito de aceptación/confirmación del paciente sobre el prestador asignado, y el tiempo máximo para que la SVP permita editar el prestador (incluyendo el costo operativo de ese cambio).</t>
        </is>
      </c>
      <c r="E82" s="5" t="n"/>
      <c r="F82" s="8" t="inlineStr">
        <is>
          <t>Cerrado</t>
        </is>
      </c>
      <c r="G82" s="4" t="n"/>
    </row>
    <row r="83" hidden="1" ht="44.25" customHeight="1">
      <c r="A83" s="4" t="inlineStr">
        <is>
          <t>Interoperabilidad (Prestadores)</t>
        </is>
      </c>
      <c r="B83" s="5" t="inlineStr">
        <is>
          <t>Checho</t>
        </is>
      </c>
      <c r="C83" s="5" t="n"/>
      <c r="D83" s="4" t="inlineStr">
        <is>
          <t>¿Pueden comprometerse a que su primer release sea el contrato de API (aunque la solución completa de gobierno de datos no esté lista), para que Gestores pueda construir contra un contrato estable desde ya?</t>
        </is>
      </c>
      <c r="E83" s="5" t="n"/>
      <c r="F83" s="8" t="inlineStr">
        <is>
          <t>Cerrado</t>
        </is>
      </c>
      <c r="G83" s="4" t="n"/>
    </row>
    <row r="84" ht="29.25" customFormat="1" customHeight="1" s="31">
      <c r="A84" s="16" t="inlineStr">
        <is>
          <t>Interoperabilidad (Prestadores)</t>
        </is>
      </c>
      <c r="B84" s="17" t="inlineStr">
        <is>
          <t>Checho</t>
        </is>
      </c>
      <c r="C84" s="17" t="n"/>
      <c r="D84" s="16" t="inlineStr">
        <is>
          <t>¿Cuál es la cobertura real hoy (cuántos y cuáles prestadores conectados, y si sigue limitado solo a consulta externa, como dijo Santiago en la sesión inicial?</t>
        </is>
      </c>
      <c r="E84" s="32" t="inlineStr">
        <is>
          <t>Tani valida con Santi los prestadores conectados en interoperabilidad</t>
        </is>
      </c>
      <c r="F84" s="17" t="inlineStr">
        <is>
          <t>por validar con TI</t>
        </is>
      </c>
      <c r="G84" s="17" t="inlineStr">
        <is>
          <t>El 30% aproximadamente de los prestadores</t>
        </is>
      </c>
    </row>
    <row r="85" hidden="1" ht="29.25" customHeight="1">
      <c r="A85" s="4" t="inlineStr">
        <is>
          <t>Interoperabilidad (Prestadores)</t>
        </is>
      </c>
      <c r="B85" s="5" t="inlineStr">
        <is>
          <t>Checho</t>
        </is>
      </c>
      <c r="C85" s="5" t="n"/>
      <c r="D85" s="4" t="inlineStr">
        <is>
          <t>Validar si el estándar RDA (Resumen Digital de Atención) cubre lo que Gestores necesita del gestor de Evaluación, o si hay vacíos.</t>
        </is>
      </c>
      <c r="E85" s="5" t="n"/>
      <c r="F85" s="8" t="inlineStr">
        <is>
          <t>Cerrado</t>
        </is>
      </c>
      <c r="G85" s="4" t="n"/>
    </row>
    <row r="86" hidden="1" ht="44.25" customHeight="1">
      <c r="A86" s="4" t="inlineStr">
        <is>
          <t>Gestor de Solicitud</t>
        </is>
      </c>
      <c r="B86" s="5" t="inlineStr">
        <is>
          <t>Vivi/Sebas</t>
        </is>
      </c>
      <c r="C86" s="5" t="n"/>
      <c r="D86" s="13" t="inlineStr">
        <is>
          <t>Estrategia de canal de ingreso para prestadores declarada dual y no excluyente: la interoperabilidad de autorizaciones es el camino objetivo (“deber ser”); el Front del portal de prestadores se mantiene como contingencia, no se elimina.</t>
        </is>
      </c>
      <c r="E86" s="5" t="n"/>
      <c r="F86" s="14" t="inlineStr">
        <is>
          <t>Cerrado</t>
        </is>
      </c>
      <c r="G86" s="4" t="n"/>
    </row>
    <row r="87" hidden="1" ht="87.75" customHeight="1">
      <c r="A87" s="4" t="inlineStr">
        <is>
          <t>Gestor de Solicitud</t>
        </is>
      </c>
      <c r="B87" s="5" t="inlineStr">
        <is>
          <t>Vivi/Sebas</t>
        </is>
      </c>
      <c r="C87" s="5" t="n"/>
      <c r="D87" s="22" t="inlineStr">
        <is>
          <t>Para prestadores que ingresen vía interoperabilidad de autorizaciones (modelo orientado a eventos): el gestor se suscribe al ordenamiento en cuanto llega, consulta la historia clínica para completar la información y genera la autorización de forma automática, sin diligenciamiento de formulario ni carga de documentos por parte del prestador.</t>
        </is>
      </c>
      <c r="E87" s="5" t="inlineStr">
        <is>
          <t>El flujo de negocio de autorizaciones vía interoperabilidad aún no está estructurado con Negocio; arranca el 26-ago con EPS y continúa la próxima semana con póliza de Salud.</t>
        </is>
      </c>
      <c r="F87" s="8" t="inlineStr">
        <is>
          <t>Cerrado</t>
        </is>
      </c>
      <c r="G87" s="4" t="n"/>
    </row>
    <row r="88" hidden="1" ht="58.5" customHeight="1">
      <c r="A88" s="4" t="inlineStr">
        <is>
          <t>Canales / Front Externos</t>
        </is>
      </c>
      <c r="B88" s="5" t="inlineStr">
        <is>
          <t>James</t>
        </is>
      </c>
      <c r="C88" s="5" t="n"/>
      <c r="D88" s="22" t="inlineStr">
        <is>
          <t>Para los prestadores conectados por interoperabilidad, el Front expondrá una vista de consulta del estado de la autorización frente al ordenamiento y la opción de creación de solicitud nueva (como contingencia), dado que la generación es automática y se actualiza en línea.</t>
        </is>
      </c>
      <c r="E88" s="5" t="n"/>
      <c r="F88" s="14" t="inlineStr">
        <is>
          <t>Cerrado</t>
        </is>
      </c>
      <c r="G88" s="4" t="n"/>
    </row>
    <row r="89" hidden="1" ht="72.75" customFormat="1" customHeight="1" s="31">
      <c r="A89" s="16" t="inlineStr">
        <is>
          <t>Canales / Front Externos</t>
        </is>
      </c>
      <c r="B89" s="17" t="inlineStr">
        <is>
          <t>James</t>
        </is>
      </c>
      <c r="C89" s="17" t="n"/>
      <c r="D89" s="16" t="inlineStr">
        <is>
          <t>Se descarta construir un formulario de diligenciamiento propio para el prestador (equivalente al actual de ADR); el prestador que ingrese por el Front usará el mismo componente de carga de documentos (orden médica + historia clínica) que cliente y asesor, para minimizar el esfuerzo de construcción.</t>
        </is>
      </c>
      <c r="E89" s="17" t="inlineStr">
        <is>
          <t>Validar porque se descarto el uso del formulario manual, entendiendo que puede usarse como en EPS cuando la IA no logra interpretar los datos de los documentos adjuntos</t>
        </is>
      </c>
      <c r="F89" s="17" t="inlineStr">
        <is>
          <t>por validar con TI</t>
        </is>
      </c>
      <c r="G89" s="16" t="n"/>
    </row>
    <row r="90" hidden="1" ht="58.5" customHeight="1">
      <c r="A90" s="4" t="inlineStr">
        <is>
          <t>Gestor de Solicitud</t>
        </is>
      </c>
      <c r="B90" s="5" t="inlineStr">
        <is>
          <t>Vivi/Sebas</t>
        </is>
      </c>
      <c r="C90" s="5" t="n"/>
      <c r="D90" s="13" t="inlineStr">
        <is>
          <t>El Front web queda formalmente declarado como contingencia (no como opción principal): los prestadores que ingresen por el Front deberán migrar a interoperabilidad en algún punto. Se aclara explícitamente que “contingencia” no implica menor robustez ni pérdida de valor del canal.</t>
        </is>
      </c>
      <c r="E90" s="5" t="n"/>
      <c r="F90" s="14" t="inlineStr">
        <is>
          <t>Cerrado</t>
        </is>
      </c>
      <c r="G90" s="4" t="n"/>
    </row>
    <row r="91" hidden="1" ht="87.75" customHeight="1">
      <c r="A91" s="4" t="inlineStr">
        <is>
          <t>Interoperabilidad (Prestadores)</t>
        </is>
      </c>
      <c r="B91" s="5" t="inlineStr">
        <is>
          <t>Checho</t>
        </is>
      </c>
      <c r="C91" s="5" t="n"/>
      <c r="D91" s="22" t="inlineStr">
        <is>
          <t>Se requiere un plan de conexión/incentivo (gancho de valor operativo, no solo normativo) para escalar de los ~3.400 prestadores hoy conectados en interoperabilidad de historia clínica hacia la interoperabilidad de autorizaciones, priorizando instituciones de alto volumen de atención aún no conectadas (ej. Imbanaco, Fundación Valle del Lili, Pablo Tobón Uribe, Clínica Santa Fe).</t>
        </is>
      </c>
      <c r="E91" s="5" t="inlineStr">
        <is>
          <t>Pendiente cruzar el listado de prestadores conectados vs. volumen real de autorizaciones por prestador para dimensionar el pareto real (compromiso Sebastián/Viviana).</t>
        </is>
      </c>
      <c r="F91" s="8" t="inlineStr">
        <is>
          <t>Cerrado</t>
        </is>
      </c>
      <c r="G91" s="4" t="inlineStr">
        <is>
          <t>Solamente aparece Medicarte en el cruce que se hizo</t>
        </is>
      </c>
    </row>
    <row r="92" hidden="1" ht="44.25" customHeight="1">
      <c r="A92" s="4" t="inlineStr">
        <is>
          <t>Interoperabilidad (Prestadores)</t>
        </is>
      </c>
      <c r="B92" s="5" t="inlineStr">
        <is>
          <t>Checho</t>
        </is>
      </c>
      <c r="C92" s="5" t="n"/>
      <c r="D92" s="22" t="inlineStr">
        <is>
          <t>Pendiente confirmar el responsable desde Negocio que jalone/lidere la adopción de interoperabilidad ante los prestadores; Pao de la Cuesta asumiría esa gestión desde su nuevo rol, a confirmar.</t>
        </is>
      </c>
      <c r="E92" s="5" t="n"/>
      <c r="F92" s="8" t="inlineStr">
        <is>
          <t>Cerrado</t>
        </is>
      </c>
      <c r="G92" s="4" t="n"/>
    </row>
    <row r="93" hidden="1" ht="58.5" customHeight="1">
      <c r="A93" s="10" t="inlineStr">
        <is>
          <t>Interoperabilidad (Prestadores)</t>
        </is>
      </c>
      <c r="B93" s="5" t="inlineStr">
        <is>
          <t>Vivi/Sebas</t>
        </is>
      </c>
      <c r="C93" s="5" t="n"/>
      <c r="D93" s="4" t="inlineStr">
        <is>
          <t>Cruzar el listado de prestadores compartido por checho (Interoperabilidad) contra el informe de autorizaciones totales por prestador de todo 2026 (a extraer de Globalweb), para determinar el volumen de autorizaciones por prestador.</t>
        </is>
      </c>
      <c r="E93" s="4" t="inlineStr">
        <is>
          <t>Dimencionar y priorizar qué prestadores conectar primero de cara a la estructuración de interoperabilidad de autorizaciones</t>
        </is>
      </c>
      <c r="F93" s="8" t="inlineStr">
        <is>
          <t>Cerrado</t>
        </is>
      </c>
    </row>
    <row r="94" hidden="1" ht="44.25" customHeight="1">
      <c r="A94" s="10" t="inlineStr">
        <is>
          <t>Gestor de Monitoreo (Torre de Control)</t>
        </is>
      </c>
      <c r="B94" s="5" t="inlineStr">
        <is>
          <t>Vivi/Sebas</t>
        </is>
      </c>
      <c r="C94" s="5" t="n"/>
      <c r="D94" s="20" t="inlineStr">
        <is>
          <t>Se expone vista consolidada/agregada del proceso (“el bosque”) y el detalle caso a caso de una solicitud específica (“el árbol”)</t>
        </is>
      </c>
      <c r="E94" s="15" t="n"/>
      <c r="F94" s="19" t="inlineStr">
        <is>
          <t>Cerrado</t>
        </is>
      </c>
      <c r="G94" s="4" t="n"/>
    </row>
    <row r="95" hidden="1" ht="44.25" customHeight="1">
      <c r="A95" s="10" t="inlineStr">
        <is>
          <t>Gestor de Monitoreo (Torre de Control)</t>
        </is>
      </c>
      <c r="B95" s="5" t="inlineStr">
        <is>
          <t>Tani</t>
        </is>
      </c>
      <c r="C95" s="86" t="n"/>
      <c r="D95" s="30" t="inlineStr">
        <is>
          <t>Alertamiento por información pendiente del cliente en el proceso de Solicitud de Autorización</t>
        </is>
      </c>
      <c r="E95" s="29" t="inlineStr">
        <is>
          <t>Si queremos ver el detalle se va a visualizar desde el indicador</t>
        </is>
      </c>
      <c r="F95" s="8" t="inlineStr">
        <is>
          <t>Cerrado</t>
        </is>
      </c>
    </row>
    <row r="96" hidden="1" ht="58.5" customHeight="1">
      <c r="A96" s="10" t="inlineStr">
        <is>
          <t>Gestor de Monitoreo (Torre de Control)</t>
        </is>
      </c>
      <c r="B96" s="5" t="inlineStr">
        <is>
          <t>Tani</t>
        </is>
      </c>
      <c r="C96" s="86" t="n"/>
      <c r="D96" s="30" t="inlineStr">
        <is>
          <t>Alertamiento por incumplimiento del SLA por la solicitud de Autorización</t>
        </is>
      </c>
      <c r="E96" s="29" t="inlineStr">
        <is>
          <t>No se va a tener en cuenta la trazabilidad de Integralidad.
Si queremos ver el detalle se va a visualizar desde el indicador</t>
        </is>
      </c>
      <c r="F96" s="8" t="inlineStr">
        <is>
          <t>Cerrado</t>
        </is>
      </c>
    </row>
    <row r="97" hidden="1" ht="44.25" customHeight="1">
      <c r="A97" s="10" t="inlineStr">
        <is>
          <t>Gestor de Monitoreo (Torre de Control)</t>
        </is>
      </c>
      <c r="B97" s="5" t="inlineStr">
        <is>
          <t>Tani</t>
        </is>
      </c>
      <c r="C97" s="86" t="n"/>
      <c r="D97" s="30" t="inlineStr">
        <is>
          <t>Alertamiento por próximo incumplimiento del SLA por la solicitud de Autorización</t>
        </is>
      </c>
      <c r="E97" s="29" t="inlineStr">
        <is>
          <t>Si queremos ver el detalle se va a visualizar desde el indicador</t>
        </is>
      </c>
      <c r="F97" s="8" t="inlineStr">
        <is>
          <t>Cerrado</t>
        </is>
      </c>
    </row>
    <row r="98" hidden="1" ht="44.25" customHeight="1">
      <c r="A98" s="10" t="inlineStr">
        <is>
          <t>Gestor de Monitoreo (Torre de Control)</t>
        </is>
      </c>
      <c r="B98" s="5" t="inlineStr">
        <is>
          <t>Tani</t>
        </is>
      </c>
      <c r="C98" s="86" t="n"/>
      <c r="D98" s="30" t="inlineStr">
        <is>
          <t>Alertamiento en el desborde de capacidad en el proceso de Solicitud de Autorización</t>
        </is>
      </c>
      <c r="E98" s="29" t="inlineStr">
        <is>
          <t>Si queremos ver el detalle se va a visualizar desde el indicador</t>
        </is>
      </c>
      <c r="F98" s="8" t="inlineStr">
        <is>
          <t>Cerrado</t>
        </is>
      </c>
    </row>
    <row r="99" hidden="1" ht="44.25" customHeight="1">
      <c r="A99" s="10" t="inlineStr">
        <is>
          <t>Gestor de Monitoreo (Torre de Control)</t>
        </is>
      </c>
      <c r="B99" s="5" t="inlineStr">
        <is>
          <t>Tani</t>
        </is>
      </c>
      <c r="C99" s="5" t="n"/>
      <c r="D99" s="20" t="inlineStr">
        <is>
          <t xml:space="preserve">Capacidad de Parametrización para alertamientos en la solicitud de autorización </t>
        </is>
      </c>
      <c r="E99" s="20" t="inlineStr">
        <is>
          <t>Nos va a apermitir visualizar novedades en el proceso</t>
        </is>
      </c>
      <c r="F99" s="8" t="inlineStr">
        <is>
          <t>Cerrado</t>
        </is>
      </c>
    </row>
    <row r="100" hidden="1" ht="72.75" customFormat="1" customHeight="1" s="31">
      <c r="A100" s="33" t="inlineStr">
        <is>
          <t>Gestor de Monitoreo (Torre de Control)</t>
        </is>
      </c>
      <c r="B100" s="17" t="inlineStr">
        <is>
          <t>Vivi/Sebas</t>
        </is>
      </c>
      <c r="C100" s="17" t="n"/>
      <c r="D100" s="16" t="inlineStr">
        <is>
          <t xml:space="preserve">Concepto de “gestor auditor” dentro de cada gestor y en torre de control nos permita ver el comportamiento y sugerencias para mejorar la autonomía del gestor </t>
        </is>
      </c>
      <c r="E100" s="16" t="inlineStr">
        <is>
          <t>Validar con TI si se debe tener un  auditor por gestor y no solo 1 que sería el gestor de monitoreo que tiene el conocimiento del proceso punta a punta</t>
        </is>
      </c>
      <c r="F100" s="17" t="inlineStr">
        <is>
          <t>por validar con TI</t>
        </is>
      </c>
      <c r="G100" s="34" t="n"/>
    </row>
    <row r="101" hidden="1" ht="58.5" customHeight="1">
      <c r="A101" s="10" t="inlineStr">
        <is>
          <t>Gestor de Monitoreo (Torre de Control)</t>
        </is>
      </c>
      <c r="B101" s="5" t="inlineStr">
        <is>
          <t>Vivi/Sebas</t>
        </is>
      </c>
      <c r="C101" s="5" t="n"/>
      <c r="D101" s="20" t="inlineStr">
        <is>
          <t>Agente que realice sugerencias sobre la decisión que se debe tomar en una solicitud ejemplo: sugerencia al lider operativo de reasignación de solicitudes que superen el tiempo de respuesta a otros evaluadores con mayor oportunidad de respuesta</t>
        </is>
      </c>
      <c r="E101" s="20" t="inlineStr">
        <is>
          <t>Chat que apoya la toma de decisiones y ejecuta acciones</t>
        </is>
      </c>
      <c r="F101" s="8" t="inlineStr">
        <is>
          <t>Cerrado</t>
        </is>
      </c>
    </row>
    <row r="102" hidden="1" ht="44.25" customHeight="1">
      <c r="A102" s="10" t="inlineStr">
        <is>
          <t>Gestor de Monitoreo (Torre de Control)</t>
        </is>
      </c>
      <c r="B102" s="5" t="inlineStr">
        <is>
          <t>Vivi/Sebas</t>
        </is>
      </c>
      <c r="C102" s="5" t="n"/>
      <c r="D102" s="20" t="inlineStr">
        <is>
          <t>Agente que tome decisiones sobre el marco de actuación de una solicitud, ejemplo: reasignación automatica de solicitudes que superen el tiempo de respuesta a otros evaluadores con mayor oportunidad de respuesta</t>
        </is>
      </c>
      <c r="E102" s="20" t="n"/>
      <c r="F102" s="8" t="inlineStr">
        <is>
          <t>Cerrado</t>
        </is>
      </c>
    </row>
    <row r="103" hidden="1" ht="44.25" customHeight="1">
      <c r="A103" s="10" t="inlineStr">
        <is>
          <t>Gestor de Monitoreo (Torre de Control)</t>
        </is>
      </c>
      <c r="B103" s="5" t="inlineStr">
        <is>
          <t>Vivi/Sebas</t>
        </is>
      </c>
      <c r="C103" s="5" t="n"/>
      <c r="D103" s="20" t="inlineStr">
        <is>
          <t>Emitir alertamiento cuando se tengan novedades en la solicitud al cliente/proveedor y asesor, ejemplo: por incumplimiento de SLA</t>
        </is>
      </c>
      <c r="E103" s="20" t="inlineStr">
        <is>
          <t>Mensaje al whatsapp, push, correo y llamada</t>
        </is>
      </c>
      <c r="F103" s="8" t="inlineStr">
        <is>
          <t>Cerrado</t>
        </is>
      </c>
    </row>
    <row r="104" hidden="1" ht="44.25" customHeight="1">
      <c r="A104" s="4" t="inlineStr">
        <is>
          <t>AVA (Asesores — AVA)</t>
        </is>
      </c>
      <c r="B104" s="5" t="inlineStr">
        <is>
          <t>Hellen</t>
        </is>
      </c>
      <c r="C104" s="5" t="n"/>
      <c r="D104" s="4" t="inlineStr">
        <is>
          <t>Demanda cruzada para que nos confirme cuanto se demora exponer el componente que conecta con el front de canales (James) Esto se activa para la implementación</t>
        </is>
      </c>
      <c r="E104" s="3" t="n"/>
      <c r="F104" s="8" t="inlineStr">
        <is>
          <t>Cerrado</t>
        </is>
      </c>
    </row>
    <row r="105" hidden="1" ht="44.25" customHeight="1">
      <c r="A105" s="10" t="inlineStr">
        <is>
          <t>Gestor de Monitoreo (Torre de Control)</t>
        </is>
      </c>
      <c r="B105" s="5" t="inlineStr">
        <is>
          <t>Vivi/Sebas</t>
        </is>
      </c>
      <c r="C105" s="5" t="n"/>
      <c r="D105" s="20" t="inlineStr">
        <is>
          <t>El agente entrega analítica prescriptiva integrando Torre + Datalake</t>
        </is>
      </c>
      <c r="E105" s="7" t="n"/>
      <c r="F105" s="8" t="inlineStr">
        <is>
          <t>Cerrado</t>
        </is>
      </c>
    </row>
    <row r="106" hidden="1" ht="44.25" customHeight="1">
      <c r="A106" s="10" t="inlineStr">
        <is>
          <t>Gestor de Monitoreo (Torre de Control)</t>
        </is>
      </c>
      <c r="B106" s="5" t="inlineStr">
        <is>
          <t>Vivi/Sebas</t>
        </is>
      </c>
      <c r="C106" s="5" t="n"/>
      <c r="D106" s="20" t="inlineStr">
        <is>
          <t>Entrega de información de las solicitudes, autorizaciones y datos relevantes al Datalake</t>
        </is>
      </c>
      <c r="E106" s="7" t="n"/>
      <c r="F106" s="8" t="inlineStr">
        <is>
          <t>Cerrado</t>
        </is>
      </c>
    </row>
    <row r="107" hidden="1" ht="44.25" customHeight="1">
      <c r="A107" s="10" t="inlineStr">
        <is>
          <t>Gestor de Monitoreo (Torre de Control)</t>
        </is>
      </c>
      <c r="B107" s="5" t="inlineStr">
        <is>
          <t>Vivi/Sebas</t>
        </is>
      </c>
      <c r="C107" s="5" t="n"/>
      <c r="D107" s="20" t="inlineStr">
        <is>
          <t>Garantizar que la arquitectura, integraciones, aplicaciones y conexiones que intervienen en el proceso este funcionando de forma adecuada y reaizar alertamientos ante alguna novedad</t>
        </is>
      </c>
      <c r="E107" s="7" t="n"/>
      <c r="F107" s="8" t="inlineStr">
        <is>
          <t>Cerrado</t>
        </is>
      </c>
    </row>
    <row r="108" hidden="1" ht="53.25" customHeight="1">
      <c r="A108" s="4" t="inlineStr">
        <is>
          <t>Gestor de Coordinación</t>
        </is>
      </c>
      <c r="B108" s="5" t="inlineStr">
        <is>
          <t>Vivi/Sebas</t>
        </is>
      </c>
      <c r="C108" s="86" t="n"/>
      <c r="D108" s="47" t="inlineStr">
        <is>
          <t>Registrar los requisitos funcionales de cara a la asignación de proveedor, cambio de proveedor y lo que la IA podrá interactuar con el cliente</t>
        </is>
      </c>
      <c r="E108" s="7" t="n"/>
      <c r="F108" s="8" t="inlineStr">
        <is>
          <t>Cerrado</t>
        </is>
      </c>
    </row>
    <row r="109" hidden="1" ht="44.25" customHeight="1">
      <c r="A109" s="10" t="inlineStr">
        <is>
          <t>Gestor de Monitoreo (Torre de Control)</t>
        </is>
      </c>
      <c r="B109" s="5" t="inlineStr">
        <is>
          <t>Vivi/Sebas</t>
        </is>
      </c>
      <c r="C109" s="86" t="n"/>
      <c r="D109" s="3" t="inlineStr">
        <is>
          <t>Front de configuración de SLAs según criterios</t>
        </is>
      </c>
      <c r="E109" s="7" t="n"/>
      <c r="F109" s="8" t="inlineStr">
        <is>
          <t>Cerrado</t>
        </is>
      </c>
    </row>
    <row r="110" hidden="1" ht="44.25" customHeight="1">
      <c r="A110" s="4" t="inlineStr">
        <is>
          <t>NEXO (Asesores)</t>
        </is>
      </c>
      <c r="B110" s="5" t="inlineStr">
        <is>
          <t>Pao Chica</t>
        </is>
      </c>
      <c r="C110" s="5" t="n"/>
      <c r="D110" s="4" t="inlineStr">
        <is>
          <t>Nexo debe exponer un único punto de integración genérico ("puerta" de creación de siniestros), reutilizable para otros tipos de siniestro a futuro, no exclusivo de autorizaciones de salud.</t>
        </is>
      </c>
      <c r="E110" s="5" t="inlineStr">
        <is>
          <t>Propuesto por Nexo (Carlos Carmona)</t>
        </is>
      </c>
      <c r="F110" s="8" t="inlineStr">
        <is>
          <t>Cerrado</t>
        </is>
      </c>
    </row>
    <row r="111" hidden="1" ht="44.25" customHeight="1">
      <c r="A111" s="4" t="inlineStr">
        <is>
          <t>NEXO (Asesores)</t>
        </is>
      </c>
      <c r="B111" s="5" t="inlineStr">
        <is>
          <t>Pao Chica</t>
        </is>
      </c>
      <c r="C111" s="5" t="n"/>
      <c r="D111" s="4" t="inlineStr">
        <is>
          <t>Los dos puntos de integración confirmados entre Nexo y Gestores son: (1) radicación de la autorización de salud y (2) consulta del estado de la autorización.</t>
        </is>
      </c>
      <c r="E111" s="5" t="inlineStr">
        <is>
          <t>Propuesto por Nexo (Carlos Carmona)</t>
        </is>
      </c>
      <c r="F111" s="8" t="inlineStr">
        <is>
          <t>Cerrado</t>
        </is>
      </c>
    </row>
  </sheetData>
  <autoFilter ref="A1:G111">
    <filterColumn colId="0" hiddenButton="0" showButton="1">
      <filters>
        <filter val="Interoperabilidad (Prestadores)"/>
      </filters>
    </filterColumn>
    <filterColumn colId="5" hiddenButton="0" showButton="1">
      <filters>
        <filter val="Por validar con TI"/>
      </filters>
    </filterColumn>
  </autoFilter>
  <pageMargins left="0.7" right="0.7" top="0.75" bottom="0.75" header="0.3" footer="0.3"/>
  <pageSetup orientation="portrait"/>
</worksheet>
</file>

<file path=xl/worksheets/sheet5.xml><?xml version="1.0" encoding="utf-8"?>
<worksheet xmlns="http://schemas.openxmlformats.org/spreadsheetml/2006/main">
  <sheetPr>
    <tabColor theme="9" tint="0.5999938962981048"/>
    <outlinePr summaryBelow="1" summaryRight="1"/>
    <pageSetUpPr/>
  </sheetPr>
  <dimension ref="A1:G53"/>
  <sheetViews>
    <sheetView tabSelected="1" topLeftCell="A38" zoomScale="70" zoomScaleNormal="70" workbookViewId="0">
      <selection activeCell="C40" sqref="C40"/>
    </sheetView>
  </sheetViews>
  <sheetFormatPr baseColWidth="8" defaultColWidth="11.42578125" defaultRowHeight="14.45"/>
  <cols>
    <col width="26" customWidth="1" min="1" max="1"/>
    <col width="19.140625" customWidth="1" min="2" max="2"/>
    <col width="53.28515625" customWidth="1" min="3" max="3"/>
    <col width="41.7109375" customWidth="1" min="4" max="4"/>
    <col width="22.140625" customWidth="1" min="6" max="6"/>
  </cols>
  <sheetData>
    <row r="1">
      <c r="A1" s="1" t="inlineStr">
        <is>
          <t>Gestor / Frente</t>
        </is>
      </c>
      <c r="B1" s="1" t="inlineStr">
        <is>
          <t>Responsable</t>
        </is>
      </c>
      <c r="C1" s="2" t="inlineStr">
        <is>
          <t>Requisito Técnico</t>
        </is>
      </c>
      <c r="D1" s="1" t="inlineStr">
        <is>
          <t>Observación</t>
        </is>
      </c>
      <c r="E1" s="2" t="inlineStr">
        <is>
          <t>Estado</t>
        </is>
      </c>
      <c r="F1" s="1" t="inlineStr">
        <is>
          <t>Decisión / Seguimiento</t>
        </is>
      </c>
    </row>
    <row r="2" ht="42" customHeight="1">
      <c r="A2" s="4" t="inlineStr">
        <is>
          <t>Transversal / Principios generales</t>
        </is>
      </c>
      <c r="B2" s="4" t="inlineStr">
        <is>
          <t>Equipo Aseguramiento</t>
        </is>
      </c>
      <c r="C2" s="5" t="inlineStr">
        <is>
          <t>Arquitectura de microservicios, agéntica, dirigida por eventos (EDA), moderna y desacoplada — se acopla a los cores existentes, no los reemplaza.</t>
        </is>
      </c>
      <c r="D2" s="4" t="n"/>
      <c r="E2" s="8" t="inlineStr">
        <is>
          <t>Cerrado</t>
        </is>
      </c>
    </row>
    <row r="3" ht="111.95" customHeight="1">
      <c r="A3" s="4" t="inlineStr">
        <is>
          <t>Transversal / Principios generales</t>
        </is>
      </c>
      <c r="B3" s="4" t="inlineStr">
        <is>
          <t>Equipo Aseguramiento</t>
        </is>
      </c>
      <c r="C3" s="5" t="inlineStr">
        <is>
          <t>El core (SuraHis) debe ser la fuente de la verdad transaccional, no el motor de reglas — principio validado repetidamente por arquitectura.</t>
        </is>
      </c>
      <c r="D3" s="4" t="inlineStr">
        <is>
          <t>¿Cuando el agente esté arriba surahis sigue aplicando las reglas o nos las pasan aplicadas?</t>
        </is>
      </c>
      <c r="E3" s="8" t="inlineStr">
        <is>
          <t>Cerrado</t>
        </is>
      </c>
      <c r="F3" s="12" t="inlineStr">
        <is>
          <t>Riesgo desde los Cores en caso de que no puedan exponer la información. Para este MVP el riesgo más alto es que ambos proyectos están implementandose al tiempo</t>
        </is>
      </c>
    </row>
    <row r="4" ht="78.95" customHeight="1">
      <c r="A4" s="4" t="inlineStr">
        <is>
          <t>Transversal / Principios generales</t>
        </is>
      </c>
      <c r="B4" s="4" t="inlineStr">
        <is>
          <t>Equipo Aseguramiento</t>
        </is>
      </c>
      <c r="C4" s="5" t="inlineStr">
        <is>
          <t>Riesgo/premisa explícita: el proyecto solo tiene sentido si los cores implementan la capacidad de exponer información vía API a tiempo.</t>
        </is>
      </c>
      <c r="D4" s="4" t="n"/>
      <c r="E4" s="8" t="inlineStr">
        <is>
          <t>Cerrado</t>
        </is>
      </c>
      <c r="F4" s="12" t="inlineStr">
        <is>
          <t>Riesgo desde los Cores en caso de que no puedan exponer la información. Para este MVP el riesgo más alto es que ambos proyectos están implementandose al tiempo</t>
        </is>
      </c>
    </row>
    <row r="5" ht="27.95" customHeight="1">
      <c r="A5" s="4" t="inlineStr">
        <is>
          <t>Transversal / Principios generales</t>
        </is>
      </c>
      <c r="B5" s="4" t="inlineStr">
        <is>
          <t>Equipo Aseguramiento</t>
        </is>
      </c>
      <c r="C5" s="5" t="inlineStr">
        <is>
          <t>Cada gestor tendría base de datos propia, independiente y desacoplada.</t>
        </is>
      </c>
      <c r="D5" s="4" t="n"/>
      <c r="E5" s="8" t="inlineStr">
        <is>
          <t>Cerrado</t>
        </is>
      </c>
    </row>
    <row r="6" ht="42" customHeight="1">
      <c r="A6" s="4" t="inlineStr">
        <is>
          <t>Transversal / Principios generales</t>
        </is>
      </c>
      <c r="B6" s="4" t="inlineStr">
        <is>
          <t>Equipo Aseguramiento</t>
        </is>
      </c>
      <c r="C6" s="5" t="inlineStr">
        <is>
          <t>Se reutiliza la arquitectura de "Siniestro Integral" ( Back, API Gateway, orquestador, storage, colas) como base común de varios gestores.</t>
        </is>
      </c>
      <c r="D6" s="4" t="n"/>
      <c r="E6" s="8" t="inlineStr">
        <is>
          <t>Cerrado</t>
        </is>
      </c>
      <c r="F6" s="12" t="inlineStr">
        <is>
          <t>El front no se reutiliza. Se contruye uno nuevo desde canales</t>
        </is>
      </c>
    </row>
    <row r="7" ht="69" customHeight="1">
      <c r="A7" s="4" t="inlineStr">
        <is>
          <t>Transversal / Principios generales</t>
        </is>
      </c>
      <c r="B7" s="4" t="inlineStr">
        <is>
          <t>Equipo Aseguramiento</t>
        </is>
      </c>
      <c r="C7" s="5" t="inlineStr">
        <is>
          <t>Se privilegia un front único reutilizable por canal/actor, en lugar de un front independiente por cada gestor.</t>
        </is>
      </c>
      <c r="D7" s="4" t="inlineStr">
        <is>
          <t>En conjunto con el equipo responsable de los canales SVP, WhatsApp y la Super App, se definió una arquitectura basada en dos aplicaciones independientes para reducir el impacto de posibles fallas entre canales. Una aplicación soportará los canales web y la otra la Super App. Como parte del alcance del MVP, el canal de WhatsApp queda por fuera de esta primera fase y será considerado en etapas posteriores.</t>
        </is>
      </c>
      <c r="E7" s="8" t="inlineStr">
        <is>
          <t>Cerrado</t>
        </is>
      </c>
      <c r="F7" s="12" t="inlineStr">
        <is>
          <t>Nexo y AVA: se requiere una sesión con los equipos responsables para alinear el modelo de integración. La implementación del frontend de estos canales estará a cargo de sus respectivos equipos, utilizando las APIs expuestas por la solución como mecanismo de integración.</t>
        </is>
      </c>
    </row>
    <row r="8" ht="98.09999999999999" customHeight="1">
      <c r="A8" s="4" t="inlineStr">
        <is>
          <t>Transversal / Principios generales</t>
        </is>
      </c>
      <c r="B8" s="4" t="inlineStr">
        <is>
          <t>Equipo Aseguramiento</t>
        </is>
      </c>
      <c r="C8" s="5" t="inlineStr">
        <is>
          <t>Diferenciación explícita comando (síncrono, se consume y desaparece) vs. evento (inmutable, usado para trazabilidad).</t>
        </is>
      </c>
      <c r="D8" s="4" t="n"/>
      <c r="E8" s="8" t="inlineStr">
        <is>
          <t>Cerrado</t>
        </is>
      </c>
      <c r="F8" s="12" t="inlineStr">
        <is>
          <t>Se debe evaluar y ajustar la infraestructura de Siniestro Integral para soportar adecuadamente el proceso de autorizaciones.</t>
        </is>
      </c>
    </row>
    <row r="9" ht="71.09999999999999" customHeight="1">
      <c r="A9" s="10" t="inlineStr">
        <is>
          <t>Gestor de Solicitud</t>
        </is>
      </c>
      <c r="B9" s="9" t="inlineStr">
        <is>
          <t>Equipo Aseguramiento</t>
        </is>
      </c>
      <c r="C9" s="9" t="inlineStr">
        <is>
          <t>Front nuevo (Flutter), embebido en Sucursal Virtual Personas, AVA y Portal de Prestadores; reutiliza el back/orquestador de Siniestro Integral.</t>
        </is>
      </c>
      <c r="E9" s="8" t="inlineStr">
        <is>
          <t>Cerrado</t>
        </is>
      </c>
      <c r="F9" s="4" t="inlineStr">
        <is>
          <t>En conjunto con el equipo responsable de los canales SVP, WhatsApp y la Super App, se definió una arquitectura basada en dos aplicaciones independientes para reducir el impacto de posibles fallas entre canales. Una aplicación soportará los canales web y la otra la Super App. Como parte del alcance del MVP, el canal de WhatsApp queda por fuera de esta primera fase y será considerado en etapas posteriores.</t>
        </is>
      </c>
    </row>
    <row r="10" ht="84" customHeight="1">
      <c r="A10" s="4" t="inlineStr">
        <is>
          <t>Siniestro Integral</t>
        </is>
      </c>
      <c r="B10" s="9" t="inlineStr">
        <is>
          <t>Equipo Aseguramiento</t>
        </is>
      </c>
      <c r="C10" s="9" t="inlineStr">
        <is>
          <t>La habilitación del proceso de Solicitudes de Salud en Siniestro Integral requiere la implementación de capacidades de integración, gestión y consulta de información, junto con adecuaciones en plataformas corporativas existentes, con el fin de asegurar la operación integral, la trazabilidad y la escalabilidad de la solución.</t>
        </is>
      </c>
      <c r="D10" s="10" t="n"/>
      <c r="E10" s="8" t="inlineStr">
        <is>
          <t>Cerrado</t>
        </is>
      </c>
      <c r="F10" s="11" t="n"/>
    </row>
    <row r="11" ht="140.1" customHeight="1">
      <c r="A11" s="4" t="inlineStr">
        <is>
          <t>Siniestro Integral</t>
        </is>
      </c>
      <c r="B11" s="9" t="inlineStr">
        <is>
          <t>Equipo Aseguramiento</t>
        </is>
      </c>
      <c r="C11" s="9" t="inlineStr">
        <is>
          <t>Flujo: Front → Storage temporal de documentos → integración asíncrona con P8</t>
        </is>
      </c>
      <c r="D11" s="10" t="n"/>
      <c r="E11" s="8" t="inlineStr">
        <is>
          <t>Cerrado</t>
        </is>
      </c>
      <c r="F11" s="4" t="inlineStr">
        <is>
          <t>Siniestro Integral será responsable de la gestión documental del proceso, realizando el envío y almacenamiento de los documentos en P8 una vez se reciba el número de solicitud generado por el sistema core.</t>
        </is>
      </c>
      <c r="G11" s="10" t="n"/>
    </row>
    <row r="12" ht="84" customHeight="1">
      <c r="A12" s="10" t="inlineStr">
        <is>
          <t>Gestor de Solicitud</t>
        </is>
      </c>
      <c r="B12" s="9" t="inlineStr">
        <is>
          <t>Equipo Aseguramiento</t>
        </is>
      </c>
      <c r="C12" s="9" t="inlineStr">
        <is>
          <t>Comprobación de derechos vía API de SuraHis (no Global Web) — mayor resiliencia y flexibilidad ante cambios futuros de core.</t>
        </is>
      </c>
      <c r="D12" s="10" t="inlineStr">
        <is>
          <t xml:space="preserve">Las validaciones de negocio no forman parte del alcance del Gestor de Solicitudes. </t>
        </is>
      </c>
      <c r="E12" s="8" t="inlineStr">
        <is>
          <t>Cerrado</t>
        </is>
      </c>
      <c r="F12" s="4" t="inlineStr">
        <is>
          <t>Estas serán realizadas por el Gestor de Evaluación, responsable de aplicar las reglas y criterios definidos para el proceso.</t>
        </is>
      </c>
      <c r="G12" s="10" t="n"/>
    </row>
    <row r="13" ht="132" customHeight="1">
      <c r="A13" s="10" t="inlineStr">
        <is>
          <t>Gestor de Solicitud</t>
        </is>
      </c>
      <c r="B13" s="9" t="inlineStr">
        <is>
          <t>Equipo Aseguramiento</t>
        </is>
      </c>
      <c r="C13" s="9" t="inlineStr">
        <is>
          <t>OCR/IA: LLM multimodal interpreta documentos directamente (15-40 seg); reutiliza el agente de pre-radicación de EPS (~93% de precisión).</t>
        </is>
      </c>
      <c r="D13" s="10" t="inlineStr">
        <is>
          <t>Para la implementación del Gestor de Solicitudes no se contempla la reutilización de componentes existentes.</t>
        </is>
      </c>
      <c r="E13" s="8" t="inlineStr">
        <is>
          <t>Cerrado</t>
        </is>
      </c>
      <c r="F13" s="10" t="inlineStr">
        <is>
          <t>Se desarrollarán nuevos componentes y artefactos tecnológicos, diseñados específicamente para atender las responsabilidades, capacidades funcionales y requerimientos propios de esta solución.</t>
        </is>
      </c>
      <c r="G13" s="10" t="inlineStr">
        <is>
          <t>Agentica</t>
        </is>
      </c>
    </row>
    <row r="14" ht="224.1" customHeight="1">
      <c r="A14" s="10" t="inlineStr">
        <is>
          <t>Gestor de Solicitud</t>
        </is>
      </c>
      <c r="B14" s="9" t="inlineStr">
        <is>
          <t>Equipo Aseguramiento</t>
        </is>
      </c>
      <c r="C14" s="9" t="inlineStr">
        <is>
          <t>Arquitectura orientada a eventos: quien tiene autoridad sobre la entidad (normalmente SuraHis) es quien emite el evento.</t>
        </is>
      </c>
      <c r="D14" s="10" t="n"/>
      <c r="E14" s="8" t="inlineStr">
        <is>
          <t>Cerrado</t>
        </is>
      </c>
      <c r="F14" s="10" t="inlineStr">
        <is>
          <t>La solución estará basada en una arquitectura mixta que combinará mecanismos de integración síncronos y asíncronos, incluyendo APIs, eventos y mensajería. En este modelo, el Core emitirá los eventos asociados al ciclo de vida de la solicitud, mientras que los diferentes gestores generarán y consumirán eventos propios de sus procesos</t>
        </is>
      </c>
      <c r="G14" s="10" t="n"/>
    </row>
    <row r="15" ht="111.95" customHeight="1">
      <c r="A15" s="10" t="inlineStr">
        <is>
          <t>Gestor de Solicitud</t>
        </is>
      </c>
      <c r="B15" s="9" t="inlineStr">
        <is>
          <t>Equipo Aseguramiento</t>
        </is>
      </c>
      <c r="C15" s="9" t="inlineStr">
        <is>
          <t xml:space="preserve">Integración con NEXO vía API (patrón API First) </t>
        </is>
      </c>
      <c r="D15" s="10" t="n"/>
      <c r="E15" s="8" t="inlineStr">
        <is>
          <t>Cerrado</t>
        </is>
      </c>
      <c r="F15" s="10" t="inlineStr">
        <is>
          <t>La integracion de estos canales estará a cargo de sus respectivos equipos, utilizando las APIs expuestas por la solución como mecanismo de integración.</t>
        </is>
      </c>
      <c r="G15" s="10" t="n"/>
    </row>
    <row r="16" ht="69.95" customHeight="1">
      <c r="A16" s="10" t="inlineStr">
        <is>
          <t>Gestor de Solicitud</t>
        </is>
      </c>
      <c r="B16" s="9" t="inlineStr">
        <is>
          <t>Equipo Aseguramiento</t>
        </is>
      </c>
      <c r="C16" s="9" t="inlineStr">
        <is>
          <t>Custodia temporal de historia clínica/orden médica en componente propio.</t>
        </is>
      </c>
      <c r="D16" s="10" t="inlineStr">
        <is>
          <t>Con el fin de minimizar la exposición de información sensible, el Gestor de Solicitudes no almacenará este tipo de datos.</t>
        </is>
      </c>
      <c r="E16" s="8" t="inlineStr">
        <is>
          <t>Cerrado</t>
        </is>
      </c>
      <c r="F16" s="10" t="inlineStr">
        <is>
          <t>La custodia y almacenamiento de la información documental estarán centralizados en P8.</t>
        </is>
      </c>
      <c r="G16" s="10" t="n"/>
    </row>
    <row r="17" ht="56.1" customHeight="1">
      <c r="A17" s="10" t="inlineStr">
        <is>
          <t>Gestor de Solicitud</t>
        </is>
      </c>
      <c r="B17" s="9" t="inlineStr">
        <is>
          <t>Equipo Aseguramiento</t>
        </is>
      </c>
      <c r="C17" s="9" t="inlineStr">
        <is>
          <t>Riesgo técnico abierto: Super App en Google Cloud vs. resto del ecosistema en Azure.</t>
        </is>
      </c>
      <c r="D17" s="10" t="n"/>
      <c r="E17" s="8" t="inlineStr">
        <is>
          <t>Cerrado</t>
        </is>
      </c>
      <c r="F17" s="10" t="inlineStr">
        <is>
          <t>No se considera un riesgo, actualmente se integra con siniestro integral sin problemas</t>
        </is>
      </c>
      <c r="G17" s="10" t="n"/>
    </row>
    <row r="18" ht="266.1" customHeight="1">
      <c r="A18" s="10" t="inlineStr">
        <is>
          <t>Gestor de Evaluación</t>
        </is>
      </c>
      <c r="B18" s="9" t="inlineStr">
        <is>
          <t>Equipo Aseguramiento</t>
        </is>
      </c>
      <c r="C18" s="9" t="inlineStr">
        <is>
          <t>Consume la información ya extraída y estructurada por el gestor de Solicitud — no relee los documentos originales.</t>
        </is>
      </c>
      <c r="D18" s="10" t="n"/>
      <c r="E18" s="8" t="inlineStr">
        <is>
          <t>Cerrado</t>
        </is>
      </c>
      <c r="F18" s="10" t="inlineStr">
        <is>
          <t>El equipo de Surahis debe proporcionar las APIs necesarias para la consulta y actualización de información, con el fin de garantizar la correcta integración y funcionamiento entre el Core y los diferentes gestores. Según lo indicado por Andrés, estas capacidades pueden ser expuestas por Surahis; sin embargo, es necesario que el equipo crealice la estimación y planificación de dicho esfuerzo.</t>
        </is>
      </c>
      <c r="G18" s="10" t="n"/>
    </row>
    <row r="19" ht="27.95" customHeight="1">
      <c r="A19" s="10" t="inlineStr">
        <is>
          <t>Gestor de Evaluación</t>
        </is>
      </c>
      <c r="B19" s="9" t="inlineStr">
        <is>
          <t>Equipo Aseguramiento</t>
        </is>
      </c>
      <c r="C19" s="9" t="inlineStr">
        <is>
          <t>Debe consultar políticas/reglas a SuraHis manteniendo también reglas propias de agente (modelo híbrido).</t>
        </is>
      </c>
      <c r="D19" s="10" t="n"/>
      <c r="E19" s="8" t="inlineStr">
        <is>
          <t>Cerrado</t>
        </is>
      </c>
      <c r="F19" s="11" t="inlineStr">
        <is>
          <t>Para soportar la operación de la solución, el equipo de Surahis deberá proporcionar APIs de consulta de políticas y reglas de negocio. El esfuerzo asociado a esta capacidad deberá ser estimado por dicho equipo.</t>
        </is>
      </c>
      <c r="G19" s="10" t="n"/>
    </row>
    <row r="20" ht="27.95" customHeight="1">
      <c r="A20" s="10" t="inlineStr">
        <is>
          <t>Gestor de Evaluación</t>
        </is>
      </c>
      <c r="B20" s="9" t="inlineStr">
        <is>
          <t>Equipo Aseguramiento</t>
        </is>
      </c>
      <c r="C20" s="9" t="inlineStr">
        <is>
          <t>Debe consultar políticas/reglas a SuraHis manteniendo también reglas propias de agente (modelo híbrido).</t>
        </is>
      </c>
      <c r="D20" s="10" t="n"/>
      <c r="E20" s="8" t="inlineStr">
        <is>
          <t>Cerrado</t>
        </is>
      </c>
      <c r="F20" s="11" t="inlineStr">
        <is>
          <t>El Gestor de Evaluación deberá contar con un mecanismo de sincronización de políticas y reglas de negocio que garantice su actualización local, minimizando la dependencia de consultas al Core durante la ejecución de las evaluaciones.</t>
        </is>
      </c>
      <c r="G20" s="10" t="n"/>
    </row>
    <row r="21" ht="42" customHeight="1">
      <c r="A21" s="10" t="inlineStr">
        <is>
          <t>Gestor de Evaluación</t>
        </is>
      </c>
      <c r="B21" s="9" t="inlineStr">
        <is>
          <t>Equipo Aseguramiento</t>
        </is>
      </c>
      <c r="C21" s="9" t="inlineStr">
        <is>
          <t>Arquitectura híbrida multiagente propuesta: agente determinístico (coberturas/exclusiones)  + agente LLM (pertinencia médica).</t>
        </is>
      </c>
      <c r="D21" s="10" t="n"/>
      <c r="E21" s="8" t="inlineStr">
        <is>
          <t>Cerrado</t>
        </is>
      </c>
      <c r="F21" s="11" t="n"/>
      <c r="G21" s="10" t="inlineStr">
        <is>
          <t>Agentica</t>
        </is>
      </c>
    </row>
    <row r="22" ht="56.1" customHeight="1">
      <c r="A22" s="10" t="inlineStr">
        <is>
          <t>Gestor de Evaluación</t>
        </is>
      </c>
      <c r="B22" s="9" t="inlineStr">
        <is>
          <t>Equipo Aseguramiento</t>
        </is>
      </c>
      <c r="C22" s="9" t="inlineStr">
        <is>
          <t>Las negaciones nunca serán ejecutadas automáticamente por el Gestor de Evaluación ni por modelos de IA. Toda negación debe ser una decisión determinística, trazable y auditable, gestionada a través de una bandeja manual</t>
        </is>
      </c>
      <c r="D22" s="10" t="n"/>
      <c r="E22" s="8" t="inlineStr">
        <is>
          <t>Cerrado</t>
        </is>
      </c>
      <c r="F22" s="11" t="n"/>
      <c r="G22" s="10" t="n"/>
    </row>
    <row r="23" ht="27.95" customHeight="1">
      <c r="A23" s="10" t="inlineStr">
        <is>
          <t>Gestor de Coordinación</t>
        </is>
      </c>
      <c r="B23" s="9" t="inlineStr">
        <is>
          <t>Equipo Aseguramiento</t>
        </is>
      </c>
      <c r="C23" s="9" t="inlineStr">
        <is>
          <t>Arranca con motor 100% determinístico (reglas duras de elegibilidad, convenios, capacidad, ubicación y costo).</t>
        </is>
      </c>
      <c r="D23" s="10" t="n"/>
      <c r="E23" s="8" t="inlineStr">
        <is>
          <t>Cerrado</t>
        </is>
      </c>
      <c r="F23" s="11" t="n"/>
      <c r="G23" s="10" t="n"/>
    </row>
    <row r="24" ht="27.95" customHeight="1">
      <c r="A24" s="10" t="inlineStr">
        <is>
          <t>Gestor de Coordinación</t>
        </is>
      </c>
      <c r="B24" s="9" t="inlineStr">
        <is>
          <t>Equipo Aseguramiento</t>
        </is>
      </c>
      <c r="C24" s="9" t="inlineStr">
        <is>
          <t>LLM reservado solo para casos no estructurados o de explicación — no es prioridad para el arranque.</t>
        </is>
      </c>
      <c r="D24" s="10" t="n"/>
      <c r="E24" s="9" t="inlineStr">
        <is>
          <t>Por Validar</t>
        </is>
      </c>
      <c r="F24" s="11" t="inlineStr">
        <is>
          <t>La capacidad del LLM se utilizara para la pertinencia medica y analizara informacion propia del cliente como historia clinca, orden, informacion del cliente, historial de consultas etc.</t>
        </is>
      </c>
      <c r="G24" s="10" t="inlineStr">
        <is>
          <t>Agentica</t>
        </is>
      </c>
    </row>
    <row r="25" ht="42" customHeight="1">
      <c r="A25" s="10" t="inlineStr">
        <is>
          <t>Gestor de Coordinación</t>
        </is>
      </c>
      <c r="B25" s="9" t="inlineStr">
        <is>
          <t>Equipo Aseguramiento</t>
        </is>
      </c>
      <c r="C25" s="9" t="inlineStr">
        <is>
          <t>Niveles de madurez agéntica: Nivel 1 determinístico → Nivel 2 + asistente explicativo → Nivel 3 agente autónomo (futuro, fuera de alcance actual).</t>
        </is>
      </c>
      <c r="D25" s="10" t="n"/>
      <c r="E25" s="9" t="inlineStr">
        <is>
          <t>Por validar</t>
        </is>
      </c>
      <c r="F25" s="11" t="inlineStr">
        <is>
          <t>Se debe hacer una estructuracion completa de la evaluacion para entender que capacidades de evaluacion va ser capas de absorver el compontente agentico y en que casos se debe escalar a manual.</t>
        </is>
      </c>
      <c r="G25" s="10" t="inlineStr">
        <is>
          <t>Agentica</t>
        </is>
      </c>
    </row>
    <row r="26" ht="27.95" customHeight="1">
      <c r="A26" s="10" t="inlineStr">
        <is>
          <t>Gestor de Coordinación</t>
        </is>
      </c>
      <c r="B26" s="9" t="inlineStr">
        <is>
          <t>Equipo Aseguramiento</t>
        </is>
      </c>
      <c r="C26" s="9" t="inlineStr">
        <is>
          <t>Integración con prestadores externos vía API o interoperabilidad</t>
        </is>
      </c>
      <c r="D26" s="10" t="n"/>
      <c r="E26" s="8" t="inlineStr">
        <is>
          <t>Cerrado</t>
        </is>
      </c>
      <c r="F26" s="11" t="n"/>
      <c r="G26" s="10" t="n"/>
    </row>
    <row r="27" ht="27.95" customHeight="1">
      <c r="A27" s="10" t="inlineStr">
        <is>
          <t>Gestor de Coordinación</t>
        </is>
      </c>
      <c r="B27" s="9" t="inlineStr">
        <is>
          <t>Equipo Aseguramiento</t>
        </is>
      </c>
      <c r="C27" s="9" t="inlineStr">
        <is>
          <t>Bandeja "human in the loop" para casos donde ni las reglas ni la recomendación logran asignar un prestador.</t>
        </is>
      </c>
      <c r="D27" s="10" t="n"/>
      <c r="E27" s="8" t="inlineStr">
        <is>
          <t>Cerrado</t>
        </is>
      </c>
      <c r="F27" s="11" t="n"/>
      <c r="G27" s="10" t="n"/>
    </row>
    <row r="28" ht="84" customHeight="1">
      <c r="A28" s="10" t="inlineStr">
        <is>
          <t>Gestor de Prestación</t>
        </is>
      </c>
      <c r="B28" s="9" t="inlineStr">
        <is>
          <t>Equipo Aseguramiento</t>
        </is>
      </c>
      <c r="C28" s="9" t="inlineStr">
        <is>
          <t>Integración con clave dinámica (doble factor) como mecanismo de confirmación de la atención efectiva.</t>
        </is>
      </c>
      <c r="D28" s="10" t="n"/>
      <c r="E28" s="8" t="inlineStr">
        <is>
          <t>Cerrado</t>
        </is>
      </c>
      <c r="F28" s="9" t="inlineStr">
        <is>
          <t>Esta capacidad no hace parte del alcance definido para el MVP y será evaluada para fases posteriores de evolución de la solución.</t>
        </is>
      </c>
      <c r="G28" s="10" t="n"/>
    </row>
    <row r="29" ht="27.95" customHeight="1">
      <c r="A29" s="10" t="inlineStr">
        <is>
          <t>Gestor de Monitoreo (Torre de Control)</t>
        </is>
      </c>
      <c r="B29" s="9" t="inlineStr">
        <is>
          <t>Equipo Aseguramiento</t>
        </is>
      </c>
      <c r="C29" s="9" t="inlineStr">
        <is>
          <t>Arquitectura orientada a eventos (EDA): consume eventos de todos los gestores y cores, incluida SuraHis.</t>
        </is>
      </c>
      <c r="D29" s="10" t="n"/>
      <c r="E29" s="8" t="inlineStr">
        <is>
          <t>Cerrado</t>
        </is>
      </c>
      <c r="F29" s="11" t="n"/>
      <c r="G29" s="10" t="n"/>
    </row>
    <row r="30" ht="56.1" customHeight="1">
      <c r="A30" s="10" t="inlineStr">
        <is>
          <t>Gestor de Monitoreo (Torre de Control)</t>
        </is>
      </c>
      <c r="B30" s="9" t="inlineStr">
        <is>
          <t>Equipo Aseguramiento</t>
        </is>
      </c>
      <c r="C30" s="9" t="inlineStr">
        <is>
          <t>El almacenamiento de eventos se realiza en un bus o componente compartido de la plataforma, el cual no es exclusivo de este gestor. Tanto el core como los diferentes agentes pueden publicar eventos.</t>
        </is>
      </c>
      <c r="D30" s="10" t="n"/>
      <c r="E30" s="8" t="inlineStr">
        <is>
          <t>Cerrado</t>
        </is>
      </c>
      <c r="F30" s="11" t="n"/>
      <c r="G30" s="10" t="n"/>
    </row>
    <row r="31" ht="153.95" customHeight="1">
      <c r="A31" s="10" t="inlineStr">
        <is>
          <t>Gestor de Monitoreo (Torre de Control)</t>
        </is>
      </c>
      <c r="B31" s="9" t="inlineStr">
        <is>
          <t>Equipo Aseguramiento</t>
        </is>
      </c>
      <c r="C31" s="9" t="inlineStr">
        <is>
          <t>Pendiente definir si se expone una API única con filtrado por perfil o múltiples APIs por actor.</t>
        </is>
      </c>
      <c r="D31" s="10" t="n"/>
      <c r="E31" s="8" t="inlineStr">
        <is>
          <t>Cerrado</t>
        </is>
      </c>
      <c r="F31" s="9" t="inlineStr">
        <is>
          <t>Bajo el principio de responsabilidad única, se deben definir e implementar las APIs y vistas que correspondan a cada dominio o capacidad funcional, evitando concentrar responsabilidades que no son propias de cada componente.</t>
        </is>
      </c>
      <c r="G31" s="10" t="n"/>
    </row>
    <row r="32" ht="102" customHeight="1">
      <c r="A32" s="10" t="inlineStr">
        <is>
          <t>Gestor de Monitoreo (Torre de Control)</t>
        </is>
      </c>
      <c r="B32" s="9" t="inlineStr">
        <is>
          <t>Equipo Aseguramiento</t>
        </is>
      </c>
      <c r="C32" s="9" t="inlineStr">
        <is>
          <t>Reto de integración en tiempo real con prestadores — hoy no existe (solo portal con interacción manual).</t>
        </is>
      </c>
      <c r="D32" s="10" t="n"/>
      <c r="E32" s="8" t="inlineStr">
        <is>
          <t>Cerrado</t>
        </is>
      </c>
      <c r="F32" s="9" t="inlineStr">
        <is>
          <t>Adicionalmente, el equipo de Sergio Pérez entregará una estimación de tiempos que servirá como insumo para la definición y planificación de la salida a producción.</t>
        </is>
      </c>
      <c r="G32" s="10" t="n"/>
    </row>
    <row r="33" ht="189.75" customHeight="1">
      <c r="A33" s="10" t="inlineStr">
        <is>
          <t>Gestor de Monitoreo (Torre de Control)</t>
        </is>
      </c>
      <c r="B33" s="9" t="inlineStr">
        <is>
          <t>Equipo Aseguramiento</t>
        </is>
      </c>
      <c r="C33" s="9" t="inlineStr">
        <is>
          <t>Datalake de autorizaciones como entregable técnico del Release 3 (feb-abr 2027), con apoyo del arquitecto de datos.</t>
        </is>
      </c>
      <c r="D33" s="10" t="n"/>
      <c r="E33" s="8" t="inlineStr">
        <is>
          <t>Cerrado</t>
        </is>
      </c>
      <c r="F33" s="9" t="inlineStr">
        <is>
          <t>La habilitación del Data Lake como repositorio histórico de autorizaciones está contemplada dentro de los entregables técnicos del Release 3 (febrero a abril de 2027), para lo cual se contará con el apoyo del arquitecto de datos en la definición e implementación de la solución.</t>
        </is>
      </c>
      <c r="G33" s="10" t="n"/>
    </row>
    <row r="34" ht="174.75" customHeight="1">
      <c r="A34" s="10" t="inlineStr">
        <is>
          <t>Gestor de Finalización</t>
        </is>
      </c>
      <c r="B34" s="9" t="inlineStr">
        <is>
          <t>Equipo Aseguramiento</t>
        </is>
      </c>
      <c r="C34" s="9" t="inlineStr">
        <is>
          <t>Excluye explícitamente las "reglas de pago automático" (corresponden a Cuentas Médicas, fuera del MVP).</t>
        </is>
      </c>
      <c r="D34" s="10" t="n"/>
      <c r="E34" s="8" t="inlineStr">
        <is>
          <t>Cerrado</t>
        </is>
      </c>
      <c r="F34" s="9" t="inlineStr">
        <is>
          <t>El alcance de esta iniciativa se limita exclusivamente al proceso de autorizaciones, cubriendo las capacidades de solicitud, creación y evaluación de la autorización. Cualquier proceso posterior o complementario se considera fuera de alcance.</t>
        </is>
      </c>
      <c r="G34" s="10" t="n"/>
    </row>
    <row r="35" ht="44.25" customHeight="1">
      <c r="A35" s="10" t="inlineStr">
        <is>
          <t>Transversal / Principios generales</t>
        </is>
      </c>
      <c r="B35" s="4" t="inlineStr">
        <is>
          <t>Equipo Aseguramiento</t>
        </is>
      </c>
      <c r="C35" s="9" t="inlineStr">
        <is>
          <t>Toda estimación presentada a patrocinadores en fase de estructuración debe declarar explícitamente un margen de incertidumbre del 30%.</t>
        </is>
      </c>
      <c r="D35" s="10" t="n"/>
      <c r="E35" s="8" t="inlineStr">
        <is>
          <t>Cerrado</t>
        </is>
      </c>
      <c r="F35" s="11" t="n"/>
      <c r="G35" s="10" t="n"/>
    </row>
    <row r="36" ht="42" customHeight="1">
      <c r="A36" s="10" t="inlineStr">
        <is>
          <t>Transversal / Principios generales</t>
        </is>
      </c>
      <c r="B36" s="4" t="inlineStr">
        <is>
          <t>Equipo Aseguramiento</t>
        </is>
      </c>
      <c r="C36" s="9" t="inlineStr">
        <is>
          <t>El backlog se talla con escala estándar M≈5 días (medio sprint), L≈10 días (1 sprint), XL≈20 días (2 sprints), aplicada de forma consistente entre gestores para poder comparar esfuerzo.</t>
        </is>
      </c>
      <c r="D36" s="10" t="n"/>
      <c r="E36" s="8" t="inlineStr">
        <is>
          <t>Cerrado</t>
        </is>
      </c>
      <c r="F36" s="11" t="n"/>
      <c r="G36" s="10" t="n"/>
    </row>
    <row r="37" ht="69.95" customHeight="1">
      <c r="A37" s="10" t="inlineStr">
        <is>
          <t>Interoperabilidad (Prestadores)</t>
        </is>
      </c>
      <c r="B37" s="9" t="inlineStr">
        <is>
          <t>Checho</t>
        </is>
      </c>
      <c r="C37" s="9" t="inlineStr">
        <is>
          <t>El modelo de eventos de interoperabilidad de historia clínica migra hacia una arquitectura 2.0 orientada a eventos (colas por suscripción/webhooks), desde la arquitectura tradicional de microservicios; hoy conecta 6 prestadores de ayuda diagnóstica externa.</t>
        </is>
      </c>
      <c r="D37" s="10" t="inlineStr">
        <is>
          <t>La plataforma de registro/suscripción a eventos aún no existe (sería manual mientras tanto).</t>
        </is>
      </c>
      <c r="E37" s="9" t="inlineStr">
        <is>
          <t>Por cerrar</t>
        </is>
      </c>
      <c r="F37" s="11" t="n"/>
      <c r="G37" s="10" t="n"/>
    </row>
    <row r="38" ht="58.5" customHeight="1">
      <c r="A38" s="10" t="inlineStr">
        <is>
          <t>Interoperabilidad (Prestadores)</t>
        </is>
      </c>
      <c r="B38" s="9" t="inlineStr">
        <is>
          <t>Checho</t>
        </is>
      </c>
      <c r="C38" s="9" t="inlineStr">
        <is>
          <t>No existe hoy interoperabilidad de agenda por barreras de mercado (ningún prestador ni aseguradora quiere ser el centralizador); una propuesta de mercado con un tercero integrador está en etapa muy temprana.</t>
        </is>
      </c>
      <c r="D38" s="10" t="n"/>
      <c r="E38" s="9" t="inlineStr">
        <is>
          <t>Por cerrar</t>
        </is>
      </c>
      <c r="F38" s="11" t="n"/>
      <c r="G38" s="10" t="n"/>
    </row>
    <row r="39" ht="102" customHeight="1">
      <c r="A39" s="10" t="inlineStr">
        <is>
          <t>NEXO (Asesores)</t>
        </is>
      </c>
      <c r="B39" s="9" t="inlineStr">
        <is>
          <t>Pao Chica</t>
        </is>
      </c>
      <c r="C39" s="9" t="inlineStr">
        <is>
          <t>Nexo se ajusta a la fecha de integración que defina Gestores (rango manejado: octubre, noviembre o febrero-27); del lado de Nexo el trabajo previo es crear el módulo y las entidades de siniestros.</t>
        </is>
      </c>
      <c r="D39" s="10" t="inlineStr">
        <is>
          <t>Se debe compartir la definición del contrato de integración y realizar un espacio de socialización con los equipos involucrados</t>
        </is>
      </c>
      <c r="E39" s="8" t="inlineStr">
        <is>
          <t>Cerrado</t>
        </is>
      </c>
      <c r="F39" s="9" t="inlineStr">
        <is>
          <t>Desde la iniciativa de Gestores se debe contemplar el diseño, construcción y exposición de las APIs necesarias para habilitar la integración con Nexo.</t>
        </is>
      </c>
      <c r="G39" s="10" t="n"/>
    </row>
    <row r="40" ht="58.5" customHeight="1">
      <c r="A40" s="4" t="inlineStr">
        <is>
          <t>AVA (Asesores — AVA)</t>
        </is>
      </c>
      <c r="B40" s="5" t="inlineStr">
        <is>
          <t>Alan</t>
        </is>
      </c>
      <c r="C40" s="21" t="inlineStr">
        <is>
          <t>AVA y Nexo deben tratarse como dos frentes de integración activos en paralelo para asesores (no como reemplazo uno del otro) hasta que exista un plan de migración completo y una decisión formal de descontinuación.</t>
        </is>
      </c>
      <c r="D40" s="10" t="n"/>
      <c r="E40" s="8" t="inlineStr">
        <is>
          <t>Cerrado</t>
        </is>
      </c>
    </row>
    <row r="41" ht="81.59999999999999" customHeight="1">
      <c r="A41" s="10" t="inlineStr">
        <is>
          <t>Transversal / Principios generales</t>
        </is>
      </c>
      <c r="B41" s="4" t="inlineStr">
        <is>
          <t>Equipo Aseguramiento</t>
        </is>
      </c>
      <c r="C41" s="4" t="inlineStr">
        <is>
          <t xml:space="preserve">Tener en cuenta en el ejercicio de estimación y costos la capacidad requerida en infrastructura de Siniestro Integral por el crecimiento en transacciones </t>
        </is>
      </c>
      <c r="D41" s="4" t="inlineStr">
        <is>
          <t>solicitudes de autorización de salud (cerca de 600.000 al mes, frente a unas 20.000 de reembolsos de salud) pasen por Siniestro Integral, dado que eso multiplicaría por seis la carga transaccional de ese componente</t>
        </is>
      </c>
      <c r="E41" s="8" t="inlineStr">
        <is>
          <t>Cerrado</t>
        </is>
      </c>
    </row>
    <row r="42" ht="56.1" customHeight="1">
      <c r="A42" s="10" t="inlineStr">
        <is>
          <t>Transversal / Principios generales</t>
        </is>
      </c>
      <c r="B42" s="4" t="inlineStr">
        <is>
          <t>Equipo Aseguramiento</t>
        </is>
      </c>
      <c r="C42" s="4" t="inlineStr">
        <is>
          <t>Siniestro integral será un copmponente coreless que está en una capa superior donde se reciben las solicitudes entrantes, para luego  procesarlas desde una capa agéntica y que sean enviadas al core como información estrucutrada</t>
        </is>
      </c>
      <c r="D42" s="5" t="n"/>
      <c r="E42" s="8" t="inlineStr">
        <is>
          <t>Cerrado</t>
        </is>
      </c>
    </row>
    <row r="43" ht="84" customHeight="1">
      <c r="A43" s="10" t="inlineStr">
        <is>
          <t>Gestor de Solicitud</t>
        </is>
      </c>
      <c r="B43" s="4" t="inlineStr">
        <is>
          <t>Equipo Aseguramiento</t>
        </is>
      </c>
      <c r="C43" s="22" t="inlineStr">
        <is>
          <t>Confirmado: un único web component (Flutter), agnóstico de canal y con funcionalidades diferenciadas por rol (prestador suma 2-3 campos adicionales frente a cliente), embebido en app móvil, Sucursal Virtual Personas y Portal de Prestador/Proveedor — se descarta un front independiente por canal.</t>
        </is>
      </c>
      <c r="D43" s="5" t="n"/>
      <c r="E43" s="14" t="inlineStr">
        <is>
          <t>Cerrado</t>
        </is>
      </c>
    </row>
    <row r="44" ht="84" customHeight="1">
      <c r="A44" s="10" t="inlineStr">
        <is>
          <t>AVA (Asesores — AVA)</t>
        </is>
      </c>
      <c r="B44" s="4" t="inlineStr">
        <is>
          <t>Alan</t>
        </is>
      </c>
      <c r="C44" s="22" t="inlineStr">
        <is>
          <t>AVA no requiere componente propio: su integración se resuelve embebiendo el mismo web component vía redirección (opción con link dentro de AVA); esfuerzo estimado de 1 día para revisar el componente existente de AVA y su embebido. Cierra la definición pendiente en la fila 7 sobre cómo se expondría el front en AVA.</t>
        </is>
      </c>
      <c r="D44" s="5" t="n"/>
      <c r="E44" s="14" t="inlineStr">
        <is>
          <t>Cerrado</t>
        </is>
      </c>
    </row>
    <row r="45" ht="84" customHeight="1">
      <c r="A45" s="10" t="inlineStr">
        <is>
          <t>NEXO (Asesores)</t>
        </is>
      </c>
      <c r="B45" s="4" t="inlineStr">
        <is>
          <t>Pao Chica</t>
        </is>
      </c>
      <c r="C45" s="22" t="inlineStr">
        <is>
          <t>Integración con NEXO confirmada bajo patrón API First: Gestores expone y documenta las APIs; el equipo de NEXO construye su propia experiencia/front y consume esas APIs — no se construye front ni componente de NEXO dentro del alcance de Gestores. Cierra la definición pendiente en la fila 7 sobre cómo se expondría el front en Nexo.</t>
        </is>
      </c>
      <c r="D45" s="5" t="inlineStr">
        <is>
          <t>Pendiente que NEXO (Carlos Carmona / Paola Chica) entregue estimación de tiempo y presupuesto para su desarrollo e integración; contextualización retomada, sin respuesta formal desde hace ~2 semanas.</t>
        </is>
      </c>
      <c r="E45" s="5" t="inlineStr">
        <is>
          <t>Por validar</t>
        </is>
      </c>
    </row>
    <row r="46" ht="84" customHeight="1">
      <c r="A46" s="10" t="inlineStr">
        <is>
          <t>Interoperabilidad (Prestadores)</t>
        </is>
      </c>
      <c r="B46" s="4" t="inlineStr">
        <is>
          <t>Checho</t>
        </is>
      </c>
      <c r="C46" s="22" t="inlineStr">
        <is>
          <t>El módulo de interoperabilidad de autorizaciones no parte de cero: reutiliza la infraestructura ya construida de interoperabilidad; se tomará como pivote de esfuerzo el costo de la interoperabilidad de ayudas diagnósticas (la más comparable), reconociendo que autorizaciones tiene casuística y costos propios.</t>
        </is>
      </c>
      <c r="D46" s="5" t="n"/>
      <c r="E46" s="14" t="inlineStr">
        <is>
          <t>Cerrado</t>
        </is>
      </c>
    </row>
    <row r="47" ht="98.09999999999999" customHeight="1">
      <c r="A47" s="10" t="inlineStr">
        <is>
          <t>Gestor de Monitoreo (Torre de Control)</t>
        </is>
      </c>
      <c r="B47" s="4" t="inlineStr">
        <is>
          <t>Equipo Aseguramiento</t>
        </is>
      </c>
      <c r="C47" s="20" t="inlineStr">
        <is>
          <t>Se evalúa como insumo de referencia (no de adopción literal) una propuesta de arquitectura agéntica mundial para torres de control de salud, compuesta por 9 agentes especializados (radar, riesgo operacional, capacidad, predictor, director del tráfico, marcos de actuación, anomalías, explicador, recomendación) más un agente “comandante de operaciones” a futuro con capacidad de ejecución directa.</t>
        </is>
      </c>
      <c r="D47" s="5" t="inlineStr">
        <is>
          <t>Pendiente validar cada agente, uno por uno, contra casos de uso reales del negocio, para identificar cuáles aportan algo nuevo frente al diseño ya definido de los seis gestores.</t>
        </is>
      </c>
      <c r="E47" s="5" t="inlineStr">
        <is>
          <t>Por validar</t>
        </is>
      </c>
    </row>
    <row r="48" ht="69.95" customHeight="1">
      <c r="A48" s="10" t="inlineStr">
        <is>
          <t>Gestor de Monitoreo (Torre de Control)</t>
        </is>
      </c>
      <c r="B48" s="4" t="inlineStr">
        <is>
          <t>Equipo Aseguramiento</t>
        </is>
      </c>
      <c r="C48" s="20" t="inlineStr">
        <is>
          <t>Los estados administrados por Gestores y los estados administrados por SuraHis se mantienen como conjuntos diferenciados (Gestores tiene estados propios adicionales, ej. “pre radicado”, que no existen en SuraHis) pero deben poder correlacionarse.</t>
        </is>
      </c>
      <c r="D48" s="5" t="n"/>
      <c r="E48" s="5" t="inlineStr">
        <is>
          <t>Por validar</t>
        </is>
      </c>
    </row>
    <row r="49" ht="69.95" customHeight="1">
      <c r="A49" s="10" t="inlineStr">
        <is>
          <t>Gestor de Monitoreo (Torre de Control)</t>
        </is>
      </c>
      <c r="B49" s="4" t="inlineStr">
        <is>
          <t>Equipo Aseguramiento</t>
        </is>
      </c>
      <c r="C49" s="20" t="inlineStr">
        <is>
          <t>El nivel de autonomía de ejecución de cada agente (recomendar vs. ejecutar) determina directamente con qué sistemas debe conectarse (SuraHis u otros) y qué capacidades técnicas de escritura/ejecución requiere; pendiente de definir antes de dimensionar el desarrollo.</t>
        </is>
      </c>
      <c r="D49" s="5" t="n"/>
      <c r="E49" s="5" t="inlineStr">
        <is>
          <t>Por validar</t>
        </is>
      </c>
      <c r="F49" s="87" t="inlineStr">
        <is>
          <t>La torre de control debe poder conectarse tanto a los gestores como a sura hist para poder aplicar acciones ej:
* Conectarse a surahist en el caso de quere</t>
        </is>
      </c>
      <c r="G49" t="inlineStr">
        <is>
          <t>Agentica</t>
        </is>
      </c>
    </row>
    <row r="50" ht="69.95" customHeight="1">
      <c r="A50" s="4" t="inlineStr">
        <is>
          <t>Gestor de Monitoreo (Torre de Control)</t>
        </is>
      </c>
      <c r="B50" s="4" t="inlineStr">
        <is>
          <t>Equipo Aseguramiento</t>
        </is>
      </c>
      <c r="C50" s="18" t="inlineStr">
        <is>
          <t>Principio arquitectónico base heredado del Caso de Negocio de Gestores: arquitectura empresarial reutilizable de seis momentos, con desacople de los cores mediante eventos y microservicios.</t>
        </is>
      </c>
      <c r="D50" s="5" t="inlineStr">
        <is>
          <t>Fuente: Caso de Negocio Gestores. Es el fundamento detrás de la fila existente sobre arquitectura orientada a eventos (EDA); aquí se deja explícito el origen (caso de negocio) y el principio de desacople vía microservicios.</t>
        </is>
      </c>
      <c r="E50" s="5" t="inlineStr">
        <is>
          <t>Por validar</t>
        </is>
      </c>
    </row>
    <row r="51" ht="98.09999999999999" customHeight="1">
      <c r="A51" s="4" t="inlineStr">
        <is>
          <t>Gestor de Monitoreo (Torre de Control)</t>
        </is>
      </c>
      <c r="B51" s="4" t="inlineStr">
        <is>
          <t>Equipo Aseguramiento</t>
        </is>
      </c>
      <c r="C51" s="18" t="inlineStr">
        <is>
          <t>La Torre de Control debe suscribirse a la totalidad de los eventos del ecosistema (todos los gestores y cores), no a un subconjunto, como precondición técnica para construir la trazabilidad end-to-end.</t>
        </is>
      </c>
      <c r="D51" s="5" t="inlineStr">
        <is>
          <t>Fuente: Acta_TorreDeControl_20260810_Gestores; Acta_Gestores_2026-08-19_ResolvamosDudasEjercicio. Detalla la fila existente “Arquitectura orientada a eventos (EDA): consume eventos de todos los gestores y cores, incluida SuraHis” (Estado: Por Validar).</t>
        </is>
      </c>
      <c r="E51" s="5" t="inlineStr">
        <is>
          <t>Por validar</t>
        </is>
      </c>
    </row>
    <row r="52" ht="56.1" customHeight="1">
      <c r="A52" s="4" t="inlineStr">
        <is>
          <t>Gestor de Monitoreo (Torre de Control)</t>
        </is>
      </c>
      <c r="B52" s="4" t="inlineStr">
        <is>
          <t>Equipo Aseguramiento</t>
        </is>
      </c>
      <c r="C52" s="18" t="inlineStr">
        <is>
          <t>Contrato técnico mínimo: emisión de un evento por cada cambio de estado en cualquier gestor/core del ecosistema, como base para que la Torre de Control pueda construir la trazabilidad end-to-end.</t>
        </is>
      </c>
      <c r="D52" s="5" t="inlineStr">
        <is>
          <t>Fuente: Actas de Torre de Control.</t>
        </is>
      </c>
      <c r="E52" s="5" t="inlineStr">
        <is>
          <t>Por validar</t>
        </is>
      </c>
    </row>
    <row r="53">
      <c r="E53" s="5" t="inlineStr">
        <is>
          <t>Por validar</t>
        </is>
      </c>
    </row>
    <row r="54" ht="15" customHeight="1"/>
  </sheetData>
  <autoFilter ref="A1:F53"/>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T15"/>
  <sheetViews>
    <sheetView showGridLines="0" zoomScaleNormal="100" workbookViewId="0">
      <pane xSplit="2" ySplit="7" topLeftCell="C8" activePane="bottomRight" state="frozen"/>
      <selection pane="bottomRight" activeCell="R15" sqref="C9:R15"/>
      <selection pane="bottomLeft" activeCell="A8" sqref="A8"/>
      <selection pane="topRight" activeCell="C1" sqref="C1"/>
    </sheetView>
  </sheetViews>
  <sheetFormatPr baseColWidth="8" defaultColWidth="8.5703125" defaultRowHeight="14.45"/>
  <cols>
    <col width="34" customWidth="1" min="1" max="1"/>
    <col width="11" customWidth="1" min="2" max="2"/>
    <col width="8" customWidth="1" min="3" max="18"/>
    <col width="14" customWidth="1" min="19" max="19"/>
    <col width="55" customWidth="1" min="20" max="20"/>
  </cols>
  <sheetData>
    <row r="1" ht="25.5" customHeight="1">
      <c r="A1" s="88" t="inlineStr">
        <is>
          <t>Cronograma de Releases — Alto Nivel — Autorizaciones de Salud (Gestores 2026)</t>
        </is>
      </c>
    </row>
    <row r="2" ht="45.75" customHeight="1">
      <c r="A2" s="95" t="inlineStr">
        <is>
          <t>MVP (Mínimo Producto Viable) — Autorizaciones de Salud:  1) Gestor de Solicitud   2) Gestor de Evaluación   3) Canales   4) Siniestro Integral   5) Torre de Control (parcial: solo correlación y trazabilidad end-to-end).
Fuera de este MVP inicial: Gestor de Coordinación (absorbido por SuraHis Core), Gestor de Prestación, Gestor de Finalización, canales NEXO/AVA (asesores) y el resto de Torre de Control (alertamiento, analítica, detección de anomalías).</t>
        </is>
      </c>
    </row>
    <row r="3" ht="15" customHeight="1"/>
    <row r="4" ht="15" customHeight="1"/>
    <row r="5" ht="24" customHeight="1">
      <c r="A5" s="91" t="inlineStr">
        <is>
          <t>🟨 = fecha/alcance tentativo, aún no confirmado por el equipo técnico. Solo Sprint 0 (sep-26) y la ventana de Release 1 (oct-dic 26) están validados en actas al 26-ago-2026 — el resto se proyecta por dependencia lógica y debe validarse.</t>
        </is>
      </c>
    </row>
    <row r="7" ht="21.75" customHeight="1" thickBot="1">
      <c r="A7" s="51" t="inlineStr">
        <is>
          <t>Frente / Épica</t>
        </is>
      </c>
      <c r="B7" s="51" t="inlineStr">
        <is>
          <t>¿En MVP?</t>
        </is>
      </c>
      <c r="C7" s="52" t="inlineStr">
        <is>
          <t>Sep-26</t>
        </is>
      </c>
      <c r="D7" s="52" t="inlineStr">
        <is>
          <t>Oct-26</t>
        </is>
      </c>
      <c r="E7" s="52" t="inlineStr">
        <is>
          <t>Nov-26</t>
        </is>
      </c>
      <c r="F7" s="52" t="inlineStr">
        <is>
          <t>Dic-26</t>
        </is>
      </c>
      <c r="G7" s="52" t="inlineStr">
        <is>
          <t>Ene-27</t>
        </is>
      </c>
      <c r="H7" s="52" t="inlineStr">
        <is>
          <t>Feb-27</t>
        </is>
      </c>
      <c r="I7" s="52" t="inlineStr">
        <is>
          <t>Mar-27</t>
        </is>
      </c>
      <c r="J7" s="52" t="inlineStr">
        <is>
          <t>Abr-27</t>
        </is>
      </c>
      <c r="K7" s="52" t="inlineStr">
        <is>
          <t>May-27</t>
        </is>
      </c>
      <c r="L7" s="52" t="inlineStr">
        <is>
          <t>Jun-27</t>
        </is>
      </c>
      <c r="M7" s="52" t="inlineStr">
        <is>
          <t>Jul-27</t>
        </is>
      </c>
      <c r="N7" s="52" t="inlineStr">
        <is>
          <t>Ago-27</t>
        </is>
      </c>
      <c r="O7" s="52" t="inlineStr">
        <is>
          <t>Sep-27</t>
        </is>
      </c>
      <c r="P7" s="52" t="inlineStr">
        <is>
          <t>Oct-27</t>
        </is>
      </c>
      <c r="Q7" s="52" t="inlineStr">
        <is>
          <t>Nov-27</t>
        </is>
      </c>
      <c r="R7" s="52" t="inlineStr">
        <is>
          <t>Dic-27</t>
        </is>
      </c>
      <c r="S7" s="52" t="inlineStr">
        <is>
          <t>¿Confirmado?</t>
        </is>
      </c>
      <c r="T7" s="52" t="inlineStr">
        <is>
          <t>Notas / Fuente</t>
        </is>
      </c>
    </row>
    <row r="8" ht="30" customHeight="1" thickBot="1">
      <c r="A8" s="83" t="inlineStr">
        <is>
          <t>Sprint 0 — Preparación transversal (equipo, accesos, ambientes)</t>
        </is>
      </c>
      <c r="B8" s="74" t="inlineStr">
        <is>
          <t>Habilitador</t>
        </is>
      </c>
      <c r="C8" s="96" t="inlineStr">
        <is>
          <t>✅ MVP</t>
        </is>
      </c>
      <c r="D8" s="82" t="n"/>
      <c r="E8" s="82" t="n"/>
      <c r="F8" s="82" t="n"/>
      <c r="G8" s="82" t="n"/>
      <c r="H8" s="82" t="n"/>
      <c r="I8" s="82" t="n"/>
      <c r="J8" s="82" t="n"/>
      <c r="K8" s="82" t="n"/>
      <c r="L8" s="82" t="n"/>
      <c r="M8" s="82" t="n"/>
      <c r="N8" s="82" t="n"/>
      <c r="O8" s="82" t="n"/>
      <c r="P8" s="82" t="n"/>
      <c r="Q8" s="82" t="n"/>
      <c r="R8" s="82" t="n"/>
      <c r="S8" s="65" t="inlineStr">
        <is>
          <t>Sí</t>
        </is>
      </c>
      <c r="T8" s="81" t="inlineStr">
        <is>
          <t>Confirmado en la sesión del 21-ago-2026: arranca 1-sep y va hasta el 28-sep-2026.</t>
        </is>
      </c>
    </row>
    <row r="9" ht="30" customHeight="1" thickBot="1">
      <c r="A9" s="83" t="inlineStr">
        <is>
          <t>Plataforma / Arquitectura habilitadora (EDA, catálogo de eventos, contratos API)</t>
        </is>
      </c>
      <c r="B9" s="74" t="inlineStr">
        <is>
          <t>Habilitador</t>
        </is>
      </c>
      <c r="C9" s="82" t="n"/>
      <c r="D9" s="94" t="inlineStr">
        <is>
          <t>🟨</t>
        </is>
      </c>
      <c r="E9" s="101" t="n"/>
      <c r="F9" s="101" t="n"/>
      <c r="G9" s="102" t="n"/>
      <c r="H9" s="82" t="n"/>
      <c r="I9" s="82" t="n"/>
      <c r="J9" s="82" t="n"/>
      <c r="K9" s="82" t="n"/>
      <c r="L9" s="82" t="n"/>
      <c r="M9" s="82" t="n"/>
      <c r="N9" s="82" t="n"/>
      <c r="O9" s="82" t="n"/>
      <c r="P9" s="82" t="n"/>
      <c r="Q9" s="82" t="n"/>
      <c r="R9" s="82" t="n"/>
      <c r="S9" s="65" t="inlineStr">
        <is>
          <t>🟨 Parcial</t>
        </is>
      </c>
      <c r="T9" s="81" t="inlineStr">
        <is>
          <t>Camino crítico según propuesta preliminar del 18-ago-2026 (~3,5 meses); demanda cruzada a los cores tallada en L (~1 sprint). Fechas exactas no confirmadas.</t>
        </is>
      </c>
    </row>
    <row r="10" ht="30" customHeight="1" thickBot="1">
      <c r="A10" s="83" t="inlineStr">
        <is>
          <t>Gestor de Solicitud (rol Proveedor / canal Sucursal Virtual Prestador)</t>
        </is>
      </c>
      <c r="B10" s="74" t="inlineStr">
        <is>
          <t>Sí — MVP</t>
        </is>
      </c>
      <c r="C10" s="82" t="n"/>
      <c r="D10" s="96" t="inlineStr">
        <is>
          <t>✅ MVP</t>
        </is>
      </c>
      <c r="E10" s="103" t="n"/>
      <c r="F10" s="104" t="n"/>
      <c r="G10" s="82" t="n"/>
      <c r="H10" s="82" t="n"/>
      <c r="I10" s="82" t="n"/>
      <c r="J10" s="82" t="n"/>
      <c r="K10" s="82" t="n"/>
      <c r="L10" s="82" t="n"/>
      <c r="M10" s="82" t="n"/>
      <c r="N10" s="82" t="n"/>
      <c r="O10" s="82" t="n"/>
      <c r="P10" s="82" t="n"/>
      <c r="Q10" s="82" t="n"/>
      <c r="R10" s="82" t="n"/>
      <c r="S10" s="65" t="inlineStr">
        <is>
          <t>Sí</t>
        </is>
      </c>
      <c r="T10" s="81" t="inlineStr">
        <is>
          <t>Compromiso de diciembre 2026 validado el 21-ago-2026. Talla mínima acordada: L. Ventana efectiva real: oct-nov (arranque real 1-sep, equipo formado a media de sep).</t>
        </is>
      </c>
    </row>
    <row r="11" ht="30" customHeight="1">
      <c r="A11" s="83" t="inlineStr">
        <is>
          <t>Canales (habilitación canal Proveedor / Sucursal Virtual Prestador)</t>
        </is>
      </c>
      <c r="B11" s="74" t="inlineStr">
        <is>
          <t>Sí — MVP</t>
        </is>
      </c>
      <c r="C11" s="82" t="n"/>
      <c r="D11" s="94" t="inlineStr">
        <is>
          <t>🟨 tentativo</t>
        </is>
      </c>
      <c r="E11" s="101" t="n"/>
      <c r="F11" s="102" t="n"/>
      <c r="G11" s="82" t="n"/>
      <c r="H11" s="82" t="n"/>
      <c r="I11" s="82" t="n"/>
      <c r="J11" s="82" t="n"/>
      <c r="K11" s="82" t="n"/>
      <c r="L11" s="82" t="n"/>
      <c r="M11" s="82" t="n"/>
      <c r="N11" s="82" t="n"/>
      <c r="O11" s="82" t="n"/>
      <c r="P11" s="82" t="n"/>
      <c r="Q11" s="82" t="n"/>
      <c r="R11" s="82" t="n"/>
      <c r="S11" s="65" t="inlineStr">
        <is>
          <t>🟨 Parcial</t>
        </is>
      </c>
      <c r="T11" s="81" t="inlineStr">
        <is>
          <t>En paralelo al Gestor de Solicitud. Estimación propia del equipo de Canales (James Quintero) aún no confirmada al 26-ago-2026 — riesgo si excede la ventana.</t>
        </is>
      </c>
    </row>
    <row r="12" ht="30" customHeight="1">
      <c r="A12" s="83" t="inlineStr">
        <is>
          <t>Siniestro Integral (ajustes como canal unificado de registro/seguimiento)</t>
        </is>
      </c>
      <c r="B12" s="74" t="inlineStr">
        <is>
          <t>Sí — MVP</t>
        </is>
      </c>
      <c r="C12" s="82" t="n"/>
      <c r="D12" s="94" t="inlineStr">
        <is>
          <t>🟨 tentativo</t>
        </is>
      </c>
      <c r="E12" s="101" t="n"/>
      <c r="F12" s="102" t="n"/>
      <c r="G12" s="82" t="n"/>
      <c r="H12" s="82" t="n"/>
      <c r="I12" s="82" t="n"/>
      <c r="J12" s="82" t="n"/>
      <c r="K12" s="82" t="n"/>
      <c r="L12" s="82" t="n"/>
      <c r="M12" s="82" t="n"/>
      <c r="N12" s="82" t="n"/>
      <c r="O12" s="82" t="n"/>
      <c r="P12" s="82" t="n"/>
      <c r="Q12" s="82" t="n"/>
      <c r="R12" s="82" t="n"/>
      <c r="S12" s="65" t="inlineStr">
        <is>
          <t>🟨 Parcial</t>
        </is>
      </c>
      <c r="T12" s="81" t="inlineStr">
        <is>
          <t>Talla acordada: mínimo 1 sprint (Acta_EstimacionCostoReleases_20260821). Requiere validación de alcance con Milton Alexis.</t>
        </is>
      </c>
    </row>
    <row r="13" ht="30" customHeight="1">
      <c r="A13" s="83" t="inlineStr">
        <is>
          <t>Gestor de Evaluación</t>
        </is>
      </c>
      <c r="B13" s="74" t="inlineStr">
        <is>
          <t>Sí — MVP</t>
        </is>
      </c>
      <c r="C13" s="82" t="n"/>
      <c r="D13" s="82" t="n"/>
      <c r="E13" s="82" t="n"/>
      <c r="F13" s="82" t="n"/>
      <c r="G13" s="94" t="inlineStr">
        <is>
          <t>🟨 tentativo</t>
        </is>
      </c>
      <c r="H13" s="101" t="n"/>
      <c r="I13" s="101" t="n"/>
      <c r="J13" s="102" t="n"/>
      <c r="K13" s="82" t="n"/>
      <c r="L13" s="82" t="n"/>
      <c r="M13" s="82" t="n"/>
      <c r="N13" s="82" t="n"/>
      <c r="O13" s="82" t="n"/>
      <c r="P13" s="82" t="n"/>
      <c r="Q13" s="82" t="n"/>
      <c r="R13" s="82" t="n"/>
      <c r="S13" s="65" t="inlineStr">
        <is>
          <t>🟨 No confirmado</t>
        </is>
      </c>
      <c r="T13" s="81" t="inlineStr">
        <is>
          <t>Mínimo viable propio estimado en ~4 meses (análisis del 26-ago-2026). Depende 100% de recibir el output real del Gestor de Solicitud ya operando. Fechas de inicio/fin sin validar.</t>
        </is>
      </c>
    </row>
    <row r="14" ht="30" customHeight="1">
      <c r="A14" s="83" t="inlineStr">
        <is>
          <t>Torre de Control — parcial (correlación y trazabilidad end-to-end)</t>
        </is>
      </c>
      <c r="B14" s="74" t="inlineStr">
        <is>
          <t>Parcial — MVP</t>
        </is>
      </c>
      <c r="C14" s="82" t="n"/>
      <c r="D14" s="82" t="n"/>
      <c r="E14" s="82" t="n"/>
      <c r="F14" s="82" t="n"/>
      <c r="G14" s="82" t="n"/>
      <c r="H14" s="82" t="n"/>
      <c r="I14" s="82" t="n"/>
      <c r="J14" s="94" t="inlineStr">
        <is>
          <t>🟨 tentativo</t>
        </is>
      </c>
      <c r="K14" s="101" t="n"/>
      <c r="L14" s="102" t="n"/>
      <c r="M14" s="82" t="n"/>
      <c r="N14" s="82" t="n"/>
      <c r="O14" s="82" t="n"/>
      <c r="P14" s="82" t="n"/>
      <c r="Q14" s="82" t="n"/>
      <c r="R14" s="82" t="n"/>
      <c r="S14" s="65" t="inlineStr">
        <is>
          <t>🟨 No confirmado</t>
        </is>
      </c>
      <c r="T14" s="81" t="inlineStr">
        <is>
          <t>Requiere que todos los gestores publiquen eventos con contrato estable (precondición técnica). Alcance de trazabilidad limitado a autorización/rechazo, no incluye cuenta médica. Fechas tentativas.</t>
        </is>
      </c>
    </row>
    <row r="15" ht="30" customHeight="1">
      <c r="A15" s="83" t="inlineStr">
        <is>
          <t>Fuera del MVP inicial: Coordinación (Core), Prestación, Finalización, NEXO/AVA, resto de Torre de Control</t>
        </is>
      </c>
      <c r="B15" s="56" t="inlineStr">
        <is>
          <t>No</t>
        </is>
      </c>
      <c r="C15" s="82" t="n"/>
      <c r="D15" s="82" t="n"/>
      <c r="E15" s="82" t="n"/>
      <c r="F15" s="82" t="n"/>
      <c r="G15" s="82" t="n"/>
      <c r="H15" s="82" t="n"/>
      <c r="I15" s="82" t="n"/>
      <c r="J15" s="82" t="n"/>
      <c r="K15" s="82" t="n"/>
      <c r="L15" s="82" t="n"/>
      <c r="M15" s="82" t="n"/>
      <c r="N15" s="82" t="n"/>
      <c r="O15" s="82" t="n"/>
      <c r="P15" s="82" t="n"/>
      <c r="Q15" s="82" t="n"/>
      <c r="R15" s="82" t="n"/>
      <c r="S15" s="65" t="inlineStr">
        <is>
          <t>N/A</t>
        </is>
      </c>
      <c r="T15" s="81" t="inlineStr">
        <is>
          <t>Ver hoja "Estimación por Costos" para su detalle. Coordinación decidida como parte de SuraHis Core (03-ago-2026); Prestación y Finalización sin implementación en el alcance de Salud.</t>
        </is>
      </c>
    </row>
  </sheetData>
  <mergeCells count="9">
    <mergeCell ref="A1:T1"/>
    <mergeCell ref="A5:T5"/>
    <mergeCell ref="G13:J13"/>
    <mergeCell ref="D11:F11"/>
    <mergeCell ref="J14:L14"/>
    <mergeCell ref="D9:G9"/>
    <mergeCell ref="A2:T4"/>
    <mergeCell ref="D12:F12"/>
    <mergeCell ref="D10:F10"/>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ColWidth="11.42578125" defaultRowHeight="14.45"/>
  <cols>
    <col width="13.5703125" customWidth="1" min="1" max="1"/>
    <col width="17.7109375" customWidth="1" min="2" max="2"/>
    <col width="20.5703125" customWidth="1" min="3" max="5"/>
    <col width="21.42578125" customWidth="1" min="6" max="6"/>
  </cols>
  <sheetData>
    <row r="1" ht="28.5" customHeight="1">
      <c r="A1" s="24" t="inlineStr">
        <is>
          <t>ID</t>
        </is>
      </c>
      <c r="B1" s="24" t="inlineStr">
        <is>
          <t>Eje</t>
        </is>
      </c>
      <c r="C1" s="24" t="inlineStr">
        <is>
          <t>Pregunta orientadora</t>
        </is>
      </c>
      <c r="D1" s="24" t="inlineStr">
        <is>
          <t>Categoría</t>
        </is>
      </c>
      <c r="E1" s="24" t="inlineStr">
        <is>
          <t>Indicador / variable</t>
        </is>
      </c>
      <c r="F1" s="24" t="inlineStr">
        <is>
          <t>Detalle / segmentación</t>
        </is>
      </c>
      <c r="G1" s="24" t="inlineStr">
        <is>
          <t>Unidad sugerida</t>
        </is>
      </c>
      <c r="H1" s="24" t="inlineStr">
        <is>
          <t>Observaciones</t>
        </is>
      </c>
    </row>
    <row r="2" ht="28.5" customHeight="1">
      <c r="A2" s="25" t="n">
        <v>1</v>
      </c>
      <c r="B2" s="25" t="inlineStr">
        <is>
          <t>1. Demanda</t>
        </is>
      </c>
      <c r="C2" s="25" t="inlineStr">
        <is>
          <t>¿Qué está entrando?</t>
        </is>
      </c>
      <c r="D2" s="25" t="inlineStr">
        <is>
          <t>Volumen</t>
        </is>
      </c>
      <c r="E2" s="25" t="inlineStr">
        <is>
          <t>Reclamaciones recibidas por día</t>
        </is>
      </c>
      <c r="F2" s="25" t="inlineStr">
        <is>
          <t>Detallado: automático vs no automático</t>
        </is>
      </c>
      <c r="G2" s="25" t="inlineStr">
        <is>
          <t>Número</t>
        </is>
      </c>
      <c r="H2" s="26" t="inlineStr">
        <is>
          <t> </t>
        </is>
      </c>
    </row>
    <row r="3" ht="28.5" customHeight="1">
      <c r="A3" s="25" t="n">
        <v>2</v>
      </c>
      <c r="B3" s="25" t="inlineStr">
        <is>
          <t>1. Demanda</t>
        </is>
      </c>
      <c r="C3" s="25" t="inlineStr">
        <is>
          <t>¿Qué está entrando?</t>
        </is>
      </c>
      <c r="D3" s="25" t="inlineStr">
        <is>
          <t>Volumen</t>
        </is>
      </c>
      <c r="E3" s="25" t="inlineStr">
        <is>
          <t>Reclamaciones recibidas por hora</t>
        </is>
      </c>
      <c r="F3" s="25" t="inlineStr">
        <is>
          <t> </t>
        </is>
      </c>
      <c r="G3" s="25" t="inlineStr">
        <is>
          <t>Número</t>
        </is>
      </c>
      <c r="H3" s="26" t="inlineStr">
        <is>
          <t> </t>
        </is>
      </c>
    </row>
    <row r="4" ht="28.5" customHeight="1">
      <c r="A4" s="25" t="n">
        <v>3</v>
      </c>
      <c r="B4" s="25" t="inlineStr">
        <is>
          <t>1. Demanda</t>
        </is>
      </c>
      <c r="C4" s="25" t="inlineStr">
        <is>
          <t>¿Qué está entrando?</t>
        </is>
      </c>
      <c r="D4" s="25" t="inlineStr">
        <is>
          <t>Volumen</t>
        </is>
      </c>
      <c r="E4" s="25" t="inlineStr">
        <is>
          <t>Tendencia semana a semana</t>
        </is>
      </c>
      <c r="F4" s="25" t="inlineStr">
        <is>
          <t> </t>
        </is>
      </c>
      <c r="G4" s="25" t="inlineStr">
        <is>
          <t>Tendencia</t>
        </is>
      </c>
      <c r="H4" s="26" t="inlineStr">
        <is>
          <t> </t>
        </is>
      </c>
    </row>
    <row r="5">
      <c r="A5" s="25" t="n">
        <v>4</v>
      </c>
      <c r="B5" s="25" t="inlineStr">
        <is>
          <t>1. Demanda</t>
        </is>
      </c>
      <c r="C5" s="25" t="inlineStr">
        <is>
          <t>¿Qué está entrando?</t>
        </is>
      </c>
      <c r="D5" s="25" t="inlineStr">
        <is>
          <t>Segmentación</t>
        </is>
      </c>
      <c r="E5" s="25" t="inlineStr">
        <is>
          <t>Tradicional</t>
        </is>
      </c>
      <c r="F5" s="25" t="inlineStr">
        <is>
          <t> </t>
        </is>
      </c>
      <c r="G5" s="25" t="inlineStr">
        <is>
          <t>Categoría</t>
        </is>
      </c>
      <c r="H5" s="26" t="inlineStr">
        <is>
          <t> </t>
        </is>
      </c>
    </row>
    <row r="6">
      <c r="A6" s="25" t="n">
        <v>5</v>
      </c>
      <c r="B6" s="25" t="inlineStr">
        <is>
          <t>1. Demanda</t>
        </is>
      </c>
      <c r="C6" s="25" t="inlineStr">
        <is>
          <t>¿Qué está entrando?</t>
        </is>
      </c>
      <c r="D6" s="25" t="inlineStr">
        <is>
          <t>Segmentación</t>
        </is>
      </c>
      <c r="E6" s="25" t="inlineStr">
        <is>
          <t>Planes</t>
        </is>
      </c>
      <c r="F6" s="25" t="inlineStr">
        <is>
          <t> </t>
        </is>
      </c>
      <c r="G6" s="25" t="inlineStr">
        <is>
          <t>Categoría</t>
        </is>
      </c>
      <c r="H6" s="26" t="inlineStr">
        <is>
          <t> </t>
        </is>
      </c>
    </row>
    <row r="7">
      <c r="A7" s="25" t="n">
        <v>6</v>
      </c>
      <c r="B7" s="25" t="inlineStr">
        <is>
          <t>1. Demanda</t>
        </is>
      </c>
      <c r="C7" s="25" t="inlineStr">
        <is>
          <t>¿Qué está entrando?</t>
        </is>
      </c>
      <c r="D7" s="25" t="inlineStr">
        <is>
          <t>Segmentación</t>
        </is>
      </c>
      <c r="E7" s="25" t="inlineStr">
        <is>
          <t>Internacional</t>
        </is>
      </c>
      <c r="F7" s="25" t="inlineStr">
        <is>
          <t> </t>
        </is>
      </c>
      <c r="G7" s="25" t="inlineStr">
        <is>
          <t>Categoría</t>
        </is>
      </c>
      <c r="H7" s="26" t="inlineStr">
        <is>
          <t> </t>
        </is>
      </c>
    </row>
    <row r="8" ht="70.5" customHeight="1">
      <c r="A8" s="25" t="n">
        <v>7</v>
      </c>
      <c r="B8" s="25" t="inlineStr">
        <is>
          <t>1. Demanda</t>
        </is>
      </c>
      <c r="C8" s="25" t="inlineStr">
        <is>
          <t>¿Qué está entrando?</t>
        </is>
      </c>
      <c r="D8" s="25" t="inlineStr">
        <is>
          <t>Canal</t>
        </is>
      </c>
      <c r="E8" s="25" t="inlineStr">
        <is>
          <t>Canales digitales</t>
        </is>
      </c>
      <c r="F8" s="25" t="inlineStr">
        <is>
          <t>Solicitante: asesor, cliente o prestador
Canal: SVP, AVA (NEXO), WhatsApp, APP, portal prestador</t>
        </is>
      </c>
      <c r="G8" s="25" t="inlineStr">
        <is>
          <t>Categoría</t>
        </is>
      </c>
      <c r="H8" s="26" t="inlineStr">
        <is>
          <t> </t>
        </is>
      </c>
    </row>
    <row r="9">
      <c r="A9" s="25" t="n">
        <v>8</v>
      </c>
      <c r="B9" s="25" t="inlineStr">
        <is>
          <t>1. Demanda</t>
        </is>
      </c>
      <c r="C9" s="25" t="inlineStr">
        <is>
          <t>¿Qué está entrando?</t>
        </is>
      </c>
      <c r="D9" s="25" t="inlineStr">
        <is>
          <t>Canal</t>
        </is>
      </c>
      <c r="E9" s="25" t="inlineStr">
        <is>
          <t>Link de gestión</t>
        </is>
      </c>
      <c r="F9" s="25" t="inlineStr">
        <is>
          <t> </t>
        </is>
      </c>
      <c r="G9" s="25" t="inlineStr">
        <is>
          <t>Categoría</t>
        </is>
      </c>
      <c r="H9" s="26" t="inlineStr">
        <is>
          <t> </t>
        </is>
      </c>
    </row>
    <row r="10">
      <c r="A10" s="25" t="n">
        <v>9</v>
      </c>
      <c r="B10" s="25" t="inlineStr">
        <is>
          <t>1. Demanda</t>
        </is>
      </c>
      <c r="C10" s="25" t="inlineStr">
        <is>
          <t>¿Qué está entrando?</t>
        </is>
      </c>
      <c r="D10" s="25" t="inlineStr">
        <is>
          <t>Canal</t>
        </is>
      </c>
      <c r="E10" s="25" t="inlineStr">
        <is>
          <t>Call Center</t>
        </is>
      </c>
      <c r="F10" s="25" t="inlineStr">
        <is>
          <t> </t>
        </is>
      </c>
      <c r="G10" s="25" t="inlineStr">
        <is>
          <t>Categoría</t>
        </is>
      </c>
      <c r="H10" s="26" t="inlineStr">
        <is>
          <t> </t>
        </is>
      </c>
    </row>
    <row r="11">
      <c r="A11" s="25" t="n">
        <v>10</v>
      </c>
      <c r="B11" s="25" t="inlineStr">
        <is>
          <t>1. Demanda</t>
        </is>
      </c>
      <c r="C11" s="25" t="inlineStr">
        <is>
          <t>¿Qué está entrando?</t>
        </is>
      </c>
      <c r="D11" s="25" t="inlineStr">
        <is>
          <t>Canal</t>
        </is>
      </c>
      <c r="E11" s="25" t="inlineStr">
        <is>
          <t>Gestión interna</t>
        </is>
      </c>
      <c r="F11" s="25" t="inlineStr">
        <is>
          <t>Correo y Teams</t>
        </is>
      </c>
      <c r="G11" s="25" t="inlineStr">
        <is>
          <t>Categoría</t>
        </is>
      </c>
      <c r="H11" s="26" t="inlineStr">
        <is>
          <t> </t>
        </is>
      </c>
    </row>
    <row r="12">
      <c r="A12" s="25" t="n">
        <v>11</v>
      </c>
      <c r="B12" s="25" t="inlineStr">
        <is>
          <t>1. Demanda</t>
        </is>
      </c>
      <c r="C12" s="25" t="inlineStr">
        <is>
          <t>¿Qué está entrando?</t>
        </is>
      </c>
      <c r="D12" s="25" t="inlineStr">
        <is>
          <t>Tipo</t>
        </is>
      </c>
      <c r="E12" s="25" t="inlineStr">
        <is>
          <t>Autorizada</t>
        </is>
      </c>
      <c r="F12" s="25" t="inlineStr">
        <is>
          <t> </t>
        </is>
      </c>
      <c r="G12" s="25" t="inlineStr">
        <is>
          <t>Categoría</t>
        </is>
      </c>
      <c r="H12" s="26" t="inlineStr">
        <is>
          <t> </t>
        </is>
      </c>
    </row>
    <row r="13">
      <c r="A13" s="25" t="n">
        <v>12</v>
      </c>
      <c r="B13" s="25" t="inlineStr">
        <is>
          <t>1. Demanda</t>
        </is>
      </c>
      <c r="C13" s="25" t="inlineStr">
        <is>
          <t>¿Qué está entrando?</t>
        </is>
      </c>
      <c r="D13" s="25" t="inlineStr">
        <is>
          <t>Tipo</t>
        </is>
      </c>
      <c r="E13" s="25" t="inlineStr">
        <is>
          <t>Documento pendiente</t>
        </is>
      </c>
      <c r="F13" s="25" t="inlineStr">
        <is>
          <t>Pendiente requisitos</t>
        </is>
      </c>
      <c r="G13" s="25" t="inlineStr">
        <is>
          <t>Categoría</t>
        </is>
      </c>
      <c r="H13" s="26" t="inlineStr">
        <is>
          <t> </t>
        </is>
      </c>
    </row>
    <row r="14" ht="28.5" customHeight="1">
      <c r="A14" s="25" t="n">
        <v>13</v>
      </c>
      <c r="B14" s="25" t="inlineStr">
        <is>
          <t>1. Demanda</t>
        </is>
      </c>
      <c r="C14" s="25" t="inlineStr">
        <is>
          <t>¿Qué está entrando?</t>
        </is>
      </c>
      <c r="D14" s="25" t="inlineStr">
        <is>
          <t>Tipo</t>
        </is>
      </c>
      <c r="E14" s="25" t="inlineStr">
        <is>
          <t>Objeción y/o reticencia</t>
        </is>
      </c>
      <c r="F14" s="25" t="inlineStr">
        <is>
          <t> </t>
        </is>
      </c>
      <c r="G14" s="25" t="inlineStr">
        <is>
          <t>Categoría</t>
        </is>
      </c>
      <c r="H14" s="26" t="inlineStr">
        <is>
          <t> </t>
        </is>
      </c>
    </row>
    <row r="15" ht="28.5" customHeight="1">
      <c r="A15" s="25" t="n">
        <v>14</v>
      </c>
      <c r="B15" s="25" t="inlineStr">
        <is>
          <t>1. Demanda</t>
        </is>
      </c>
      <c r="C15" s="25" t="inlineStr">
        <is>
          <t>¿Qué está entrando?</t>
        </is>
      </c>
      <c r="D15" s="25" t="inlineStr">
        <is>
          <t>Tipo</t>
        </is>
      </c>
      <c r="E15" s="25" t="inlineStr">
        <is>
          <t>Reproceso</t>
        </is>
      </c>
      <c r="F15" s="25" t="inlineStr">
        <is>
          <t>Errores en autorizaciones</t>
        </is>
      </c>
      <c r="G15" s="25" t="inlineStr">
        <is>
          <t>Categoría</t>
        </is>
      </c>
      <c r="H15" s="26" t="inlineStr">
        <is>
          <t> </t>
        </is>
      </c>
    </row>
    <row r="16" ht="42.6" customHeight="1">
      <c r="A16" s="25" t="n">
        <v>15</v>
      </c>
      <c r="B16" s="25" t="inlineStr">
        <is>
          <t>1. Demanda</t>
        </is>
      </c>
      <c r="C16" s="25" t="inlineStr">
        <is>
          <t>¿Qué está entrando?</t>
        </is>
      </c>
      <c r="D16" s="25" t="inlineStr">
        <is>
          <t>Tipo</t>
        </is>
      </c>
      <c r="E16" s="25" t="inlineStr">
        <is>
          <t>Marcas</t>
        </is>
      </c>
      <c r="F16" s="25" t="inlineStr">
        <is>
          <t>Ejemplo: tutela y/o PQRS, diabetes, cáncer y otras</t>
        </is>
      </c>
      <c r="G16" s="25" t="inlineStr">
        <is>
          <t>Categoría</t>
        </is>
      </c>
      <c r="H16" s="26" t="inlineStr">
        <is>
          <t> </t>
        </is>
      </c>
    </row>
    <row r="17" ht="28.5" customHeight="1">
      <c r="A17" s="25" t="n">
        <v>16</v>
      </c>
      <c r="B17" s="25" t="inlineStr">
        <is>
          <t>1. Demanda</t>
        </is>
      </c>
      <c r="C17" s="25" t="inlineStr">
        <is>
          <t>¿Qué está entrando?</t>
        </is>
      </c>
      <c r="D17" s="25" t="inlineStr">
        <is>
          <t>Tipo</t>
        </is>
      </c>
      <c r="E17" s="25" t="inlineStr">
        <is>
          <t>Distribución por nivel</t>
        </is>
      </c>
      <c r="F17" s="25" t="inlineStr">
        <is>
          <t>Médico, enfermera, auxiliar</t>
        </is>
      </c>
      <c r="G17" s="25" t="inlineStr">
        <is>
          <t>Distribución</t>
        </is>
      </c>
      <c r="H17" s="26" t="inlineStr">
        <is>
          <t> </t>
        </is>
      </c>
    </row>
    <row r="18" ht="56.45" customHeight="1">
      <c r="A18" s="27" t="n">
        <v>17</v>
      </c>
      <c r="B18" s="27" t="inlineStr">
        <is>
          <t>2. Inventario</t>
        </is>
      </c>
      <c r="C18" s="27" t="inlineStr">
        <is>
          <t>¿Qué tengo pendiente?</t>
        </is>
      </c>
      <c r="D18" s="27" t="inlineStr">
        <is>
          <t>Inventario total</t>
        </is>
      </c>
      <c r="E18" s="27" t="inlineStr">
        <is>
          <t>Casos abiertos</t>
        </is>
      </c>
      <c r="F18" s="27" t="inlineStr">
        <is>
          <t>Cantidad de casos abiertos y pendientes por asignación vs fecha/hora de entrega</t>
        </is>
      </c>
      <c r="G18" s="27" t="inlineStr">
        <is>
          <t>Número</t>
        </is>
      </c>
      <c r="H18" s="28" t="n"/>
    </row>
    <row r="19">
      <c r="A19" s="27" t="n">
        <v>18</v>
      </c>
      <c r="B19" s="27" t="inlineStr">
        <is>
          <t>2. Inventario</t>
        </is>
      </c>
      <c r="C19" s="27" t="inlineStr">
        <is>
          <t>¿Qué tengo pendiente?</t>
        </is>
      </c>
      <c r="D19" s="27" t="inlineStr">
        <is>
          <t>Inventario total</t>
        </is>
      </c>
      <c r="E19" s="27" t="inlineStr">
        <is>
          <t>Casos cerrados</t>
        </is>
      </c>
      <c r="F19" s="27" t="n"/>
      <c r="G19" s="27" t="inlineStr">
        <is>
          <t>Número</t>
        </is>
      </c>
      <c r="H19" s="28" t="n"/>
    </row>
    <row r="20" ht="56.45" customHeight="1">
      <c r="A20" s="27" t="n">
        <v>19</v>
      </c>
      <c r="B20" s="27" t="inlineStr">
        <is>
          <t>2. Inventario</t>
        </is>
      </c>
      <c r="C20" s="27" t="inlineStr">
        <is>
          <t>¿Qué tengo pendiente?</t>
        </is>
      </c>
      <c r="D20" s="27" t="inlineStr">
        <is>
          <t>Inventario total</t>
        </is>
      </c>
      <c r="E20" s="27" t="inlineStr">
        <is>
          <t>Casos en gestión</t>
        </is>
      </c>
      <c r="F20" s="27" t="inlineStr">
        <is>
          <t>Cantidad de casos en gestión (asignados para gestión) vs fecha/hora de entrega</t>
        </is>
      </c>
      <c r="G20" s="27" t="inlineStr">
        <is>
          <t>Número</t>
        </is>
      </c>
      <c r="H20" s="28" t="n"/>
    </row>
    <row r="21" ht="70.5" customHeight="1">
      <c r="A21" s="27" t="n">
        <v>19</v>
      </c>
      <c r="B21" s="27" t="inlineStr">
        <is>
          <t>2. Inventario</t>
        </is>
      </c>
      <c r="C21" s="27" t="inlineStr">
        <is>
          <t>¿Qué tengo pendiente?</t>
        </is>
      </c>
      <c r="D21" s="27" t="inlineStr">
        <is>
          <t>Inventario total</t>
        </is>
      </c>
      <c r="E21" s="27" t="inlineStr">
        <is>
          <t>Casos vencidos</t>
        </is>
      </c>
      <c r="F21" s="27" t="inlineStr">
        <is>
          <t>Cantidad de casos vencidos vs analista/auxiliar asignado vs tiempo de vencimiento</t>
        </is>
      </c>
      <c r="G21" s="27" t="inlineStr">
        <is>
          <t>Número</t>
        </is>
      </c>
      <c r="H21" s="28" t="n"/>
    </row>
    <row r="22" ht="70.5" customHeight="1">
      <c r="A22" s="27" t="n">
        <v>27</v>
      </c>
      <c r="B22" s="27" t="inlineStr">
        <is>
          <t>2. Inventario</t>
        </is>
      </c>
      <c r="C22" s="27" t="inlineStr">
        <is>
          <t>¿Qué tengo pendiente?</t>
        </is>
      </c>
      <c r="D22" s="27" t="inlineStr">
        <is>
          <t>Por estado</t>
        </is>
      </c>
      <c r="E22" s="27" t="inlineStr">
        <is>
          <t>Pendiente documentación</t>
        </is>
      </c>
      <c r="F22" s="27" t="inlineStr">
        <is>
          <t>Detalle del documento pendiente (historia clinica, orden médica, fórmula médica o resultado de exámen)</t>
        </is>
      </c>
      <c r="G22" s="27" t="inlineStr">
        <is>
          <t>Número</t>
        </is>
      </c>
      <c r="H22" s="28" t="n"/>
    </row>
    <row r="23" ht="42.6" customHeight="1">
      <c r="A23" s="27" t="n">
        <v>28</v>
      </c>
      <c r="B23" s="27" t="inlineStr">
        <is>
          <t>2. Inventario</t>
        </is>
      </c>
      <c r="C23" s="27" t="inlineStr">
        <is>
          <t>¿Qué tengo pendiente?</t>
        </is>
      </c>
      <c r="D23" s="27" t="inlineStr">
        <is>
          <t>Por estado</t>
        </is>
      </c>
      <c r="E23" s="27" t="inlineStr">
        <is>
          <t>Pendiente concepto técnico (evaluación médica)</t>
        </is>
      </c>
      <c r="F23" s="27" t="n"/>
      <c r="G23" s="27" t="inlineStr">
        <is>
          <t>Número</t>
        </is>
      </c>
      <c r="H23" s="28" t="n"/>
    </row>
    <row r="24" ht="98.45" customHeight="1">
      <c r="A24" s="27" t="n">
        <v>29</v>
      </c>
      <c r="B24" s="27" t="inlineStr">
        <is>
          <t>2. Inventario</t>
        </is>
      </c>
      <c r="C24" s="27" t="inlineStr">
        <is>
          <t>¿Qué tengo pendiente?</t>
        </is>
      </c>
      <c r="D24" s="27" t="inlineStr">
        <is>
          <t>Por estado</t>
        </is>
      </c>
      <c r="E24" s="27" t="inlineStr">
        <is>
          <t>Pendiente convenios</t>
        </is>
      </c>
      <c r="F24" s="27" t="inlineStr">
        <is>
          <t>Casos enviamos a la bandeja de convenios porque se tienen dificultades con el proveedor o no exite proveedor para un servicio en una regional</t>
        </is>
      </c>
      <c r="G24" s="27" t="inlineStr">
        <is>
          <t>Número</t>
        </is>
      </c>
      <c r="H24" s="28" t="n"/>
    </row>
    <row r="25" ht="28.5" customHeight="1">
      <c r="A25" s="27" t="n">
        <v>30</v>
      </c>
      <c r="B25" s="27" t="inlineStr">
        <is>
          <t>2. Inventario</t>
        </is>
      </c>
      <c r="C25" s="27" t="inlineStr">
        <is>
          <t>¿Qué tengo pendiente?</t>
        </is>
      </c>
      <c r="D25" s="27" t="inlineStr">
        <is>
          <t>Por estado</t>
        </is>
      </c>
      <c r="E25" s="27" t="inlineStr">
        <is>
          <t>Pendiente comité científico</t>
        </is>
      </c>
      <c r="F25" s="27" t="n"/>
      <c r="G25" s="27" t="inlineStr">
        <is>
          <t>Número</t>
        </is>
      </c>
      <c r="H25" s="28" t="n"/>
    </row>
    <row r="26">
      <c r="A26" s="27" t="n">
        <v>31</v>
      </c>
      <c r="B26" s="27" t="inlineStr">
        <is>
          <t>2. Inventario</t>
        </is>
      </c>
      <c r="C26" s="27" t="inlineStr">
        <is>
          <t>¿Qué tengo pendiente?</t>
        </is>
      </c>
      <c r="D26" s="27" t="inlineStr">
        <is>
          <t>Por estado</t>
        </is>
      </c>
      <c r="E26" s="27" t="inlineStr">
        <is>
          <t>Paliativos</t>
        </is>
      </c>
      <c r="F26" s="27" t="n"/>
      <c r="G26" s="27" t="inlineStr">
        <is>
          <t>Número</t>
        </is>
      </c>
      <c r="H26" s="28" t="n"/>
    </row>
    <row r="27" ht="42.6" customHeight="1">
      <c r="A27" s="27" t="n">
        <v>32</v>
      </c>
      <c r="B27" s="27" t="inlineStr">
        <is>
          <t>2. Inventario</t>
        </is>
      </c>
      <c r="C27" s="27" t="inlineStr">
        <is>
          <t>¿Qué tengo pendiente?</t>
        </is>
      </c>
      <c r="D27" s="27" t="inlineStr">
        <is>
          <t>Por estado</t>
        </is>
      </c>
      <c r="E27" s="27" t="inlineStr">
        <is>
          <t>Notas quirúrgicas (cambios en autorizaciones)</t>
        </is>
      </c>
      <c r="F27" s="27" t="n"/>
      <c r="G27" s="27" t="inlineStr">
        <is>
          <t>Número</t>
        </is>
      </c>
      <c r="H27" s="28" t="n"/>
    </row>
    <row r="28" ht="84.59999999999999" customHeight="1">
      <c r="A28" s="25" t="n">
        <v>33</v>
      </c>
      <c r="B28" s="25" t="inlineStr">
        <is>
          <t>3. Oportunidad</t>
        </is>
      </c>
      <c r="C28" s="25" t="inlineStr">
        <is>
          <t>¿Estamos cumpliendo?</t>
        </is>
      </c>
      <c r="D28" s="25" t="inlineStr">
        <is>
          <t>Acuerdo de Nivel de Servicio global</t>
        </is>
      </c>
      <c r="E28" s="25" t="inlineStr">
        <is>
          <t>Cerradas en Acuerdo de Nivel de Servicio</t>
        </is>
      </c>
      <c r="F28" s="25" t="inlineStr">
        <is>
          <t>Porcentaje de casos que se gestionan en el tiempo de respuesta definido según las definiciones del ANS para la solicitud</t>
        </is>
      </c>
      <c r="G28" s="25" t="inlineStr">
        <is>
          <t>Porcentaje</t>
        </is>
      </c>
      <c r="H28" s="26" t="inlineStr">
        <is>
          <t> </t>
        </is>
      </c>
    </row>
    <row r="29" ht="98.45" customHeight="1">
      <c r="A29" s="25" t="n">
        <v>34</v>
      </c>
      <c r="B29" s="25" t="inlineStr">
        <is>
          <t>3. Oportunidad</t>
        </is>
      </c>
      <c r="C29" s="25" t="inlineStr">
        <is>
          <t>¿Estamos cumpliendo?</t>
        </is>
      </c>
      <c r="D29" s="25" t="inlineStr">
        <is>
          <t>Acuerdo de Nivel de Servicio global</t>
        </is>
      </c>
      <c r="E29" s="25" t="inlineStr">
        <is>
          <t>Fuera de Acuerdo de Nivel de Servicio</t>
        </is>
      </c>
      <c r="F29" s="25" t="inlineStr">
        <is>
          <t>Porcentaje de casos que NO se logran gestionar en el tiempo de respuesta definido según las definiciones del ANS para la solicitud</t>
        </is>
      </c>
      <c r="G29" s="25" t="inlineStr">
        <is>
          <t>Porcentaje</t>
        </is>
      </c>
      <c r="H29" s="26" t="inlineStr">
        <is>
          <t> </t>
        </is>
      </c>
    </row>
    <row r="30" ht="42.6" customHeight="1">
      <c r="A30" s="25" t="n">
        <v>35</v>
      </c>
      <c r="B30" s="25" t="inlineStr">
        <is>
          <t>3. Oportunidad</t>
        </is>
      </c>
      <c r="C30" s="25" t="inlineStr">
        <is>
          <t>¿Estamos cumpliendo?</t>
        </is>
      </c>
      <c r="D30" s="25" t="inlineStr">
        <is>
          <t>Acuerdo de Nivel de Servicio por subproceso</t>
        </is>
      </c>
      <c r="E30" s="25" t="inlineStr">
        <is>
          <t>Autorizaciones</t>
        </is>
      </c>
      <c r="F30" s="25" t="inlineStr">
        <is>
          <t> </t>
        </is>
      </c>
      <c r="G30" s="25" t="inlineStr">
        <is>
          <t>Porcentaje</t>
        </is>
      </c>
      <c r="H30" s="26" t="inlineStr">
        <is>
          <t> </t>
        </is>
      </c>
    </row>
    <row r="31" ht="42.6" customHeight="1">
      <c r="A31" s="25" t="n">
        <v>36</v>
      </c>
      <c r="B31" s="25" t="inlineStr">
        <is>
          <t>3. Oportunidad</t>
        </is>
      </c>
      <c r="C31" s="25" t="inlineStr">
        <is>
          <t>¿Estamos cumpliendo?</t>
        </is>
      </c>
      <c r="D31" s="25" t="inlineStr">
        <is>
          <t>Acuerdo de Nivel de Servicio por subproceso</t>
        </is>
      </c>
      <c r="E31" s="25" t="inlineStr">
        <is>
          <t>Integralidad</t>
        </is>
      </c>
      <c r="F31" s="25" t="inlineStr">
        <is>
          <t> </t>
        </is>
      </c>
      <c r="G31" s="25" t="inlineStr">
        <is>
          <t>Porcentaje</t>
        </is>
      </c>
      <c r="H31" s="26" t="inlineStr">
        <is>
          <t> </t>
        </is>
      </c>
    </row>
    <row r="32" ht="42.6" customHeight="1">
      <c r="A32" s="25" t="n">
        <v>37</v>
      </c>
      <c r="B32" s="25" t="inlineStr">
        <is>
          <t>3. Oportunidad</t>
        </is>
      </c>
      <c r="C32" s="25" t="inlineStr">
        <is>
          <t>¿Estamos cumpliendo?</t>
        </is>
      </c>
      <c r="D32" s="25" t="inlineStr">
        <is>
          <t>Acuerdo de Nivel de Servicio por subproceso</t>
        </is>
      </c>
      <c r="E32" s="25" t="inlineStr">
        <is>
          <t>Objeciones</t>
        </is>
      </c>
      <c r="F32" s="25" t="inlineStr">
        <is>
          <t> </t>
        </is>
      </c>
      <c r="G32" s="25" t="inlineStr">
        <is>
          <t>Porcentaje</t>
        </is>
      </c>
      <c r="H32" s="26" t="inlineStr">
        <is>
          <t> </t>
        </is>
      </c>
    </row>
    <row r="33" ht="42.6" customHeight="1">
      <c r="A33" s="25" t="n">
        <v>38</v>
      </c>
      <c r="B33" s="25" t="inlineStr">
        <is>
          <t>3. Oportunidad</t>
        </is>
      </c>
      <c r="C33" s="25" t="inlineStr">
        <is>
          <t>¿Estamos cumpliendo?</t>
        </is>
      </c>
      <c r="D33" s="25" t="inlineStr">
        <is>
          <t>Acuerdo de Nivel de Servicio por subproceso</t>
        </is>
      </c>
      <c r="E33" s="25" t="inlineStr">
        <is>
          <t>Reticencias</t>
        </is>
      </c>
      <c r="F33" s="25" t="inlineStr">
        <is>
          <t> </t>
        </is>
      </c>
      <c r="G33" s="25" t="inlineStr">
        <is>
          <t>Porcentaje</t>
        </is>
      </c>
      <c r="H33" s="26" t="inlineStr">
        <is>
          <t> </t>
        </is>
      </c>
    </row>
    <row r="34" ht="42.6" customHeight="1">
      <c r="A34" s="25" t="n">
        <v>39</v>
      </c>
      <c r="B34" s="25" t="inlineStr">
        <is>
          <t>3. Oportunidad</t>
        </is>
      </c>
      <c r="C34" s="25" t="inlineStr">
        <is>
          <t>¿Estamos cumpliendo?</t>
        </is>
      </c>
      <c r="D34" s="25" t="inlineStr">
        <is>
          <t>Acuerdo de Nivel de Servicio por subproceso</t>
        </is>
      </c>
      <c r="E34" s="25" t="inlineStr">
        <is>
          <t>Tutelas</t>
        </is>
      </c>
      <c r="F34" s="25" t="inlineStr">
        <is>
          <t> </t>
        </is>
      </c>
      <c r="G34" s="25" t="inlineStr">
        <is>
          <t>Porcentaje</t>
        </is>
      </c>
      <c r="H34" s="26" t="inlineStr">
        <is>
          <t> </t>
        </is>
      </c>
    </row>
    <row r="35" ht="28.5" customHeight="1">
      <c r="A35" s="25" t="n">
        <v>40</v>
      </c>
      <c r="B35" s="25" t="inlineStr">
        <is>
          <t>3. Oportunidad</t>
        </is>
      </c>
      <c r="C35" s="25" t="inlineStr">
        <is>
          <t>¿Estamos cumpliendo?</t>
        </is>
      </c>
      <c r="D35" s="25" t="inlineStr">
        <is>
          <t>Tiempo promedio</t>
        </is>
      </c>
      <c r="E35" s="25" t="inlineStr">
        <is>
          <t>Recepción → asignación</t>
        </is>
      </c>
      <c r="F35" s="25" t="inlineStr">
        <is>
          <t> </t>
        </is>
      </c>
      <c r="G35" s="25" t="inlineStr">
        <is>
          <t>Tiempo</t>
        </is>
      </c>
      <c r="H35" s="26" t="inlineStr">
        <is>
          <t> </t>
        </is>
      </c>
    </row>
    <row r="36">
      <c r="A36" s="25" t="n">
        <v>41</v>
      </c>
      <c r="B36" s="25" t="inlineStr">
        <is>
          <t>3. Oportunidad</t>
        </is>
      </c>
      <c r="C36" s="25" t="inlineStr">
        <is>
          <t>¿Estamos cumpliendo?</t>
        </is>
      </c>
      <c r="D36" s="25" t="inlineStr">
        <is>
          <t>Tiempo promedio</t>
        </is>
      </c>
      <c r="E36" s="25" t="inlineStr">
        <is>
          <t>Asignación → gestión</t>
        </is>
      </c>
      <c r="F36" s="25" t="inlineStr">
        <is>
          <t> </t>
        </is>
      </c>
      <c r="G36" s="25" t="inlineStr">
        <is>
          <t>Tiempo</t>
        </is>
      </c>
      <c r="H36" s="26" t="inlineStr">
        <is>
          <t> </t>
        </is>
      </c>
    </row>
    <row r="37">
      <c r="A37" s="25" t="n">
        <v>42</v>
      </c>
      <c r="B37" s="25" t="inlineStr">
        <is>
          <t>3. Oportunidad</t>
        </is>
      </c>
      <c r="C37" s="25" t="inlineStr">
        <is>
          <t>¿Estamos cumpliendo?</t>
        </is>
      </c>
      <c r="D37" s="25" t="inlineStr">
        <is>
          <t>Tiempo promedio</t>
        </is>
      </c>
      <c r="E37" s="25" t="inlineStr">
        <is>
          <t>Gestión → decisión</t>
        </is>
      </c>
      <c r="F37" s="25" t="inlineStr">
        <is>
          <t> </t>
        </is>
      </c>
      <c r="G37" s="25" t="inlineStr">
        <is>
          <t>Tiempo</t>
        </is>
      </c>
      <c r="H37" s="26" t="inlineStr">
        <is>
          <t> </t>
        </is>
      </c>
    </row>
    <row r="38" ht="28.5" customHeight="1">
      <c r="A38" s="25" t="n">
        <v>43</v>
      </c>
      <c r="B38" s="25" t="inlineStr">
        <is>
          <t>3. Oportunidad</t>
        </is>
      </c>
      <c r="C38" s="25" t="inlineStr">
        <is>
          <t>¿Estamos cumpliendo?</t>
        </is>
      </c>
      <c r="D38" s="25" t="inlineStr">
        <is>
          <t>Tiempo promedio</t>
        </is>
      </c>
      <c r="E38" s="25" t="inlineStr">
        <is>
          <t>Casos próximos a vencer</t>
        </is>
      </c>
      <c r="F38" s="25" t="inlineStr">
        <is>
          <t> </t>
        </is>
      </c>
      <c r="G38" s="25" t="inlineStr">
        <is>
          <t>Número</t>
        </is>
      </c>
      <c r="H38" s="26" t="inlineStr">
        <is>
          <t> </t>
        </is>
      </c>
    </row>
    <row r="39" ht="28.5" customHeight="1">
      <c r="A39" s="27" t="n">
        <v>45</v>
      </c>
      <c r="B39" s="27" t="inlineStr">
        <is>
          <t>4. Capacidad Operativa</t>
        </is>
      </c>
      <c r="C39" s="27" t="inlineStr">
        <is>
          <t>¿Tenemos capacidad suficiente?</t>
        </is>
      </c>
      <c r="D39" s="27" t="inlineStr">
        <is>
          <t>Productividad</t>
        </is>
      </c>
      <c r="E39" s="27" t="inlineStr">
        <is>
          <t>Casos gestionados</t>
        </is>
      </c>
      <c r="F39" s="27" t="inlineStr">
        <is>
          <t>Por analista/auxiliar</t>
        </is>
      </c>
      <c r="G39" s="27" t="inlineStr">
        <is>
          <t>Número</t>
        </is>
      </c>
      <c r="H39" s="28" t="n"/>
    </row>
    <row r="40" ht="28.5" customHeight="1">
      <c r="A40" s="27" t="n">
        <v>46</v>
      </c>
      <c r="B40" s="27" t="inlineStr">
        <is>
          <t>4. Capacidad Operativa</t>
        </is>
      </c>
      <c r="C40" s="27" t="inlineStr">
        <is>
          <t>¿Tenemos capacidad suficiente?</t>
        </is>
      </c>
      <c r="D40" s="27" t="inlineStr">
        <is>
          <t>Productividad</t>
        </is>
      </c>
      <c r="E40" s="27" t="inlineStr">
        <is>
          <t>Casos cerrados</t>
        </is>
      </c>
      <c r="F40" s="27" t="inlineStr">
        <is>
          <t>Por analista/auxiliar</t>
        </is>
      </c>
      <c r="G40" s="27" t="inlineStr">
        <is>
          <t>Número</t>
        </is>
      </c>
      <c r="H40" s="28" t="n"/>
    </row>
    <row r="41" ht="28.5" customHeight="1">
      <c r="A41" s="27" t="n">
        <v>47</v>
      </c>
      <c r="B41" s="27" t="inlineStr">
        <is>
          <t>4. Capacidad Operativa</t>
        </is>
      </c>
      <c r="C41" s="27" t="inlineStr">
        <is>
          <t>¿Tenemos capacidad suficiente?</t>
        </is>
      </c>
      <c r="D41" s="27" t="inlineStr">
        <is>
          <t>Productividad</t>
        </is>
      </c>
      <c r="E41" s="27" t="inlineStr">
        <is>
          <t>Casos pendientes</t>
        </is>
      </c>
      <c r="F41" s="27" t="inlineStr">
        <is>
          <t>Por analista/auxiliar</t>
        </is>
      </c>
      <c r="G41" s="27" t="inlineStr">
        <is>
          <t>Número</t>
        </is>
      </c>
      <c r="H41" s="28" t="n"/>
    </row>
    <row r="42" ht="28.5" customHeight="1">
      <c r="A42" s="27" t="n">
        <v>48</v>
      </c>
      <c r="B42" s="27" t="inlineStr">
        <is>
          <t>4. Capacidad Operativa</t>
        </is>
      </c>
      <c r="C42" s="27" t="inlineStr">
        <is>
          <t>¿Tenemos capacidad suficiente?</t>
        </is>
      </c>
      <c r="D42" s="27" t="inlineStr">
        <is>
          <t>Capacidad para desborde</t>
        </is>
      </c>
      <c r="E42" s="27" t="inlineStr">
        <is>
          <t>Capacidad instalada</t>
        </is>
      </c>
      <c r="F42" s="27" t="n"/>
      <c r="G42" s="27" t="inlineStr">
        <is>
          <t>Número</t>
        </is>
      </c>
      <c r="H42" s="28" t="n"/>
    </row>
    <row r="43" ht="28.5" customHeight="1">
      <c r="A43" s="27" t="n">
        <v>49</v>
      </c>
      <c r="B43" s="27" t="inlineStr">
        <is>
          <t>4. Capacidad Operativa</t>
        </is>
      </c>
      <c r="C43" s="27" t="inlineStr">
        <is>
          <t>¿Tenemos capacidad suficiente?</t>
        </is>
      </c>
      <c r="D43" s="27" t="inlineStr">
        <is>
          <t>Capacidad para desborde</t>
        </is>
      </c>
      <c r="E43" s="27" t="inlineStr">
        <is>
          <t>Capacidad utilizada</t>
        </is>
      </c>
      <c r="F43" s="27" t="n"/>
      <c r="G43" s="27" t="inlineStr">
        <is>
          <t>Número</t>
        </is>
      </c>
      <c r="H43" s="28" t="n"/>
    </row>
    <row r="44" ht="28.5" customHeight="1">
      <c r="A44" s="27" t="n">
        <v>50</v>
      </c>
      <c r="B44" s="27" t="inlineStr">
        <is>
          <t>4. Capacidad Operativa</t>
        </is>
      </c>
      <c r="C44" s="27" t="inlineStr">
        <is>
          <t>¿Tenemos capacidad suficiente?</t>
        </is>
      </c>
      <c r="D44" s="27" t="inlineStr">
        <is>
          <t>Capacidad para desborde</t>
        </is>
      </c>
      <c r="E44" s="27" t="inlineStr">
        <is>
          <t>Utilización</t>
        </is>
      </c>
      <c r="F44" s="27" t="n"/>
      <c r="G44" s="27" t="inlineStr">
        <is>
          <t>Porcentaje</t>
        </is>
      </c>
      <c r="H44" s="28" t="n"/>
    </row>
    <row r="45" ht="42.6" customHeight="1">
      <c r="A45" s="25" t="n">
        <v>51</v>
      </c>
      <c r="B45" s="25" t="inlineStr">
        <is>
          <t>5. Calidad</t>
        </is>
      </c>
      <c r="C45" s="25" t="inlineStr">
        <is>
          <t>¿Estamos bien o estamos reprocesando?</t>
        </is>
      </c>
      <c r="D45" s="25" t="inlineStr">
        <is>
          <t>Calidad operativa</t>
        </is>
      </c>
      <c r="E45" s="25" t="inlineStr">
        <is>
          <t>Reprocesos</t>
        </is>
      </c>
      <c r="F45" s="25" t="inlineStr">
        <is>
          <t> </t>
        </is>
      </c>
      <c r="G45" s="25" t="inlineStr">
        <is>
          <t>Número</t>
        </is>
      </c>
      <c r="H45" s="26" t="inlineStr">
        <is>
          <t> </t>
        </is>
      </c>
    </row>
    <row r="46" ht="42.6" customHeight="1">
      <c r="A46" s="25" t="n">
        <v>52</v>
      </c>
      <c r="B46" s="25" t="inlineStr">
        <is>
          <t>5. Calidad</t>
        </is>
      </c>
      <c r="C46" s="25" t="inlineStr">
        <is>
          <t>¿Estamos bien o estamos reprocesando?</t>
        </is>
      </c>
      <c r="D46" s="25" t="inlineStr">
        <is>
          <t>Calidad operativa</t>
        </is>
      </c>
      <c r="E46" s="25" t="inlineStr">
        <is>
          <t>Reaperturas</t>
        </is>
      </c>
      <c r="F46" s="25" t="inlineStr">
        <is>
          <t> </t>
        </is>
      </c>
      <c r="G46" s="25" t="inlineStr">
        <is>
          <t>Número</t>
        </is>
      </c>
      <c r="H46" s="26" t="inlineStr">
        <is>
          <t> </t>
        </is>
      </c>
    </row>
    <row r="47" ht="42.6" customHeight="1">
      <c r="A47" s="25" t="n">
        <v>53</v>
      </c>
      <c r="B47" s="25" t="inlineStr">
        <is>
          <t>5. Calidad</t>
        </is>
      </c>
      <c r="C47" s="25" t="inlineStr">
        <is>
          <t>¿Estamos bien o estamos reprocesando?</t>
        </is>
      </c>
      <c r="D47" s="25" t="inlineStr">
        <is>
          <t>Calidad técnica</t>
        </is>
      </c>
      <c r="E47" s="25" t="inlineStr">
        <is>
          <t>Casos revocados</t>
        </is>
      </c>
      <c r="F47" s="25" t="inlineStr">
        <is>
          <t> </t>
        </is>
      </c>
      <c r="G47" s="25" t="inlineStr">
        <is>
          <t>Número</t>
        </is>
      </c>
      <c r="H47" s="26" t="inlineStr">
        <is>
          <t> </t>
        </is>
      </c>
    </row>
    <row r="48" ht="42.6" customHeight="1">
      <c r="A48" s="25" t="n">
        <v>54</v>
      </c>
      <c r="B48" s="25" t="inlineStr">
        <is>
          <t>5. Calidad</t>
        </is>
      </c>
      <c r="C48" s="25" t="inlineStr">
        <is>
          <t>¿Estamos bien o estamos reprocesando?</t>
        </is>
      </c>
      <c r="D48" s="25" t="inlineStr">
        <is>
          <t>Calidad técnica</t>
        </is>
      </c>
      <c r="E48" s="25" t="inlineStr">
        <is>
          <t>Casos escalados por error</t>
        </is>
      </c>
      <c r="F48" s="25" t="inlineStr">
        <is>
          <t> </t>
        </is>
      </c>
      <c r="G48" s="25" t="inlineStr">
        <is>
          <t>Número</t>
        </is>
      </c>
      <c r="H48" s="26" t="inlineStr">
        <is>
          <t> </t>
        </is>
      </c>
    </row>
    <row r="49" ht="42.6" customHeight="1">
      <c r="A49" s="25" t="n">
        <v>55</v>
      </c>
      <c r="B49" s="25" t="inlineStr">
        <is>
          <t>5. Calidad</t>
        </is>
      </c>
      <c r="C49" s="25" t="inlineStr">
        <is>
          <t>¿Estamos bien o estamos reprocesando?</t>
        </is>
      </c>
      <c r="D49" s="25" t="inlineStr">
        <is>
          <t>Calidad documental</t>
        </is>
      </c>
      <c r="E49" s="25" t="inlineStr">
        <is>
          <t>Solicitudes incompletas</t>
        </is>
      </c>
      <c r="F49" s="25" t="inlineStr">
        <is>
          <t> </t>
        </is>
      </c>
      <c r="G49" s="25" t="inlineStr">
        <is>
          <t>Número</t>
        </is>
      </c>
      <c r="H49" s="26" t="inlineStr">
        <is>
          <t> </t>
        </is>
      </c>
    </row>
    <row r="50" ht="42.6" customHeight="1">
      <c r="A50" s="25" t="n">
        <v>56</v>
      </c>
      <c r="B50" s="25" t="inlineStr">
        <is>
          <t>5. Calidad</t>
        </is>
      </c>
      <c r="C50" s="25" t="inlineStr">
        <is>
          <t>¿Estamos bien o estamos reprocesando?</t>
        </is>
      </c>
      <c r="D50" s="25" t="inlineStr">
        <is>
          <t>Calidad documental</t>
        </is>
      </c>
      <c r="E50" s="25" t="inlineStr">
        <is>
          <t>Faltantes recurrentes</t>
        </is>
      </c>
      <c r="F50" s="25" t="inlineStr">
        <is>
          <t> </t>
        </is>
      </c>
      <c r="G50" s="25" t="inlineStr">
        <is>
          <t>Número</t>
        </is>
      </c>
      <c r="H50" s="26" t="inlineStr">
        <is>
          <t> </t>
        </is>
      </c>
    </row>
    <row r="51" ht="28.5" customHeight="1">
      <c r="A51" s="27" t="n">
        <v>57</v>
      </c>
      <c r="B51" s="27" t="inlineStr">
        <is>
          <t>6. Experiencia Cliente</t>
        </is>
      </c>
      <c r="C51" s="27" t="n"/>
      <c r="D51" s="27" t="inlineStr">
        <is>
          <t>Experiencia operativa</t>
        </is>
      </c>
      <c r="E51" s="27" t="inlineStr">
        <is>
          <t>Número de quejas</t>
        </is>
      </c>
      <c r="F51" s="27" t="n"/>
      <c r="G51" s="27" t="inlineStr">
        <is>
          <t>Número</t>
        </is>
      </c>
      <c r="H51" s="28" t="n"/>
    </row>
    <row r="52" ht="28.5" customHeight="1">
      <c r="A52" s="27" t="n">
        <v>58</v>
      </c>
      <c r="B52" s="27" t="inlineStr">
        <is>
          <t>6. Experiencia Cliente</t>
        </is>
      </c>
      <c r="C52" s="27" t="n"/>
      <c r="D52" s="27" t="inlineStr">
        <is>
          <t>Experiencia operativa</t>
        </is>
      </c>
      <c r="E52" s="27" t="inlineStr">
        <is>
          <t>Quejas por cada 1.000 reclamaciones</t>
        </is>
      </c>
      <c r="F52" s="27" t="n"/>
      <c r="G52" s="27" t="inlineStr">
        <is>
          <t>Tasa</t>
        </is>
      </c>
      <c r="H52" s="28" t="n"/>
    </row>
    <row r="53" ht="28.5" customHeight="1">
      <c r="A53" s="27" t="n">
        <v>59</v>
      </c>
      <c r="B53" s="27" t="inlineStr">
        <is>
          <t>6. Experiencia Cliente</t>
        </is>
      </c>
      <c r="C53" s="27" t="n"/>
      <c r="D53" s="27" t="inlineStr">
        <is>
          <t>Experiencia operativa</t>
        </is>
      </c>
      <c r="E53" s="27" t="inlineStr">
        <is>
          <t>Motivo de queja</t>
        </is>
      </c>
      <c r="F53" s="27" t="n"/>
      <c r="G53" s="27" t="inlineStr">
        <is>
          <t>Categoría</t>
        </is>
      </c>
      <c r="H53" s="28" t="n"/>
    </row>
    <row r="54" ht="28.5" customHeight="1">
      <c r="A54" s="27" t="n">
        <v>60</v>
      </c>
      <c r="B54" s="27" t="inlineStr">
        <is>
          <t>6. Experiencia Cliente</t>
        </is>
      </c>
      <c r="C54" s="27" t="n"/>
      <c r="D54" s="27" t="inlineStr">
        <is>
          <t>Experiencia operativa</t>
        </is>
      </c>
      <c r="E54" s="27" t="inlineStr">
        <is>
          <t>Tiempo promedio de respuesta</t>
        </is>
      </c>
      <c r="F54" s="27" t="n"/>
      <c r="G54" s="27" t="inlineStr">
        <is>
          <t>Tiempo</t>
        </is>
      </c>
      <c r="H54" s="28" t="n"/>
    </row>
    <row r="55" ht="28.5" customHeight="1">
      <c r="A55" s="27" t="n">
        <v>61</v>
      </c>
      <c r="B55" s="27" t="inlineStr">
        <is>
          <t>6. Experiencia Cliente</t>
        </is>
      </c>
      <c r="C55" s="27" t="n"/>
      <c r="D55" s="27" t="inlineStr">
        <is>
          <t>Alertas</t>
        </is>
      </c>
      <c r="E55" s="27" t="inlineStr">
        <is>
          <t>Demora</t>
        </is>
      </c>
      <c r="F55" s="27" t="n"/>
      <c r="G55" s="27" t="inlineStr">
        <is>
          <t>Alerta</t>
        </is>
      </c>
      <c r="H55" s="28" t="n"/>
    </row>
    <row r="56" ht="28.5" customHeight="1">
      <c r="A56" s="27" t="n">
        <v>62</v>
      </c>
      <c r="B56" s="27" t="inlineStr">
        <is>
          <t>6. Experiencia Cliente</t>
        </is>
      </c>
      <c r="C56" s="27" t="n"/>
      <c r="D56" s="27" t="inlineStr">
        <is>
          <t>Alertas</t>
        </is>
      </c>
      <c r="E56" s="27" t="inlineStr">
        <is>
          <t>Negación</t>
        </is>
      </c>
      <c r="F56" s="27" t="n"/>
      <c r="G56" s="27" t="inlineStr">
        <is>
          <t>Alerta</t>
        </is>
      </c>
      <c r="H56" s="28" t="n"/>
    </row>
    <row r="57" ht="28.5" customHeight="1">
      <c r="A57" s="27" t="n">
        <v>63</v>
      </c>
      <c r="B57" s="27" t="inlineStr">
        <is>
          <t>6. Experiencia Cliente</t>
        </is>
      </c>
      <c r="C57" s="27" t="n"/>
      <c r="D57" s="27" t="inlineStr">
        <is>
          <t>Alertas</t>
        </is>
      </c>
      <c r="E57" s="27" t="inlineStr">
        <is>
          <t>Información insuficiente</t>
        </is>
      </c>
      <c r="F57" s="27" t="n"/>
      <c r="G57" s="27" t="inlineStr">
        <is>
          <t>Alerta</t>
        </is>
      </c>
      <c r="H57" s="28" t="n"/>
    </row>
    <row r="58" ht="28.5" customHeight="1">
      <c r="A58" s="25" t="n">
        <v>64</v>
      </c>
      <c r="B58" s="25" t="inlineStr">
        <is>
          <t>7. Riesgos Operativos</t>
        </is>
      </c>
      <c r="C58" s="25" t="inlineStr">
        <is>
          <t> </t>
        </is>
      </c>
      <c r="D58" s="25" t="inlineStr">
        <is>
          <t>Casos críticos</t>
        </is>
      </c>
      <c r="E58" s="25" t="inlineStr">
        <is>
          <t>Tutelas activas</t>
        </is>
      </c>
      <c r="F58" s="25" t="inlineStr">
        <is>
          <t> </t>
        </is>
      </c>
      <c r="G58" s="25" t="inlineStr">
        <is>
          <t>Número</t>
        </is>
      </c>
      <c r="H58" s="26" t="inlineStr">
        <is>
          <t> </t>
        </is>
      </c>
    </row>
    <row r="59" ht="28.5" customHeight="1">
      <c r="A59" s="25" t="n">
        <v>65</v>
      </c>
      <c r="B59" s="25" t="inlineStr">
        <is>
          <t>7. Riesgos Operativos</t>
        </is>
      </c>
      <c r="C59" s="25" t="inlineStr">
        <is>
          <t> </t>
        </is>
      </c>
      <c r="D59" s="25" t="inlineStr">
        <is>
          <t>Casos críticos</t>
        </is>
      </c>
      <c r="E59" s="25" t="inlineStr">
        <is>
          <t>Riesgo reputacional</t>
        </is>
      </c>
      <c r="F59" s="25" t="inlineStr">
        <is>
          <t> </t>
        </is>
      </c>
      <c r="G59" s="25" t="inlineStr">
        <is>
          <t>Número</t>
        </is>
      </c>
      <c r="H59" s="26" t="inlineStr">
        <is>
          <t> </t>
        </is>
      </c>
    </row>
    <row r="60" ht="28.5" customHeight="1">
      <c r="A60" s="25" t="n">
        <v>66</v>
      </c>
      <c r="B60" s="25" t="inlineStr">
        <is>
          <t>7. Riesgos Operativos</t>
        </is>
      </c>
      <c r="C60" s="25" t="inlineStr">
        <is>
          <t> </t>
        </is>
      </c>
      <c r="D60" s="25" t="inlineStr">
        <is>
          <t>Casos críticos</t>
        </is>
      </c>
      <c r="E60" s="25" t="inlineStr">
        <is>
          <t>Casos VIP</t>
        </is>
      </c>
      <c r="F60" s="25" t="inlineStr">
        <is>
          <t> </t>
        </is>
      </c>
      <c r="G60" s="25" t="inlineStr">
        <is>
          <t>Número</t>
        </is>
      </c>
      <c r="H60" s="26" t="inlineStr">
        <is>
          <t> </t>
        </is>
      </c>
    </row>
    <row r="61" ht="28.5" customHeight="1">
      <c r="A61" s="25" t="n">
        <v>67</v>
      </c>
      <c r="B61" s="25" t="inlineStr">
        <is>
          <t>7. Riesgos Operativos</t>
        </is>
      </c>
      <c r="C61" s="25" t="inlineStr">
        <is>
          <t> </t>
        </is>
      </c>
      <c r="D61" s="25" t="inlineStr">
        <is>
          <t>Casos críticos</t>
        </is>
      </c>
      <c r="E61" s="25" t="inlineStr">
        <is>
          <t>Casos de gerencia</t>
        </is>
      </c>
      <c r="F61" s="25" t="inlineStr">
        <is>
          <t> </t>
        </is>
      </c>
      <c r="G61" s="25" t="inlineStr">
        <is>
          <t>Número</t>
        </is>
      </c>
      <c r="H61" s="26" t="inlineStr">
        <is>
          <t> </t>
        </is>
      </c>
    </row>
    <row r="62" ht="28.5" customHeight="1">
      <c r="A62" s="25" t="n">
        <v>68</v>
      </c>
      <c r="B62" s="25" t="inlineStr">
        <is>
          <t>7. Riesgos Operativos</t>
        </is>
      </c>
      <c r="C62" s="25" t="inlineStr">
        <is>
          <t> </t>
        </is>
      </c>
      <c r="D62" s="25" t="inlineStr">
        <is>
          <t>Casos críticos</t>
        </is>
      </c>
      <c r="E62" s="25" t="inlineStr">
        <is>
          <t>Cliente PEP</t>
        </is>
      </c>
      <c r="F62" s="25" t="inlineStr">
        <is>
          <t> </t>
        </is>
      </c>
      <c r="G62" s="25" t="inlineStr">
        <is>
          <t>Número</t>
        </is>
      </c>
      <c r="H62" s="26" t="inlineStr">
        <is>
          <t> </t>
        </is>
      </c>
    </row>
    <row r="63" ht="28.5" customHeight="1">
      <c r="A63" s="25" t="n">
        <v>69</v>
      </c>
      <c r="B63" s="25" t="inlineStr">
        <is>
          <t>7. Riesgos Operativos</t>
        </is>
      </c>
      <c r="C63" s="25" t="inlineStr">
        <is>
          <t> </t>
        </is>
      </c>
      <c r="D63" s="25" t="inlineStr">
        <is>
          <t>Alertas</t>
        </is>
      </c>
      <c r="E63" s="25" t="inlineStr">
        <is>
          <t>Casos &gt; 15 días</t>
        </is>
      </c>
      <c r="F63" s="25" t="inlineStr">
        <is>
          <t> </t>
        </is>
      </c>
      <c r="G63" s="25" t="inlineStr">
        <is>
          <t>Alerta</t>
        </is>
      </c>
      <c r="H63" s="26" t="inlineStr">
        <is>
          <t> </t>
        </is>
      </c>
    </row>
    <row r="64" ht="28.5" customHeight="1">
      <c r="A64" s="25" t="n">
        <v>70</v>
      </c>
      <c r="B64" s="25" t="inlineStr">
        <is>
          <t>7. Riesgos Operativos</t>
        </is>
      </c>
      <c r="C64" s="25" t="inlineStr">
        <is>
          <t> </t>
        </is>
      </c>
      <c r="D64" s="25" t="inlineStr">
        <is>
          <t>Alertas</t>
        </is>
      </c>
      <c r="E64" s="25" t="inlineStr">
        <is>
          <t>Casos &gt; 30 días</t>
        </is>
      </c>
      <c r="F64" s="25" t="inlineStr">
        <is>
          <t> </t>
        </is>
      </c>
      <c r="G64" s="25" t="inlineStr">
        <is>
          <t>Alerta</t>
        </is>
      </c>
      <c r="H64" s="26" t="inlineStr">
        <is>
          <t> </t>
        </is>
      </c>
    </row>
    <row r="65" ht="28.5" customHeight="1">
      <c r="A65" s="25" t="n">
        <v>71</v>
      </c>
      <c r="B65" s="25" t="inlineStr">
        <is>
          <t>7. Riesgos Operativos</t>
        </is>
      </c>
      <c r="C65" s="25" t="inlineStr">
        <is>
          <t> </t>
        </is>
      </c>
      <c r="D65" s="25" t="inlineStr">
        <is>
          <t>Alertas</t>
        </is>
      </c>
      <c r="E65" s="25" t="inlineStr">
        <is>
          <t>Casos sin movimiento</t>
        </is>
      </c>
      <c r="F65" s="25" t="inlineStr">
        <is>
          <t> </t>
        </is>
      </c>
      <c r="G65" s="25" t="inlineStr">
        <is>
          <t>Alerta</t>
        </is>
      </c>
      <c r="H65" s="26" t="inlineStr">
        <is>
          <t> </t>
        </is>
      </c>
    </row>
    <row r="66" ht="28.5" customHeight="1">
      <c r="A66" s="25" t="n">
        <v>72</v>
      </c>
      <c r="B66" s="25" t="inlineStr">
        <is>
          <t>7. Riesgos Operativos</t>
        </is>
      </c>
      <c r="C66" s="25" t="inlineStr">
        <is>
          <t> </t>
        </is>
      </c>
      <c r="D66" s="25" t="inlineStr">
        <is>
          <t>Alertas</t>
        </is>
      </c>
      <c r="E66" s="25" t="inlineStr">
        <is>
          <t>Casos escalados</t>
        </is>
      </c>
      <c r="F66" s="25" t="inlineStr">
        <is>
          <t>Prioridad</t>
        </is>
      </c>
      <c r="G66" s="25" t="inlineStr">
        <is>
          <t>Alerta</t>
        </is>
      </c>
      <c r="H66" s="26" t="inlineStr">
        <is>
          <t> </t>
        </is>
      </c>
    </row>
    <row r="67" ht="28.5" customHeight="1">
      <c r="A67" s="25" t="n">
        <v>73</v>
      </c>
      <c r="B67" s="25" t="inlineStr">
        <is>
          <t>7. Riesgos Operativos</t>
        </is>
      </c>
      <c r="C67" s="25" t="inlineStr">
        <is>
          <t> </t>
        </is>
      </c>
      <c r="D67" s="25" t="inlineStr">
        <is>
          <t>Dependencias</t>
        </is>
      </c>
      <c r="E67" s="25" t="inlineStr">
        <is>
          <t>Pendientes Convenios</t>
        </is>
      </c>
      <c r="F67" s="25" t="inlineStr">
        <is>
          <t> </t>
        </is>
      </c>
      <c r="G67" s="25" t="inlineStr">
        <is>
          <t>Número</t>
        </is>
      </c>
      <c r="H67" s="26" t="inlineStr">
        <is>
          <t> </t>
        </is>
      </c>
    </row>
    <row r="68" ht="28.5" customHeight="1">
      <c r="A68" s="25" t="n">
        <v>74</v>
      </c>
      <c r="B68" s="25" t="inlineStr">
        <is>
          <t>7. Riesgos Operativos</t>
        </is>
      </c>
      <c r="C68" s="25" t="inlineStr">
        <is>
          <t> </t>
        </is>
      </c>
      <c r="D68" s="25" t="inlineStr">
        <is>
          <t>Dependencias</t>
        </is>
      </c>
      <c r="E68" s="25" t="inlineStr">
        <is>
          <t>Pendientes Prestadores</t>
        </is>
      </c>
      <c r="F68" s="25" t="inlineStr">
        <is>
          <t> </t>
        </is>
      </c>
      <c r="G68" s="25" t="inlineStr">
        <is>
          <t>Número</t>
        </is>
      </c>
      <c r="H68" s="26" t="inlineStr">
        <is>
          <t> </t>
        </is>
      </c>
    </row>
    <row r="69" ht="28.5" customHeight="1">
      <c r="A69" s="25" t="n">
        <v>75</v>
      </c>
      <c r="B69" s="25" t="inlineStr">
        <is>
          <t>7. Riesgos Operativos</t>
        </is>
      </c>
      <c r="C69" s="25" t="inlineStr">
        <is>
          <t> </t>
        </is>
      </c>
      <c r="D69" s="25" t="inlineStr">
        <is>
          <t>Dependencias</t>
        </is>
      </c>
      <c r="E69" s="25" t="inlineStr">
        <is>
          <t>Pendientes Auditoría</t>
        </is>
      </c>
      <c r="F69" s="25" t="inlineStr">
        <is>
          <t> </t>
        </is>
      </c>
      <c r="G69" s="25" t="inlineStr">
        <is>
          <t>Número</t>
        </is>
      </c>
      <c r="H69" s="26" t="inlineStr">
        <is>
          <t> </t>
        </is>
      </c>
    </row>
    <row r="70" ht="28.5" customHeight="1">
      <c r="A70" s="27" t="n">
        <v>76</v>
      </c>
      <c r="B70" s="27" t="inlineStr">
        <is>
          <t>8. Impacto Financiero</t>
        </is>
      </c>
      <c r="C70" s="27" t="n"/>
      <c r="D70" s="27" t="inlineStr">
        <is>
          <t>Severidad</t>
        </is>
      </c>
      <c r="E70" s="27" t="inlineStr">
        <is>
          <t>Costo promedio por reclamación</t>
        </is>
      </c>
      <c r="F70" s="27" t="n"/>
      <c r="G70" s="27" t="inlineStr">
        <is>
          <t>Moneda</t>
        </is>
      </c>
      <c r="H70" s="28" t="n"/>
    </row>
    <row r="71" ht="28.5" customHeight="1">
      <c r="A71" s="27" t="n">
        <v>77</v>
      </c>
      <c r="B71" s="27" t="inlineStr">
        <is>
          <t>8. Impacto Financiero</t>
        </is>
      </c>
      <c r="C71" s="27" t="n"/>
      <c r="D71" s="27" t="inlineStr">
        <is>
          <t>Severidad</t>
        </is>
      </c>
      <c r="E71" s="27" t="inlineStr">
        <is>
          <t>Top diagnósticos</t>
        </is>
      </c>
      <c r="F71" s="27" t="n"/>
      <c r="G71" s="27" t="inlineStr">
        <is>
          <t>Ranking</t>
        </is>
      </c>
      <c r="H71" s="28" t="n"/>
    </row>
    <row r="72" ht="28.5" customHeight="1">
      <c r="A72" s="27" t="n">
        <v>78</v>
      </c>
      <c r="B72" s="27" t="inlineStr">
        <is>
          <t>8. Impacto Financiero</t>
        </is>
      </c>
      <c r="C72" s="27" t="n"/>
      <c r="D72" s="27" t="inlineStr">
        <is>
          <t>Severidad</t>
        </is>
      </c>
      <c r="E72" s="27" t="inlineStr">
        <is>
          <t>Top procedimientos</t>
        </is>
      </c>
      <c r="F72" s="27" t="n"/>
      <c r="G72" s="27" t="inlineStr">
        <is>
          <t>Ranking</t>
        </is>
      </c>
      <c r="H72" s="28" t="n"/>
    </row>
    <row r="73" ht="28.5" customHeight="1">
      <c r="A73" s="27" t="n">
        <v>79</v>
      </c>
      <c r="B73" s="27" t="inlineStr">
        <is>
          <t>8. Impacto Financiero</t>
        </is>
      </c>
      <c r="C73" s="27" t="n"/>
      <c r="D73" s="27" t="inlineStr">
        <is>
          <t>Severidad</t>
        </is>
      </c>
      <c r="E73" s="27" t="inlineStr">
        <is>
          <t>Top prestadores</t>
        </is>
      </c>
      <c r="F73" s="27" t="n"/>
      <c r="G73" s="27" t="inlineStr">
        <is>
          <t>Ranking</t>
        </is>
      </c>
      <c r="H73" s="28" t="n"/>
    </row>
    <row r="74" ht="28.5" customHeight="1">
      <c r="A74" s="27" t="n">
        <v>80</v>
      </c>
      <c r="B74" s="27" t="inlineStr">
        <is>
          <t>8. Impacto Financiero</t>
        </is>
      </c>
      <c r="C74" s="27" t="n"/>
      <c r="D74" s="27" t="inlineStr">
        <is>
          <t>Severidad</t>
        </is>
      </c>
      <c r="E74" s="27" t="inlineStr">
        <is>
          <t>Top médicos</t>
        </is>
      </c>
      <c r="F74" s="27" t="n"/>
      <c r="G74" s="27" t="inlineStr">
        <is>
          <t>Ranking</t>
        </is>
      </c>
      <c r="H74" s="28" t="n"/>
    </row>
    <row r="75" ht="28.5" customHeight="1">
      <c r="A75" s="25" t="n">
        <v>81</v>
      </c>
      <c r="B75" s="25" t="inlineStr">
        <is>
          <t>9. Automatización y Transformación</t>
        </is>
      </c>
      <c r="C75" s="25" t="inlineStr">
        <is>
          <t> </t>
        </is>
      </c>
      <c r="D75" s="25" t="inlineStr">
        <is>
          <t>Automatización</t>
        </is>
      </c>
      <c r="E75" s="25" t="inlineStr">
        <is>
          <t>Toque cero</t>
        </is>
      </c>
      <c r="F75" s="25" t="inlineStr">
        <is>
          <t> </t>
        </is>
      </c>
      <c r="G75" s="25" t="inlineStr">
        <is>
          <t>Porcentaje</t>
        </is>
      </c>
      <c r="H75" s="26" t="inlineStr">
        <is>
          <t> </t>
        </is>
      </c>
    </row>
    <row r="76" ht="28.5" customHeight="1">
      <c r="A76" s="25" t="n">
        <v>82</v>
      </c>
      <c r="B76" s="25" t="inlineStr">
        <is>
          <t>9. Automatización y Transformación</t>
        </is>
      </c>
      <c r="C76" s="25" t="inlineStr">
        <is>
          <t> </t>
        </is>
      </c>
      <c r="D76" s="25" t="inlineStr">
        <is>
          <t>Automatización</t>
        </is>
      </c>
      <c r="E76" s="25" t="inlineStr">
        <is>
          <t>Automático</t>
        </is>
      </c>
      <c r="F76" s="25" t="inlineStr">
        <is>
          <t> </t>
        </is>
      </c>
      <c r="G76" s="25" t="inlineStr">
        <is>
          <t>Porcentaje</t>
        </is>
      </c>
      <c r="H76" s="26" t="inlineStr">
        <is>
          <t> </t>
        </is>
      </c>
    </row>
    <row r="77" ht="28.5" customHeight="1">
      <c r="A77" s="25" t="n">
        <v>83</v>
      </c>
      <c r="B77" s="25" t="inlineStr">
        <is>
          <t>9. Automatización y Transformación</t>
        </is>
      </c>
      <c r="C77" s="25" t="inlineStr">
        <is>
          <t> </t>
        </is>
      </c>
      <c r="D77" s="25" t="inlineStr">
        <is>
          <t>Automatización</t>
        </is>
      </c>
      <c r="E77" s="25" t="inlineStr">
        <is>
          <t>Manual</t>
        </is>
      </c>
      <c r="F77" s="25" t="inlineStr">
        <is>
          <t> </t>
        </is>
      </c>
      <c r="G77" s="25" t="inlineStr">
        <is>
          <t>Porcentaje</t>
        </is>
      </c>
      <c r="H77" s="26" t="inlineStr">
        <is>
          <t> </t>
        </is>
      </c>
    </row>
    <row r="78" ht="28.5" customHeight="1">
      <c r="A78" s="25" t="n">
        <v>84</v>
      </c>
      <c r="B78" s="25" t="inlineStr">
        <is>
          <t>9. Automatización y Transformación</t>
        </is>
      </c>
      <c r="C78" s="25" t="inlineStr">
        <is>
          <t> </t>
        </is>
      </c>
      <c r="D78" s="25" t="inlineStr">
        <is>
          <t>Escalamiento</t>
        </is>
      </c>
      <c r="E78" s="25" t="inlineStr">
        <is>
          <t>Nivel 1</t>
        </is>
      </c>
      <c r="F78" s="25" t="inlineStr">
        <is>
          <t> </t>
        </is>
      </c>
      <c r="G78" s="25" t="inlineStr">
        <is>
          <t>Categoría</t>
        </is>
      </c>
      <c r="H78" s="26" t="inlineStr">
        <is>
          <t> </t>
        </is>
      </c>
    </row>
    <row r="79" ht="28.5" customHeight="1">
      <c r="A79" s="25" t="n">
        <v>85</v>
      </c>
      <c r="B79" s="25" t="inlineStr">
        <is>
          <t>9. Automatización y Transformación</t>
        </is>
      </c>
      <c r="C79" s="25" t="inlineStr">
        <is>
          <t> </t>
        </is>
      </c>
      <c r="D79" s="25" t="inlineStr">
        <is>
          <t>Escalamiento</t>
        </is>
      </c>
      <c r="E79" s="25" t="inlineStr">
        <is>
          <t>Nivel técnico/auxiliar</t>
        </is>
      </c>
      <c r="F79" s="25" t="inlineStr">
        <is>
          <t> </t>
        </is>
      </c>
      <c r="G79" s="25" t="inlineStr">
        <is>
          <t>Categoría</t>
        </is>
      </c>
      <c r="H79" s="26" t="inlineStr">
        <is>
          <t> </t>
        </is>
      </c>
    </row>
    <row r="80" ht="28.5" customHeight="1">
      <c r="A80" s="25" t="n">
        <v>86</v>
      </c>
      <c r="B80" s="25" t="inlineStr">
        <is>
          <t>9. Automatización y Transformación</t>
        </is>
      </c>
      <c r="C80" s="25" t="inlineStr">
        <is>
          <t> </t>
        </is>
      </c>
      <c r="D80" s="25" t="inlineStr">
        <is>
          <t>Eficiencia</t>
        </is>
      </c>
      <c r="E80" s="25" t="inlineStr">
        <is>
          <t>Horas ahorradas</t>
        </is>
      </c>
      <c r="F80" s="25" t="inlineStr">
        <is>
          <t> </t>
        </is>
      </c>
      <c r="G80" s="25" t="inlineStr">
        <is>
          <t>Horas</t>
        </is>
      </c>
      <c r="H80" s="26" t="inlineStr">
        <is>
          <t> </t>
        </is>
      </c>
    </row>
    <row r="81" ht="28.5" customHeight="1">
      <c r="A81" s="25" t="n">
        <v>87</v>
      </c>
      <c r="B81" s="25" t="inlineStr">
        <is>
          <t>9. Automatización y Transformación</t>
        </is>
      </c>
      <c r="C81" s="25" t="inlineStr">
        <is>
          <t> </t>
        </is>
      </c>
      <c r="D81" s="25" t="inlineStr">
        <is>
          <t>Eficiencia</t>
        </is>
      </c>
      <c r="E81" s="25" t="inlineStr">
        <is>
          <t>Casos automatizados</t>
        </is>
      </c>
      <c r="F81" s="25" t="inlineStr">
        <is>
          <t> </t>
        </is>
      </c>
      <c r="G81" s="25" t="inlineStr">
        <is>
          <t>Número</t>
        </is>
      </c>
      <c r="H81" s="26" t="inlineStr">
        <is>
          <t> </t>
        </is>
      </c>
    </row>
    <row r="82" ht="28.5" customHeight="1">
      <c r="A82" s="25" t="n">
        <v>88</v>
      </c>
      <c r="B82" s="25" t="inlineStr">
        <is>
          <t>9. Automatización y Transformación</t>
        </is>
      </c>
      <c r="C82" s="25" t="inlineStr">
        <is>
          <t> </t>
        </is>
      </c>
      <c r="D82" s="25" t="inlineStr">
        <is>
          <t>Eficiencia</t>
        </is>
      </c>
      <c r="E82" s="25" t="inlineStr">
        <is>
          <t>Reducción de costos</t>
        </is>
      </c>
      <c r="F82" s="25" t="inlineStr">
        <is>
          <t> </t>
        </is>
      </c>
      <c r="G82" s="25" t="inlineStr">
        <is>
          <t>Moneda/Porcentaje</t>
        </is>
      </c>
      <c r="H82" s="26" t="inlineStr">
        <is>
          <t>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2026-08-11T03:08:03Z</dcterms:created>
  <dcterms:modified xsi:type="dcterms:W3CDTF">2026-09-07T15:34:29Z</dcterms:modified>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0x010100563049F1725E8846A740A1E42C91690A</vt:lpwstr>
  </property>
  <property name="MediaServiceImageTags" fmtid="{D5CDD505-2E9C-101B-9397-08002B2CF9AE}" pid="3">
    <vt:lpwstr/>
  </property>
</Properties>
</file>