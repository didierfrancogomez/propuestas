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cubillo\Downloads\"/>
    </mc:Choice>
  </mc:AlternateContent>
  <xr:revisionPtr revIDLastSave="0" documentId="8_{498A2224-1F9A-49A7-9E7A-CAF5204983F8}" xr6:coauthVersionLast="47" xr6:coauthVersionMax="47" xr10:uidLastSave="{00000000-0000-0000-0000-000000000000}"/>
  <bookViews>
    <workbookView xWindow="-120" yWindow="-120" windowWidth="29040" windowHeight="15720" xr2:uid="{2F665B99-74DC-4CAA-A082-63375442D433}"/>
  </bookViews>
  <sheets>
    <sheet name="Historial de versiones" sheetId="6" r:id="rId1"/>
    <sheet name="Cómo funciona" sheetId="7" r:id="rId2"/>
    <sheet name="Matriz de decisión" sheetId="2" r:id="rId3"/>
    <sheet name="Seguridad 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2" l="1"/>
  <c r="J27" i="2"/>
  <c r="K27" i="2" s="1"/>
  <c r="J24" i="2"/>
  <c r="K24" i="2" s="1"/>
  <c r="J20" i="2"/>
  <c r="K20" i="2" s="1"/>
  <c r="J15" i="2"/>
  <c r="K15" i="2" s="1"/>
  <c r="J11" i="2"/>
  <c r="K11" i="2" s="1"/>
  <c r="J8" i="2"/>
  <c r="K8" i="2" s="1"/>
  <c r="J6" i="2"/>
  <c r="K6" i="2" s="1"/>
  <c r="J2" i="2"/>
  <c r="K2" i="2" s="1"/>
  <c r="B30" i="2"/>
  <c r="K30" i="2" l="1"/>
  <c r="B36" i="2" s="1"/>
  <c r="J30" i="2"/>
</calcChain>
</file>

<file path=xl/sharedStrings.xml><?xml version="1.0" encoding="utf-8"?>
<sst xmlns="http://schemas.openxmlformats.org/spreadsheetml/2006/main" count="236" uniqueCount="209">
  <si>
    <t>Dimensión</t>
  </si>
  <si>
    <t>Criterio</t>
  </si>
  <si>
    <t>0 (Bajo)</t>
  </si>
  <si>
    <t>1 (Medio)</t>
  </si>
  <si>
    <t>2 (Alto)</t>
  </si>
  <si>
    <t>3 (Muy Alto)</t>
  </si>
  <si>
    <t>Score</t>
  </si>
  <si>
    <t>Complejidad Operativa</t>
  </si>
  <si>
    <t>Número de pasos del proceso</t>
  </si>
  <si>
    <t>1 paso</t>
  </si>
  <si>
    <t>2–3 pasos</t>
  </si>
  <si>
    <t>4–6 pasos</t>
  </si>
  <si>
    <t>&gt;6 pasos dinámicos</t>
  </si>
  <si>
    <t>Variabilidad del flujo (Condicionales)</t>
  </si>
  <si>
    <t>Flujo fijo</t>
  </si>
  <si>
    <t>Variaciones menores</t>
  </si>
  <si>
    <t>Variaciones frecuentes</t>
  </si>
  <si>
    <t>Flujo altamente dinámico</t>
  </si>
  <si>
    <t>Dependencias entre tareas</t>
  </si>
  <si>
    <t>Independientes</t>
  </si>
  <si>
    <t>Algunas dependencias</t>
  </si>
  <si>
    <t>Varias dependencias</t>
  </si>
  <si>
    <t>Orquestación compleja</t>
  </si>
  <si>
    <t>Autonomía Requerida</t>
  </si>
  <si>
    <t>Nivel de intervención humana</t>
  </si>
  <si>
    <t>Total</t>
  </si>
  <si>
    <t>Validación final</t>
  </si>
  <si>
    <t>Supervisión parcial</t>
  </si>
  <si>
    <t>Totalmente autónomo</t>
  </si>
  <si>
    <t>Reglas fijas</t>
  </si>
  <si>
    <t>Decisiones simples</t>
  </si>
  <si>
    <t>Decisiones contextuales</t>
  </si>
  <si>
    <t>Decisiones estratégicas</t>
  </si>
  <si>
    <t>Impacto del Error</t>
  </si>
  <si>
    <t>Impacto financiero</t>
  </si>
  <si>
    <t>Nulo</t>
  </si>
  <si>
    <t>Bajo ($)</t>
  </si>
  <si>
    <t>Medio ($$)</t>
  </si>
  <si>
    <t>Alto ($$$$)</t>
  </si>
  <si>
    <t>Impacto reputacional</t>
  </si>
  <si>
    <t>Interno</t>
  </si>
  <si>
    <t>Clientes limitados</t>
  </si>
  <si>
    <t>Público / mercado</t>
  </si>
  <si>
    <t>Impacto regulatorio</t>
  </si>
  <si>
    <t>Ninguno</t>
  </si>
  <si>
    <t>Bajo</t>
  </si>
  <si>
    <t>Medio</t>
  </si>
  <si>
    <t>Alto / sancionable</t>
  </si>
  <si>
    <t>Escala y Volumen</t>
  </si>
  <si>
    <t>Frecuencia del proceso</t>
  </si>
  <si>
    <t>Esporádico</t>
  </si>
  <si>
    <t>Mensual</t>
  </si>
  <si>
    <t>Semanal</t>
  </si>
  <si>
    <t>Diario / masivo</t>
  </si>
  <si>
    <t>Número de usuarios afectados</t>
  </si>
  <si>
    <t>1–5</t>
  </si>
  <si>
    <t>6–20</t>
  </si>
  <si>
    <t>21–100</t>
  </si>
  <si>
    <t>&gt;100</t>
  </si>
  <si>
    <t>Memoria</t>
  </si>
  <si>
    <t>No relevante</t>
  </si>
  <si>
    <t>Volumen de datos procesados</t>
  </si>
  <si>
    <t>Muy bajo</t>
  </si>
  <si>
    <t>Alto</t>
  </si>
  <si>
    <t>Big Data / tiempo real</t>
  </si>
  <si>
    <t>Nivel de ambigüedad</t>
  </si>
  <si>
    <t>Totalmente estructurado</t>
  </si>
  <si>
    <t>Parcial</t>
  </si>
  <si>
    <t>Bastante ambiguo</t>
  </si>
  <si>
    <t>Altamente ambiguo</t>
  </si>
  <si>
    <t>Necesidad de generación de contenido</t>
  </si>
  <si>
    <t>No</t>
  </si>
  <si>
    <t>Plantillas simples</t>
  </si>
  <si>
    <t>Redacción variable</t>
  </si>
  <si>
    <t>Creatividad compleja</t>
  </si>
  <si>
    <t>Necesidad de interpretación contextual</t>
  </si>
  <si>
    <t>Básica</t>
  </si>
  <si>
    <t>Moderada</t>
  </si>
  <si>
    <t>Alta contextualización</t>
  </si>
  <si>
    <t>Integración Tecnológica</t>
  </si>
  <si>
    <t>Consulta de datos externos</t>
  </si>
  <si>
    <t>1 sistema</t>
  </si>
  <si>
    <t>2–3 sistemas</t>
  </si>
  <si>
    <t>&gt;3 sistemas</t>
  </si>
  <si>
    <t>Ejecución de acciones en sistemas</t>
  </si>
  <si>
    <t>Acciones simples</t>
  </si>
  <si>
    <t>Varias acciones</t>
  </si>
  <si>
    <t>Acciones críticas</t>
  </si>
  <si>
    <t>Requiere APIs o automatización</t>
  </si>
  <si>
    <t>Básico</t>
  </si>
  <si>
    <t>Intermedio</t>
  </si>
  <si>
    <t>Complejo / orquestado</t>
  </si>
  <si>
    <t>Gobierno / Observabilidad</t>
  </si>
  <si>
    <t>Necesidad de trazabilidad</t>
  </si>
  <si>
    <t>Registro básico</t>
  </si>
  <si>
    <t>Logs detallados</t>
  </si>
  <si>
    <t>Auditoría formal obligatoria</t>
  </si>
  <si>
    <t>Necesidad de explicabilidad</t>
  </si>
  <si>
    <t>Deseable</t>
  </si>
  <si>
    <t>Necesaria</t>
  </si>
  <si>
    <t>Obligatoria</t>
  </si>
  <si>
    <t>Sensibilidad de los datos</t>
  </si>
  <si>
    <t>Pública</t>
  </si>
  <si>
    <t>Interna</t>
  </si>
  <si>
    <t>Confidencial</t>
  </si>
  <si>
    <t>Datos sensibles/regulados</t>
  </si>
  <si>
    <t>Valor Estratégico</t>
  </si>
  <si>
    <t>Impacto en eficiencia</t>
  </si>
  <si>
    <t>Marginal</t>
  </si>
  <si>
    <t>Moderado</t>
  </si>
  <si>
    <t>Transformacional</t>
  </si>
  <si>
    <t>Impacto en ingresos</t>
  </si>
  <si>
    <t>Ventaja competitiva</t>
  </si>
  <si>
    <t>Nula</t>
  </si>
  <si>
    <t>Incremental</t>
  </si>
  <si>
    <t>Diferenciadora</t>
  </si>
  <si>
    <t>Estratégica clave</t>
  </si>
  <si>
    <t>Score total</t>
  </si>
  <si>
    <t>Evaluación Automática</t>
  </si>
  <si>
    <t>Recomendación</t>
  </si>
  <si>
    <t>Interpretación</t>
  </si>
  <si>
    <t>Razonamiento complejo</t>
  </si>
  <si>
    <t>Lenguaje natural</t>
  </si>
  <si>
    <t>Aplicaciones Internas sin APIs</t>
  </si>
  <si>
    <t>Básico (1 aplicación)</t>
  </si>
  <si>
    <t>Intermedio (2 aplicaciones)</t>
  </si>
  <si>
    <t>Alto (&gt;2 aplicaciones)</t>
  </si>
  <si>
    <t>Peso</t>
  </si>
  <si>
    <t>Planificación y razonamiento</t>
  </si>
  <si>
    <t>Descompone objetivos, genera planes y ajusta estrategias.</t>
  </si>
  <si>
    <t>Necesidad de toma de decisiones. Inicia acciones y anticipa problemas sin ser solicitado.</t>
  </si>
  <si>
    <t>Generación de planes</t>
  </si>
  <si>
    <t>Durante la ejecución. Sin contexto previo</t>
  </si>
  <si>
    <t>Con contexto previo</t>
  </si>
  <si>
    <t>Almacenamiento de nuevo aprendizaje. Mejora continua</t>
  </si>
  <si>
    <t>Ambigüedad / Creatividad / Adaptabilidad</t>
  </si>
  <si>
    <t>Básica por parámetros y/o prompts</t>
  </si>
  <si>
    <t>Altamente adaptable</t>
  </si>
  <si>
    <t>Adaptable para ciertos usuarios</t>
  </si>
  <si>
    <t>Ajuste a cambios, usuarios y contextos dinámicos</t>
  </si>
  <si>
    <t>Score ponderado</t>
  </si>
  <si>
    <t xml:space="preserve">Seguridad </t>
  </si>
  <si>
    <t>Exposición de datos sensibles</t>
  </si>
  <si>
    <t>Superficie de ataque / conectividad</t>
  </si>
  <si>
    <t>No utiliza datos sensibles.</t>
  </si>
  <si>
    <t>Usa datos internos de baja criticidad.</t>
  </si>
  <si>
    <t>Usa datos confidenciales o de cliente.</t>
  </si>
  <si>
    <t>Usa datos regulados, credenciales, datos críticos o información altamente sensible.</t>
  </si>
  <si>
    <t>Solución aislada o de baja conectividad.</t>
  </si>
  <si>
    <t>Integración limitada con uno o dos sistemas internos.</t>
  </si>
  <si>
    <t>Varias integraciones o exposición controlada a redes externas.</t>
  </si>
  <si>
    <t>Alta exposición externa, múltiples integraciones, terceros o acceso abierto por APIs/canales.</t>
  </si>
  <si>
    <t>Documentos y/o multimedia (imágenes, audio y/o videos)</t>
  </si>
  <si>
    <t>Determinista</t>
  </si>
  <si>
    <t>Ejemplo</t>
  </si>
  <si>
    <t>Proceso de siniestro: aviso del cliente → validación de póliza → verificación de cobertura → asignación de ajustador → inspección → cotización taller → aprobación → orden de reparación → pago.</t>
  </si>
  <si>
    <t>Analizar la descripción del accidente para determinar si fue choque simple, pérdida total o posible fraude.</t>
  </si>
  <si>
    <t>- Si hay lesionados → activar cobertura SOAT.
- Si es pérdida total → enviar a valoración comercial.
- Si hay tercero afectado → activar RC.
- Si hay inconsistencias → enviar a unidad antifraude.</t>
  </si>
  <si>
    <t>No se puede autorizar reparación hasta validar vigencia de póliza y cobertura aplicable.</t>
  </si>
  <si>
    <t>Un analista debe aprobar manualmente indemnizaciones superiores a $50 millones COP.</t>
  </si>
  <si>
    <t>Detectar patrón sospechoso de fraude y bloquear preventivamente el pago antes de desembolso.</t>
  </si>
  <si>
    <t>Error en cálculo de pérdida total que genere sobrepago al asegurado.</t>
  </si>
  <si>
    <t>Negar injustificadamente un siniestro legítimo y viralizarse en redes sociales.</t>
  </si>
  <si>
    <t>Incumplir tiempos de pago establecidos por la Superintendencia Financiera.</t>
  </si>
  <si>
    <t>Gestión diaria de cientos de avisos de siniestro vehicular.</t>
  </si>
  <si>
    <t>Cambio en motor de autorización que impacte a todos los asegurados con pólizas activas.</t>
  </si>
  <si>
    <t>Sistema que recuerda historial de siniestros del cliente para análisis de riesgo y renovación.</t>
  </si>
  <si>
    <t>Procesamiento masivo de fotos, videos, historial de conducción y datos telemáticos.</t>
  </si>
  <si>
    <t>Cliente reporta: “me chocaron por detrás” sin detalles de responsabilidad o contexto.</t>
  </si>
  <si>
    <t>Redacción automática de cartas de aprobación o rechazo de siniestro.</t>
  </si>
  <si>
    <t>Determinar si el accidente ocurrió dentro de la vigencia de la póliza y bajo condiciones cubiertas.</t>
  </si>
  <si>
    <t>Optimizar asignación de ajustadores según ubicación, carga de trabajo y SLA.</t>
  </si>
  <si>
    <t>Adaptarse a cambios en tarifas, deducibles o condiciones contractuales.</t>
  </si>
  <si>
    <t>Validar antecedentes del vehículo en RUNT o consultar historial en FASECOLDA.</t>
  </si>
  <si>
    <t>Generar automáticamente orden de pago al taller autorizado.</t>
  </si>
  <si>
    <t>Sistema legacy de emisión que requiere automatización vía RPA.</t>
  </si>
  <si>
    <t>Integración entre core de seguros, sistema de talleres y pasarela de pagos.</t>
  </si>
  <si>
    <t>Registrar criterios usados para aprobar o rechazar un siniestro ante posible reclamación.</t>
  </si>
  <si>
    <t>Poder explicar por qué un caso fue marcado como fraude potencial.</t>
  </si>
  <si>
    <t>Manejo de datos personales, placas, historial de conducción y datos financieros.</t>
  </si>
  <si>
    <t>Reducir tiempo promedio de aprobación de siniestros de 5 días a 24 horas.</t>
  </si>
  <si>
    <t>Modelo predictivo que mejora tarificación y reduce siniestralidad técnica.</t>
  </si>
  <si>
    <t>Proceso digital con aprobación automática en minutos frente a competidores tradicionales.</t>
  </si>
  <si>
    <t>0.0 – 0.9</t>
  </si>
  <si>
    <t>1.0 – 1.7</t>
  </si>
  <si>
    <t>1.8 – 2.4</t>
  </si>
  <si>
    <t>2.5 – 3.0</t>
  </si>
  <si>
    <t>No usar IA (automatización tradicional suficiente)</t>
  </si>
  <si>
    <t>IA Generativa Desacoplada (copiloto con humano en el loop)</t>
  </si>
  <si>
    <t>Agente supervisado</t>
  </si>
  <si>
    <t>Agente autónomo con fuerte gobernanza</t>
  </si>
  <si>
    <t>Resultado</t>
  </si>
  <si>
    <t>Ponderado * Peso</t>
  </si>
  <si>
    <t>Historial de versiones</t>
  </si>
  <si>
    <t>Versión</t>
  </si>
  <si>
    <t>Fecha</t>
  </si>
  <si>
    <t>Revisado por</t>
  </si>
  <si>
    <t>Cambios realizados</t>
  </si>
  <si>
    <t>1.0</t>
  </si>
  <si>
    <t> </t>
  </si>
  <si>
    <t>Versión inicial de matriz de evaluación de decisión (No usar IA, IA Generativa, IA Agentica).</t>
  </si>
  <si>
    <t>¿Cómo funciona?</t>
  </si>
  <si>
    <r>
      <t xml:space="preserve">En la hoja </t>
    </r>
    <r>
      <rPr>
        <b/>
        <i/>
        <sz val="11"/>
        <color theme="1"/>
        <rFont val="Calibri"/>
        <family val="2"/>
      </rPr>
      <t>"Matriz de decisión"</t>
    </r>
    <r>
      <rPr>
        <sz val="11"/>
        <color theme="1"/>
        <rFont val="Calibri"/>
        <family val="2"/>
      </rPr>
      <t xml:space="preserve"> se encuentra la herramienta de evaluación estructurada para determinar el nivel de automatización o inteligencia artificial adecuado para un proceso específico. Su funcionamiento se divide en tres etapas principales:</t>
    </r>
  </si>
  <si>
    <r>
      <rPr>
        <b/>
        <sz val="11"/>
        <color theme="1"/>
        <rFont val="Calibri"/>
        <family val="2"/>
      </rPr>
      <t>1. Evaluación por Dimensiones:</t>
    </r>
    <r>
      <rPr>
        <sz val="11"/>
        <color theme="1"/>
        <rFont val="Calibri"/>
        <family val="2"/>
      </rPr>
      <t xml:space="preserve"> Se analiza el proceso bajo 9 dimensiones clave, cada una con un peso específico sobre el total (100%). Estas incluyen:</t>
    </r>
  </si>
  <si>
    <r>
      <rPr>
        <i/>
        <sz val="11"/>
        <color theme="1"/>
        <rFont val="Calibri"/>
        <family val="2"/>
      </rPr>
      <t>Complejidad y Autonomía:</t>
    </r>
    <r>
      <rPr>
        <sz val="11"/>
        <color theme="1"/>
        <rFont val="Calibri"/>
        <family val="2"/>
      </rPr>
      <t xml:space="preserve"> Miden el número de pasos, la variabilidad del flujo y cuánta intervención humana se requiere.</t>
    </r>
  </si>
  <si>
    <r>
      <rPr>
        <i/>
        <sz val="11"/>
        <color theme="1"/>
        <rFont val="Calibri"/>
        <family val="2"/>
      </rPr>
      <t>Riesgo e Impacto:</t>
    </r>
    <r>
      <rPr>
        <sz val="11"/>
        <color theme="1"/>
        <rFont val="Calibri"/>
        <family val="2"/>
      </rPr>
      <t xml:space="preserve"> Evalúan el impacto financiero, reputacional y regulatorio de posibles errores.</t>
    </r>
  </si>
  <si>
    <r>
      <rPr>
        <i/>
        <sz val="11"/>
        <color theme="1"/>
        <rFont val="Calibri"/>
        <family val="2"/>
      </rPr>
      <t>Capacidad Técnica y Estratégica:</t>
    </r>
    <r>
      <rPr>
        <sz val="11"/>
        <color theme="1"/>
        <rFont val="Calibri"/>
        <family val="2"/>
      </rPr>
      <t xml:space="preserve"> Analizan el volumen de datos, la necesidad de integración con APIs y el valor estratégico para la eficiencia del negocio.</t>
    </r>
  </si>
  <si>
    <r>
      <rPr>
        <b/>
        <sz val="11"/>
        <color theme="1"/>
        <rFont val="Calibri"/>
        <family val="2"/>
      </rPr>
      <t>2. Calificación de Criterios:</t>
    </r>
    <r>
      <rPr>
        <sz val="11"/>
        <color theme="1"/>
        <rFont val="Calibri"/>
        <family val="2"/>
      </rPr>
      <t xml:space="preserve"> Dentro de cada dimensión, se asignan puntajes basados en criterios objetivos. Por ejemplo, en la "Complejidad Operativa", se evalúa si el proceso es de un solo paso o si requiere interpretaciones subjetivas y múltiples condicionales.</t>
    </r>
  </si>
  <si>
    <r>
      <rPr>
        <b/>
        <sz val="11"/>
        <color theme="1"/>
        <rFont val="Calibri"/>
        <family val="2"/>
      </rPr>
      <t>3. Resultado y Recomendación:</t>
    </r>
    <r>
      <rPr>
        <sz val="11"/>
        <color theme="1"/>
        <rFont val="Calibri"/>
        <family val="2"/>
      </rPr>
      <t xml:space="preserve"> Según el puntaje final obtenido (en una escala de 0.0 a 3.0), el sistema emite una recomendación técnica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</si>
</sst>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1"/>
      <name val="Aptos Narrow"/>
      <family val="2"/>
      <scheme val="minor"/>
    </font>
    <font>
      <b/>
      <sz val="14"/>
      <color rgb="FFFFFFFF"/>
      <name val="Calibri"/>
      <family val="2"/>
    </font>
    <font>
      <b/>
      <sz val="1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i/>
      <sz val="10"/>
      <color theme="1"/>
      <name val="Calibri"/>
      <family val="2"/>
    </font>
    <font>
      <b/>
      <i/>
      <sz val="12"/>
      <color theme="1"/>
      <name val="Calibri"/>
      <family val="2"/>
    </font>
    <font>
      <b/>
      <i/>
      <sz val="11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i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104861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338D"/>
      </patternFill>
    </fill>
    <fill>
      <patternFill patternType="solid">
        <fgColor rgb="FFDCEBFF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0">
    <xf numFmtId="0" fontId="0" fillId="0" borderId="0" xfId="0"/>
    <xf numFmtId="0" fontId="1" fillId="3" borderId="5" xfId="0" applyFont="1" applyFill="1" applyBorder="1" applyAlignment="1">
      <alignment horizontal="center" vertical="center" wrapText="1"/>
    </xf>
    <xf numFmtId="9" fontId="1" fillId="3" borderId="5" xfId="1" applyFont="1" applyFill="1" applyBorder="1" applyAlignment="1">
      <alignment horizontal="center" vertical="center" wrapText="1"/>
    </xf>
    <xf numFmtId="0" fontId="0" fillId="0" borderId="5" xfId="0" applyBorder="1"/>
    <xf numFmtId="0" fontId="3" fillId="6" borderId="18" xfId="0" applyFont="1" applyFill="1" applyBorder="1" applyAlignment="1">
      <alignment horizontal="center" vertical="center" wrapText="1"/>
    </xf>
    <xf numFmtId="0" fontId="4" fillId="7" borderId="19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14" fontId="6" fillId="0" borderId="19" xfId="0" applyNumberFormat="1" applyFont="1" applyBorder="1" applyAlignment="1">
      <alignment horizontal="center" vertical="center" wrapText="1"/>
    </xf>
    <xf numFmtId="0" fontId="6" fillId="0" borderId="19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9" fontId="7" fillId="3" borderId="1" xfId="1" applyFont="1" applyFill="1" applyBorder="1" applyAlignment="1">
      <alignment horizontal="center" vertical="center" wrapText="1"/>
    </xf>
    <xf numFmtId="0" fontId="6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5" borderId="1" xfId="0" quotePrefix="1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0" xfId="0" applyFont="1"/>
    <xf numFmtId="9" fontId="9" fillId="0" borderId="1" xfId="1" applyFont="1" applyBorder="1" applyAlignment="1">
      <alignment horizontal="center"/>
    </xf>
    <xf numFmtId="0" fontId="10" fillId="0" borderId="5" xfId="0" applyFont="1" applyBorder="1" applyAlignment="1">
      <alignment horizontal="right" indent="2"/>
    </xf>
    <xf numFmtId="0" fontId="9" fillId="0" borderId="13" xfId="0" applyFont="1" applyBorder="1" applyAlignment="1">
      <alignment horizontal="center" vertical="center"/>
    </xf>
    <xf numFmtId="2" fontId="9" fillId="5" borderId="1" xfId="0" applyNumberFormat="1" applyFont="1" applyFill="1" applyBorder="1" applyAlignment="1">
      <alignment horizontal="center"/>
    </xf>
    <xf numFmtId="0" fontId="11" fillId="0" borderId="0" xfId="0" applyFont="1"/>
    <xf numFmtId="9" fontId="6" fillId="0" borderId="0" xfId="1" applyFont="1"/>
    <xf numFmtId="0" fontId="12" fillId="0" borderId="0" xfId="0" applyFont="1"/>
    <xf numFmtId="9" fontId="11" fillId="0" borderId="0" xfId="1" applyFont="1"/>
    <xf numFmtId="0" fontId="13" fillId="4" borderId="1" xfId="0" applyFont="1" applyFill="1" applyBorder="1" applyAlignment="1">
      <alignment wrapText="1"/>
    </xf>
    <xf numFmtId="0" fontId="14" fillId="0" borderId="4" xfId="0" applyFont="1" applyBorder="1"/>
    <xf numFmtId="0" fontId="3" fillId="8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6" fillId="8" borderId="0" xfId="0" applyFont="1" applyFill="1" applyAlignment="1">
      <alignment wrapText="1"/>
    </xf>
    <xf numFmtId="0" fontId="6" fillId="8" borderId="0" xfId="0" applyFont="1" applyFill="1" applyAlignment="1">
      <alignment horizontal="left" wrapText="1" indent="2"/>
    </xf>
    <xf numFmtId="0" fontId="3" fillId="6" borderId="18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2" fontId="5" fillId="0" borderId="16" xfId="1" applyNumberFormat="1" applyFont="1" applyBorder="1" applyAlignment="1">
      <alignment horizontal="center"/>
    </xf>
    <xf numFmtId="2" fontId="5" fillId="0" borderId="17" xfId="1" applyNumberFormat="1" applyFont="1" applyBorder="1" applyAlignment="1">
      <alignment horizontal="center"/>
    </xf>
    <xf numFmtId="2" fontId="8" fillId="5" borderId="2" xfId="1" applyNumberFormat="1" applyFont="1" applyFill="1" applyBorder="1" applyAlignment="1">
      <alignment horizontal="center" vertical="center" wrapText="1"/>
    </xf>
    <xf numFmtId="2" fontId="8" fillId="5" borderId="3" xfId="1" applyNumberFormat="1" applyFont="1" applyFill="1" applyBorder="1" applyAlignment="1">
      <alignment horizontal="center" vertical="center" wrapText="1"/>
    </xf>
    <xf numFmtId="2" fontId="8" fillId="5" borderId="4" xfId="1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wrapText="1"/>
    </xf>
    <xf numFmtId="0" fontId="13" fillId="4" borderId="0" xfId="0" applyFont="1" applyFill="1" applyAlignment="1">
      <alignment wrapText="1"/>
    </xf>
    <xf numFmtId="0" fontId="14" fillId="0" borderId="10" xfId="0" applyFont="1" applyBorder="1"/>
    <xf numFmtId="0" fontId="14" fillId="0" borderId="9" xfId="0" applyFont="1" applyBorder="1"/>
    <xf numFmtId="0" fontId="14" fillId="0" borderId="11" xfId="0" applyFont="1" applyBorder="1"/>
    <xf numFmtId="0" fontId="14" fillId="0" borderId="12" xfId="0" applyFont="1" applyBorder="1"/>
    <xf numFmtId="0" fontId="14" fillId="0" borderId="7" xfId="0" applyFont="1" applyBorder="1"/>
    <xf numFmtId="0" fontId="14" fillId="0" borderId="6" xfId="0" applyFont="1" applyBorder="1"/>
    <xf numFmtId="9" fontId="8" fillId="2" borderId="2" xfId="1" applyFont="1" applyFill="1" applyBorder="1" applyAlignment="1">
      <alignment horizontal="center" vertical="center" wrapText="1"/>
    </xf>
    <xf numFmtId="9" fontId="8" fillId="2" borderId="3" xfId="1" applyFont="1" applyFill="1" applyBorder="1" applyAlignment="1">
      <alignment horizontal="center" vertical="center" wrapText="1"/>
    </xf>
    <xf numFmtId="9" fontId="8" fillId="2" borderId="4" xfId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4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36</xdr:row>
      <xdr:rowOff>174178</xdr:rowOff>
    </xdr:from>
    <xdr:ext cx="5076825" cy="3211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EAC230D-5044-1F59-2F41-6F2DC7F06942}"/>
                </a:ext>
              </a:extLst>
            </xdr:cNvPr>
            <xdr:cNvSpPr txBox="1"/>
          </xdr:nvSpPr>
          <xdr:spPr>
            <a:xfrm>
              <a:off x="123825" y="8556178"/>
              <a:ext cx="5076825" cy="321121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es-CO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𝑡𝑜𝑡𝑎𝑙𝑃𝑜𝑛𝑑𝑒𝑟𝑎𝑑𝑜𝑋𝑃𝑒𝑠𝑜</m:t>
                        </m:r>
                      </m:e>
                      <m: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 </m:t>
                    </m:r>
                    <m:sSub>
                      <m:sSubPr>
                        <m:ctrlP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𝑡𝑜𝑡𝑎𝑙𝑃𝑜𝑛𝑑𝑒𝑟𝑎𝑑𝑜𝑋𝑃𝑒𝑠𝑜</m:t>
                        </m:r>
                      </m:e>
                      <m: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sSub>
                      <m:sSubPr>
                        <m:ctrlP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 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𝑡𝑜𝑡𝑎𝑙𝑃𝑜𝑛𝑑𝑒𝑟𝑎𝑑𝑜𝑋𝑃𝑒𝑠𝑜</m:t>
                        </m:r>
                      </m:e>
                      <m: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EAC230D-5044-1F59-2F41-6F2DC7F06942}"/>
                </a:ext>
              </a:extLst>
            </xdr:cNvPr>
            <xdr:cNvSpPr txBox="1"/>
          </xdr:nvSpPr>
          <xdr:spPr>
            <a:xfrm>
              <a:off x="123825" y="8556178"/>
              <a:ext cx="5076825" cy="321121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𝑅</a:t>
              </a:r>
              <a:r>
                <a:rPr lang="es-CO" sz="1100" i="0">
                  <a:latin typeface="Cambria Math" panose="02040503050406030204" pitchFamily="18" charset="0"/>
                </a:rPr>
                <a:t>=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〖𝑡𝑜𝑡𝑎𝑙𝑃𝑜𝑛𝑑𝑒𝑟𝑎𝑑𝑜𝑋𝑃𝑒𝑠𝑜〗_1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〖𝑡𝑜𝑡𝑎𝑙𝑃𝑜𝑛𝑑𝑒𝑟𝑎𝑑𝑜𝑋𝑃𝑒𝑠𝑜〗_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𝑡𝑜𝑡𝑎𝑙𝑃𝑜𝑛𝑑𝑒𝑟𝑎𝑑𝑜𝑋𝑃𝑒𝑠𝑜〗_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</a:t>
              </a:r>
              <a:endParaRPr lang="es-CO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5E1A-489C-4FE7-86BB-63A274906B86}">
  <dimension ref="A1:D4"/>
  <sheetViews>
    <sheetView tabSelected="1" workbookViewId="0">
      <selection activeCell="A2" sqref="A2"/>
    </sheetView>
  </sheetViews>
  <sheetFormatPr baseColWidth="10" defaultRowHeight="15" x14ac:dyDescent="0.25"/>
  <cols>
    <col min="1" max="1" width="16.140625" customWidth="1"/>
    <col min="2" max="2" width="18.7109375" customWidth="1"/>
    <col min="3" max="3" width="35.7109375" customWidth="1"/>
    <col min="4" max="4" width="67.140625" customWidth="1"/>
  </cols>
  <sheetData>
    <row r="1" spans="1:4" ht="18.75" customHeight="1" x14ac:dyDescent="0.25">
      <c r="A1" s="37" t="s">
        <v>193</v>
      </c>
      <c r="B1" s="38"/>
      <c r="C1" s="38"/>
      <c r="D1" s="38"/>
    </row>
    <row r="3" spans="1:4" ht="25.5" customHeight="1" x14ac:dyDescent="0.25">
      <c r="A3" s="5" t="s">
        <v>194</v>
      </c>
      <c r="B3" s="5" t="s">
        <v>195</v>
      </c>
      <c r="C3" s="5" t="s">
        <v>196</v>
      </c>
      <c r="D3" s="5" t="s">
        <v>197</v>
      </c>
    </row>
    <row r="4" spans="1:4" ht="90" customHeight="1" x14ac:dyDescent="0.25">
      <c r="A4" s="6" t="s">
        <v>198</v>
      </c>
      <c r="B4" s="7">
        <v>46112</v>
      </c>
      <c r="C4" s="8" t="s">
        <v>199</v>
      </c>
      <c r="D4" s="8" t="s">
        <v>200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A81E7-0EE4-4259-BD8B-F0EFC43B3997}">
  <dimension ref="A1:D9"/>
  <sheetViews>
    <sheetView workbookViewId="0">
      <selection activeCell="A15" sqref="A15"/>
    </sheetView>
  </sheetViews>
  <sheetFormatPr baseColWidth="10" defaultRowHeight="15" x14ac:dyDescent="0.25"/>
  <cols>
    <col min="1" max="1" width="129.85546875" style="34" customWidth="1"/>
    <col min="2" max="16384" width="11.42578125" style="11"/>
  </cols>
  <sheetData>
    <row r="1" spans="1:4" customFormat="1" ht="18.75" customHeight="1" x14ac:dyDescent="0.25">
      <c r="A1" s="4" t="s">
        <v>201</v>
      </c>
      <c r="B1" s="33"/>
      <c r="C1" s="33"/>
      <c r="D1" s="33"/>
    </row>
    <row r="2" spans="1:4" customFormat="1" ht="9.75" customHeight="1" x14ac:dyDescent="0.25">
      <c r="A2" s="31"/>
      <c r="B2" s="32"/>
      <c r="C2" s="32"/>
      <c r="D2" s="32"/>
    </row>
    <row r="3" spans="1:4" ht="30" x14ac:dyDescent="0.25">
      <c r="A3" s="35" t="s">
        <v>202</v>
      </c>
    </row>
    <row r="4" spans="1:4" ht="30" x14ac:dyDescent="0.25">
      <c r="A4" s="35" t="s">
        <v>203</v>
      </c>
    </row>
    <row r="5" spans="1:4" x14ac:dyDescent="0.25">
      <c r="A5" s="36" t="s">
        <v>204</v>
      </c>
    </row>
    <row r="6" spans="1:4" x14ac:dyDescent="0.25">
      <c r="A6" s="36" t="s">
        <v>205</v>
      </c>
    </row>
    <row r="7" spans="1:4" ht="30" x14ac:dyDescent="0.25">
      <c r="A7" s="36" t="s">
        <v>206</v>
      </c>
    </row>
    <row r="8" spans="1:4" ht="30" x14ac:dyDescent="0.25">
      <c r="A8" s="35" t="s">
        <v>207</v>
      </c>
    </row>
    <row r="9" spans="1:4" x14ac:dyDescent="0.25">
      <c r="A9" s="35" t="s">
        <v>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9674C-D1F3-4AD6-BDCC-701E548189B1}">
  <dimension ref="A1:K45"/>
  <sheetViews>
    <sheetView topLeftCell="A26" zoomScaleNormal="100" workbookViewId="0">
      <selection activeCell="B54" sqref="B54"/>
    </sheetView>
  </sheetViews>
  <sheetFormatPr baseColWidth="10" defaultColWidth="11.42578125" defaultRowHeight="15" x14ac:dyDescent="0.25"/>
  <cols>
    <col min="1" max="1" width="40" style="11" customWidth="1"/>
    <col min="2" max="2" width="9.140625" style="26" customWidth="1"/>
    <col min="3" max="3" width="35.7109375" style="11" customWidth="1"/>
    <col min="4" max="4" width="86.140625" style="11" customWidth="1"/>
    <col min="5" max="8" width="29.7109375" style="11" customWidth="1"/>
    <col min="9" max="9" width="11.42578125" style="11"/>
    <col min="10" max="11" width="19.7109375" style="11" customWidth="1"/>
    <col min="12" max="16384" width="11.42578125" style="11"/>
  </cols>
  <sheetData>
    <row r="1" spans="1:11" x14ac:dyDescent="0.25">
      <c r="A1" s="9" t="s">
        <v>0</v>
      </c>
      <c r="B1" s="10" t="s">
        <v>127</v>
      </c>
      <c r="C1" s="9" t="s">
        <v>1</v>
      </c>
      <c r="D1" s="9" t="s">
        <v>154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10" t="s">
        <v>140</v>
      </c>
      <c r="K1" s="10" t="s">
        <v>192</v>
      </c>
    </row>
    <row r="2" spans="1:11" ht="25.5" x14ac:dyDescent="0.25">
      <c r="A2" s="44" t="s">
        <v>7</v>
      </c>
      <c r="B2" s="55">
        <v>0.1</v>
      </c>
      <c r="C2" s="13" t="s">
        <v>8</v>
      </c>
      <c r="D2" s="14" t="s">
        <v>155</v>
      </c>
      <c r="E2" s="15" t="s">
        <v>9</v>
      </c>
      <c r="F2" s="15" t="s">
        <v>10</v>
      </c>
      <c r="G2" s="15" t="s">
        <v>11</v>
      </c>
      <c r="H2" s="15" t="s">
        <v>12</v>
      </c>
      <c r="I2" s="16"/>
      <c r="J2" s="41">
        <f>IFERROR(SUM(I2:I5)/COUNTA(H2:H5),"")</f>
        <v>0</v>
      </c>
      <c r="K2" s="41">
        <f>J2*B2</f>
        <v>0</v>
      </c>
    </row>
    <row r="3" spans="1:11" ht="25.5" x14ac:dyDescent="0.25">
      <c r="A3" s="45"/>
      <c r="B3" s="56"/>
      <c r="C3" s="13" t="s">
        <v>120</v>
      </c>
      <c r="D3" s="14" t="s">
        <v>156</v>
      </c>
      <c r="E3" s="17" t="s">
        <v>153</v>
      </c>
      <c r="F3" s="15" t="s">
        <v>122</v>
      </c>
      <c r="G3" s="15" t="s">
        <v>152</v>
      </c>
      <c r="H3" s="15" t="s">
        <v>121</v>
      </c>
      <c r="I3" s="16"/>
      <c r="J3" s="42"/>
      <c r="K3" s="42"/>
    </row>
    <row r="4" spans="1:11" ht="51" x14ac:dyDescent="0.25">
      <c r="A4" s="45"/>
      <c r="B4" s="56"/>
      <c r="C4" s="13" t="s">
        <v>13</v>
      </c>
      <c r="D4" s="18" t="s">
        <v>157</v>
      </c>
      <c r="E4" s="15" t="s">
        <v>14</v>
      </c>
      <c r="F4" s="15" t="s">
        <v>15</v>
      </c>
      <c r="G4" s="15" t="s">
        <v>16</v>
      </c>
      <c r="H4" s="15" t="s">
        <v>17</v>
      </c>
      <c r="I4" s="16"/>
      <c r="J4" s="42"/>
      <c r="K4" s="42"/>
    </row>
    <row r="5" spans="1:11" x14ac:dyDescent="0.25">
      <c r="A5" s="46"/>
      <c r="B5" s="57"/>
      <c r="C5" s="13" t="s">
        <v>18</v>
      </c>
      <c r="D5" s="14" t="s">
        <v>158</v>
      </c>
      <c r="E5" s="15" t="s">
        <v>19</v>
      </c>
      <c r="F5" s="15" t="s">
        <v>20</v>
      </c>
      <c r="G5" s="15" t="s">
        <v>21</v>
      </c>
      <c r="H5" s="15" t="s">
        <v>22</v>
      </c>
      <c r="I5" s="16"/>
      <c r="J5" s="43"/>
      <c r="K5" s="43"/>
    </row>
    <row r="6" spans="1:11" x14ac:dyDescent="0.25">
      <c r="A6" s="44" t="s">
        <v>23</v>
      </c>
      <c r="B6" s="55">
        <v>0.15</v>
      </c>
      <c r="C6" s="13" t="s">
        <v>24</v>
      </c>
      <c r="D6" s="14" t="s">
        <v>159</v>
      </c>
      <c r="E6" s="15" t="s">
        <v>25</v>
      </c>
      <c r="F6" s="15" t="s">
        <v>26</v>
      </c>
      <c r="G6" s="15" t="s">
        <v>27</v>
      </c>
      <c r="H6" s="15" t="s">
        <v>28</v>
      </c>
      <c r="I6" s="16"/>
      <c r="J6" s="41">
        <f>IFERROR(SUM(I6:I7)/COUNTA(H6:H7),"")</f>
        <v>0</v>
      </c>
      <c r="K6" s="41">
        <f>J6*B6</f>
        <v>0</v>
      </c>
    </row>
    <row r="7" spans="1:11" ht="38.25" x14ac:dyDescent="0.25">
      <c r="A7" s="46"/>
      <c r="B7" s="57"/>
      <c r="C7" s="13" t="s">
        <v>130</v>
      </c>
      <c r="D7" s="14" t="s">
        <v>160</v>
      </c>
      <c r="E7" s="15" t="s">
        <v>29</v>
      </c>
      <c r="F7" s="15" t="s">
        <v>30</v>
      </c>
      <c r="G7" s="15" t="s">
        <v>31</v>
      </c>
      <c r="H7" s="15" t="s">
        <v>32</v>
      </c>
      <c r="I7" s="16"/>
      <c r="J7" s="43"/>
      <c r="K7" s="43"/>
    </row>
    <row r="8" spans="1:11" x14ac:dyDescent="0.25">
      <c r="A8" s="44" t="s">
        <v>33</v>
      </c>
      <c r="B8" s="55">
        <v>0.15</v>
      </c>
      <c r="C8" s="13" t="s">
        <v>34</v>
      </c>
      <c r="D8" s="14" t="s">
        <v>161</v>
      </c>
      <c r="E8" s="15" t="s">
        <v>35</v>
      </c>
      <c r="F8" s="15" t="s">
        <v>36</v>
      </c>
      <c r="G8" s="15" t="s">
        <v>37</v>
      </c>
      <c r="H8" s="15" t="s">
        <v>38</v>
      </c>
      <c r="I8" s="16"/>
      <c r="J8" s="41">
        <f>IFERROR(SUM(I8:I10)/COUNTA(H8:H10),"")</f>
        <v>0</v>
      </c>
      <c r="K8" s="41">
        <f>J8*B8</f>
        <v>0</v>
      </c>
    </row>
    <row r="9" spans="1:11" ht="14.25" customHeight="1" x14ac:dyDescent="0.25">
      <c r="A9" s="45"/>
      <c r="B9" s="56"/>
      <c r="C9" s="13" t="s">
        <v>39</v>
      </c>
      <c r="D9" s="14" t="s">
        <v>162</v>
      </c>
      <c r="E9" s="15" t="s">
        <v>35</v>
      </c>
      <c r="F9" s="15" t="s">
        <v>40</v>
      </c>
      <c r="G9" s="15" t="s">
        <v>41</v>
      </c>
      <c r="H9" s="15" t="s">
        <v>42</v>
      </c>
      <c r="I9" s="16"/>
      <c r="J9" s="42"/>
      <c r="K9" s="42"/>
    </row>
    <row r="10" spans="1:11" x14ac:dyDescent="0.25">
      <c r="A10" s="46"/>
      <c r="B10" s="57"/>
      <c r="C10" s="13" t="s">
        <v>43</v>
      </c>
      <c r="D10" s="14" t="s">
        <v>163</v>
      </c>
      <c r="E10" s="15" t="s">
        <v>44</v>
      </c>
      <c r="F10" s="15" t="s">
        <v>45</v>
      </c>
      <c r="G10" s="15" t="s">
        <v>46</v>
      </c>
      <c r="H10" s="15" t="s">
        <v>47</v>
      </c>
      <c r="I10" s="16"/>
      <c r="J10" s="43"/>
      <c r="K10" s="43"/>
    </row>
    <row r="11" spans="1:11" ht="14.25" customHeight="1" x14ac:dyDescent="0.25">
      <c r="A11" s="44" t="s">
        <v>48</v>
      </c>
      <c r="B11" s="55">
        <v>0.1</v>
      </c>
      <c r="C11" s="13" t="s">
        <v>49</v>
      </c>
      <c r="D11" s="14" t="s">
        <v>164</v>
      </c>
      <c r="E11" s="15" t="s">
        <v>50</v>
      </c>
      <c r="F11" s="15" t="s">
        <v>51</v>
      </c>
      <c r="G11" s="15" t="s">
        <v>52</v>
      </c>
      <c r="H11" s="15" t="s">
        <v>53</v>
      </c>
      <c r="I11" s="16"/>
      <c r="J11" s="41">
        <f>IFERROR(SUM(I11:I14)/COUNTA(H11:H14),"")</f>
        <v>0</v>
      </c>
      <c r="K11" s="41">
        <f>J11*B11</f>
        <v>0</v>
      </c>
    </row>
    <row r="12" spans="1:11" x14ac:dyDescent="0.25">
      <c r="A12" s="45"/>
      <c r="B12" s="56"/>
      <c r="C12" s="13" t="s">
        <v>54</v>
      </c>
      <c r="D12" s="14" t="s">
        <v>165</v>
      </c>
      <c r="E12" s="15" t="s">
        <v>55</v>
      </c>
      <c r="F12" s="15" t="s">
        <v>56</v>
      </c>
      <c r="G12" s="15" t="s">
        <v>57</v>
      </c>
      <c r="H12" s="15" t="s">
        <v>58</v>
      </c>
      <c r="I12" s="16"/>
      <c r="J12" s="42"/>
      <c r="K12" s="42"/>
    </row>
    <row r="13" spans="1:11" ht="25.5" x14ac:dyDescent="0.25">
      <c r="A13" s="45"/>
      <c r="B13" s="56"/>
      <c r="C13" s="13" t="s">
        <v>59</v>
      </c>
      <c r="D13" s="14" t="s">
        <v>166</v>
      </c>
      <c r="E13" s="15" t="s">
        <v>60</v>
      </c>
      <c r="F13" s="15" t="s">
        <v>132</v>
      </c>
      <c r="G13" s="15" t="s">
        <v>133</v>
      </c>
      <c r="H13" s="15" t="s">
        <v>134</v>
      </c>
      <c r="I13" s="16"/>
      <c r="J13" s="42"/>
      <c r="K13" s="42"/>
    </row>
    <row r="14" spans="1:11" ht="14.25" customHeight="1" x14ac:dyDescent="0.25">
      <c r="A14" s="46"/>
      <c r="B14" s="57"/>
      <c r="C14" s="13" t="s">
        <v>61</v>
      </c>
      <c r="D14" s="14" t="s">
        <v>167</v>
      </c>
      <c r="E14" s="15" t="s">
        <v>62</v>
      </c>
      <c r="F14" s="15" t="s">
        <v>45</v>
      </c>
      <c r="G14" s="15" t="s">
        <v>63</v>
      </c>
      <c r="H14" s="15" t="s">
        <v>64</v>
      </c>
      <c r="I14" s="16"/>
      <c r="J14" s="43"/>
      <c r="K14" s="43"/>
    </row>
    <row r="15" spans="1:11" x14ac:dyDescent="0.25">
      <c r="A15" s="44" t="s">
        <v>135</v>
      </c>
      <c r="B15" s="55">
        <v>0.1</v>
      </c>
      <c r="C15" s="13" t="s">
        <v>65</v>
      </c>
      <c r="D15" s="14" t="s">
        <v>168</v>
      </c>
      <c r="E15" s="15" t="s">
        <v>66</v>
      </c>
      <c r="F15" s="15" t="s">
        <v>67</v>
      </c>
      <c r="G15" s="15" t="s">
        <v>68</v>
      </c>
      <c r="H15" s="15" t="s">
        <v>69</v>
      </c>
      <c r="I15" s="16"/>
      <c r="J15" s="41">
        <f>IFERROR(SUM(I15:I19)/COUNTA(H15:H19),"")</f>
        <v>0</v>
      </c>
      <c r="K15" s="41">
        <f>J15*B15</f>
        <v>0</v>
      </c>
    </row>
    <row r="16" spans="1:11" x14ac:dyDescent="0.25">
      <c r="A16" s="45"/>
      <c r="B16" s="56"/>
      <c r="C16" s="13" t="s">
        <v>70</v>
      </c>
      <c r="D16" s="14" t="s">
        <v>169</v>
      </c>
      <c r="E16" s="15" t="s">
        <v>71</v>
      </c>
      <c r="F16" s="15" t="s">
        <v>72</v>
      </c>
      <c r="G16" s="15" t="s">
        <v>73</v>
      </c>
      <c r="H16" s="15" t="s">
        <v>74</v>
      </c>
      <c r="I16" s="16"/>
      <c r="J16" s="42"/>
      <c r="K16" s="42"/>
    </row>
    <row r="17" spans="1:11" x14ac:dyDescent="0.25">
      <c r="A17" s="45"/>
      <c r="B17" s="56"/>
      <c r="C17" s="13" t="s">
        <v>75</v>
      </c>
      <c r="D17" s="14" t="s">
        <v>170</v>
      </c>
      <c r="E17" s="15" t="s">
        <v>71</v>
      </c>
      <c r="F17" s="15" t="s">
        <v>76</v>
      </c>
      <c r="G17" s="15" t="s">
        <v>77</v>
      </c>
      <c r="H17" s="15" t="s">
        <v>78</v>
      </c>
      <c r="I17" s="16"/>
      <c r="J17" s="42"/>
      <c r="K17" s="42"/>
    </row>
    <row r="18" spans="1:11" ht="25.5" x14ac:dyDescent="0.25">
      <c r="A18" s="45"/>
      <c r="B18" s="56"/>
      <c r="C18" s="13" t="s">
        <v>128</v>
      </c>
      <c r="D18" s="14" t="s">
        <v>171</v>
      </c>
      <c r="E18" s="15" t="s">
        <v>71</v>
      </c>
      <c r="F18" s="15" t="s">
        <v>76</v>
      </c>
      <c r="G18" s="15" t="s">
        <v>131</v>
      </c>
      <c r="H18" s="15" t="s">
        <v>129</v>
      </c>
      <c r="I18" s="16"/>
      <c r="J18" s="42"/>
      <c r="K18" s="42"/>
    </row>
    <row r="19" spans="1:11" ht="25.5" x14ac:dyDescent="0.25">
      <c r="A19" s="46"/>
      <c r="B19" s="57"/>
      <c r="C19" s="13" t="s">
        <v>139</v>
      </c>
      <c r="D19" s="14" t="s">
        <v>172</v>
      </c>
      <c r="E19" s="15" t="s">
        <v>71</v>
      </c>
      <c r="F19" s="15" t="s">
        <v>136</v>
      </c>
      <c r="G19" s="15" t="s">
        <v>138</v>
      </c>
      <c r="H19" s="15" t="s">
        <v>137</v>
      </c>
      <c r="I19" s="16"/>
      <c r="J19" s="43"/>
      <c r="K19" s="43"/>
    </row>
    <row r="20" spans="1:11" x14ac:dyDescent="0.25">
      <c r="A20" s="44" t="s">
        <v>79</v>
      </c>
      <c r="B20" s="55">
        <v>0.1</v>
      </c>
      <c r="C20" s="13" t="s">
        <v>80</v>
      </c>
      <c r="D20" s="14" t="s">
        <v>173</v>
      </c>
      <c r="E20" s="15" t="s">
        <v>71</v>
      </c>
      <c r="F20" s="15" t="s">
        <v>81</v>
      </c>
      <c r="G20" s="15" t="s">
        <v>82</v>
      </c>
      <c r="H20" s="15" t="s">
        <v>83</v>
      </c>
      <c r="I20" s="16"/>
      <c r="J20" s="41">
        <f>IFERROR(SUM(I20:I23)/COUNTA(H20:H23),"")</f>
        <v>0</v>
      </c>
      <c r="K20" s="41">
        <f>J20*B20</f>
        <v>0</v>
      </c>
    </row>
    <row r="21" spans="1:11" x14ac:dyDescent="0.25">
      <c r="A21" s="45"/>
      <c r="B21" s="56"/>
      <c r="C21" s="13" t="s">
        <v>84</v>
      </c>
      <c r="D21" s="14" t="s">
        <v>174</v>
      </c>
      <c r="E21" s="15" t="s">
        <v>71</v>
      </c>
      <c r="F21" s="15" t="s">
        <v>85</v>
      </c>
      <c r="G21" s="15" t="s">
        <v>86</v>
      </c>
      <c r="H21" s="15" t="s">
        <v>87</v>
      </c>
      <c r="I21" s="16"/>
      <c r="J21" s="42"/>
      <c r="K21" s="42"/>
    </row>
    <row r="22" spans="1:11" x14ac:dyDescent="0.25">
      <c r="A22" s="45"/>
      <c r="B22" s="56"/>
      <c r="C22" s="13" t="s">
        <v>123</v>
      </c>
      <c r="D22" s="14" t="s">
        <v>175</v>
      </c>
      <c r="E22" s="15" t="s">
        <v>71</v>
      </c>
      <c r="F22" s="15" t="s">
        <v>124</v>
      </c>
      <c r="G22" s="15" t="s">
        <v>125</v>
      </c>
      <c r="H22" s="15" t="s">
        <v>126</v>
      </c>
      <c r="I22" s="16"/>
      <c r="J22" s="42"/>
      <c r="K22" s="42"/>
    </row>
    <row r="23" spans="1:11" x14ac:dyDescent="0.25">
      <c r="A23" s="46"/>
      <c r="B23" s="57"/>
      <c r="C23" s="13" t="s">
        <v>88</v>
      </c>
      <c r="D23" s="14" t="s">
        <v>176</v>
      </c>
      <c r="E23" s="15" t="s">
        <v>71</v>
      </c>
      <c r="F23" s="15" t="s">
        <v>89</v>
      </c>
      <c r="G23" s="15" t="s">
        <v>90</v>
      </c>
      <c r="H23" s="15" t="s">
        <v>91</v>
      </c>
      <c r="I23" s="16"/>
      <c r="J23" s="43"/>
      <c r="K23" s="43"/>
    </row>
    <row r="24" spans="1:11" x14ac:dyDescent="0.25">
      <c r="A24" s="44" t="s">
        <v>92</v>
      </c>
      <c r="B24" s="55">
        <v>0.15</v>
      </c>
      <c r="C24" s="13" t="s">
        <v>93</v>
      </c>
      <c r="D24" s="14" t="s">
        <v>177</v>
      </c>
      <c r="E24" s="15" t="s">
        <v>71</v>
      </c>
      <c r="F24" s="15" t="s">
        <v>94</v>
      </c>
      <c r="G24" s="15" t="s">
        <v>95</v>
      </c>
      <c r="H24" s="15" t="s">
        <v>96</v>
      </c>
      <c r="I24" s="16"/>
      <c r="J24" s="41">
        <f>IFERROR(SUM(I24:I26)/COUNTA(H24:H26),"")</f>
        <v>0</v>
      </c>
      <c r="K24" s="41">
        <f>J24*B24</f>
        <v>0</v>
      </c>
    </row>
    <row r="25" spans="1:11" x14ac:dyDescent="0.25">
      <c r="A25" s="45"/>
      <c r="B25" s="56"/>
      <c r="C25" s="13" t="s">
        <v>97</v>
      </c>
      <c r="D25" s="14" t="s">
        <v>178</v>
      </c>
      <c r="E25" s="15" t="s">
        <v>60</v>
      </c>
      <c r="F25" s="15" t="s">
        <v>98</v>
      </c>
      <c r="G25" s="15" t="s">
        <v>99</v>
      </c>
      <c r="H25" s="15" t="s">
        <v>100</v>
      </c>
      <c r="I25" s="16"/>
      <c r="J25" s="42"/>
      <c r="K25" s="42"/>
    </row>
    <row r="26" spans="1:11" x14ac:dyDescent="0.25">
      <c r="A26" s="46"/>
      <c r="B26" s="57"/>
      <c r="C26" s="13" t="s">
        <v>101</v>
      </c>
      <c r="D26" s="14" t="s">
        <v>179</v>
      </c>
      <c r="E26" s="15" t="s">
        <v>102</v>
      </c>
      <c r="F26" s="15" t="s">
        <v>103</v>
      </c>
      <c r="G26" s="15" t="s">
        <v>104</v>
      </c>
      <c r="H26" s="15" t="s">
        <v>105</v>
      </c>
      <c r="I26" s="16"/>
      <c r="J26" s="43"/>
      <c r="K26" s="43"/>
    </row>
    <row r="27" spans="1:11" ht="14.25" customHeight="1" x14ac:dyDescent="0.25">
      <c r="A27" s="44" t="s">
        <v>106</v>
      </c>
      <c r="B27" s="55">
        <v>0.15</v>
      </c>
      <c r="C27" s="13" t="s">
        <v>107</v>
      </c>
      <c r="D27" s="14" t="s">
        <v>180</v>
      </c>
      <c r="E27" s="15" t="s">
        <v>108</v>
      </c>
      <c r="F27" s="15" t="s">
        <v>109</v>
      </c>
      <c r="G27" s="15" t="s">
        <v>63</v>
      </c>
      <c r="H27" s="15" t="s">
        <v>110</v>
      </c>
      <c r="I27" s="16"/>
      <c r="J27" s="41">
        <f>IFERROR(SUM(I27:I29)/COUNTA(H27:H29),"")</f>
        <v>0</v>
      </c>
      <c r="K27" s="41">
        <f>J27*B27</f>
        <v>0</v>
      </c>
    </row>
    <row r="28" spans="1:11" x14ac:dyDescent="0.25">
      <c r="A28" s="45"/>
      <c r="B28" s="56"/>
      <c r="C28" s="13" t="s">
        <v>111</v>
      </c>
      <c r="D28" s="14" t="s">
        <v>181</v>
      </c>
      <c r="E28" s="15" t="s">
        <v>35</v>
      </c>
      <c r="F28" s="15" t="s">
        <v>45</v>
      </c>
      <c r="G28" s="15" t="s">
        <v>46</v>
      </c>
      <c r="H28" s="15" t="s">
        <v>63</v>
      </c>
      <c r="I28" s="16"/>
      <c r="J28" s="42"/>
      <c r="K28" s="42"/>
    </row>
    <row r="29" spans="1:11" x14ac:dyDescent="0.25">
      <c r="A29" s="46"/>
      <c r="B29" s="57"/>
      <c r="C29" s="13" t="s">
        <v>112</v>
      </c>
      <c r="D29" s="14" t="s">
        <v>182</v>
      </c>
      <c r="E29" s="15" t="s">
        <v>113</v>
      </c>
      <c r="F29" s="15" t="s">
        <v>114</v>
      </c>
      <c r="G29" s="15" t="s">
        <v>115</v>
      </c>
      <c r="H29" s="12" t="s">
        <v>116</v>
      </c>
      <c r="I29" s="19"/>
      <c r="J29" s="43"/>
      <c r="K29" s="43"/>
    </row>
    <row r="30" spans="1:11" x14ac:dyDescent="0.25">
      <c r="A30" s="20"/>
      <c r="B30" s="21">
        <f>SUM(B2:B29)</f>
        <v>1</v>
      </c>
      <c r="C30" s="20"/>
      <c r="D30" s="20"/>
      <c r="E30" s="20"/>
      <c r="F30" s="20"/>
      <c r="G30" s="20"/>
      <c r="H30" s="22" t="s">
        <v>117</v>
      </c>
      <c r="I30" s="23">
        <f>SUM(I2:I29)</f>
        <v>0</v>
      </c>
      <c r="J30" s="24">
        <f>SUM(J2:J29)</f>
        <v>0</v>
      </c>
      <c r="K30" s="24">
        <f>SUM(K2:K29)</f>
        <v>0</v>
      </c>
    </row>
    <row r="34" spans="1:5" ht="15.75" x14ac:dyDescent="0.25">
      <c r="A34" s="25" t="s">
        <v>118</v>
      </c>
    </row>
    <row r="35" spans="1:5" ht="15.75" thickBot="1" x14ac:dyDescent="0.3"/>
    <row r="36" spans="1:5" ht="15.75" thickBot="1" x14ac:dyDescent="0.3">
      <c r="A36" s="27" t="s">
        <v>191</v>
      </c>
      <c r="B36" s="39">
        <f>K30</f>
        <v>0</v>
      </c>
      <c r="C36" s="40"/>
    </row>
    <row r="40" spans="1:5" ht="15.75" x14ac:dyDescent="0.25">
      <c r="A40" s="25"/>
      <c r="B40" s="28"/>
    </row>
    <row r="41" spans="1:5" ht="14.25" customHeight="1" x14ac:dyDescent="0.25">
      <c r="A41" s="29" t="s">
        <v>191</v>
      </c>
      <c r="B41" s="47" t="s">
        <v>119</v>
      </c>
      <c r="C41" s="48"/>
      <c r="D41" s="48"/>
      <c r="E41" s="48"/>
    </row>
    <row r="42" spans="1:5" ht="15" customHeight="1" x14ac:dyDescent="0.25">
      <c r="A42" s="30" t="s">
        <v>183</v>
      </c>
      <c r="B42" s="49" t="s">
        <v>187</v>
      </c>
      <c r="C42" s="50"/>
      <c r="D42" s="50"/>
      <c r="E42" s="51"/>
    </row>
    <row r="43" spans="1:5" ht="15" customHeight="1" x14ac:dyDescent="0.25">
      <c r="A43" s="30" t="s">
        <v>184</v>
      </c>
      <c r="B43" s="52" t="s">
        <v>188</v>
      </c>
      <c r="C43" s="53"/>
      <c r="D43" s="53"/>
      <c r="E43" s="54"/>
    </row>
    <row r="44" spans="1:5" ht="15" customHeight="1" x14ac:dyDescent="0.25">
      <c r="A44" s="30" t="s">
        <v>185</v>
      </c>
      <c r="B44" s="52" t="s">
        <v>189</v>
      </c>
      <c r="C44" s="53"/>
      <c r="D44" s="53"/>
      <c r="E44" s="54"/>
    </row>
    <row r="45" spans="1:5" ht="15" customHeight="1" x14ac:dyDescent="0.25">
      <c r="A45" s="30" t="s">
        <v>186</v>
      </c>
      <c r="B45" s="52" t="s">
        <v>190</v>
      </c>
      <c r="C45" s="53"/>
      <c r="D45" s="53"/>
      <c r="E45" s="54"/>
    </row>
  </sheetData>
  <mergeCells count="38">
    <mergeCell ref="B24:B26"/>
    <mergeCell ref="J20:J23"/>
    <mergeCell ref="J24:J26"/>
    <mergeCell ref="J27:J29"/>
    <mergeCell ref="J2:J5"/>
    <mergeCell ref="J6:J7"/>
    <mergeCell ref="J8:J10"/>
    <mergeCell ref="J11:J14"/>
    <mergeCell ref="J15:J19"/>
    <mergeCell ref="B41:E41"/>
    <mergeCell ref="B42:E42"/>
    <mergeCell ref="B43:E43"/>
    <mergeCell ref="B44:E44"/>
    <mergeCell ref="B45:E45"/>
    <mergeCell ref="A24:A26"/>
    <mergeCell ref="A27:A29"/>
    <mergeCell ref="A2:A5"/>
    <mergeCell ref="A6:A7"/>
    <mergeCell ref="A8:A10"/>
    <mergeCell ref="A11:A14"/>
    <mergeCell ref="A15:A19"/>
    <mergeCell ref="A20:A23"/>
    <mergeCell ref="B36:C36"/>
    <mergeCell ref="K2:K5"/>
    <mergeCell ref="K6:K7"/>
    <mergeCell ref="K8:K10"/>
    <mergeCell ref="K11:K14"/>
    <mergeCell ref="K15:K19"/>
    <mergeCell ref="K20:K23"/>
    <mergeCell ref="K24:K26"/>
    <mergeCell ref="K27:K29"/>
    <mergeCell ref="B27:B29"/>
    <mergeCell ref="B2:B5"/>
    <mergeCell ref="B6:B7"/>
    <mergeCell ref="B8:B10"/>
    <mergeCell ref="B11:B14"/>
    <mergeCell ref="B15:B19"/>
    <mergeCell ref="B20:B23"/>
  </mergeCells>
  <conditionalFormatting sqref="A42">
    <cfRule type="expression" dxfId="3" priority="3">
      <formula>IF(AND(B36&gt;=0, B36&lt;=0.9),TRUE,FALSE)</formula>
    </cfRule>
  </conditionalFormatting>
  <conditionalFormatting sqref="A43">
    <cfRule type="expression" dxfId="2" priority="4">
      <formula>IF(AND(B36&gt;=1, B36&lt;=1.7),TRUE,FALSE)</formula>
    </cfRule>
  </conditionalFormatting>
  <conditionalFormatting sqref="A44">
    <cfRule type="expression" dxfId="1" priority="2">
      <formula>IF(AND(B36&gt;=1.8, B36&lt;=2.4),TRUE,FALSE)</formula>
    </cfRule>
  </conditionalFormatting>
  <conditionalFormatting sqref="A45">
    <cfRule type="expression" dxfId="0" priority="1">
      <formula>IF(B36&gt;=2.5,TRUE,FALSE)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3F05-D81F-4106-BE03-82683E0315D3}">
  <dimension ref="A1:I3"/>
  <sheetViews>
    <sheetView workbookViewId="0"/>
  </sheetViews>
  <sheetFormatPr baseColWidth="10" defaultRowHeight="15" x14ac:dyDescent="0.25"/>
  <cols>
    <col min="3" max="3" width="32.28515625" bestFit="1" customWidth="1"/>
    <col min="4" max="4" width="23.42578125" customWidth="1"/>
    <col min="5" max="5" width="34.5703125" bestFit="1" customWidth="1"/>
    <col min="6" max="6" width="34.85546875" bestFit="1" customWidth="1"/>
    <col min="7" max="7" width="55.7109375" customWidth="1"/>
  </cols>
  <sheetData>
    <row r="1" spans="1:9" ht="45" x14ac:dyDescent="0.25">
      <c r="A1" s="1" t="s">
        <v>0</v>
      </c>
      <c r="B1" s="2" t="s">
        <v>127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140</v>
      </c>
    </row>
    <row r="2" spans="1:9" x14ac:dyDescent="0.25">
      <c r="A2" s="58" t="s">
        <v>141</v>
      </c>
      <c r="B2" s="3"/>
      <c r="C2" s="3" t="s">
        <v>142</v>
      </c>
      <c r="D2" s="3" t="s">
        <v>144</v>
      </c>
      <c r="E2" s="3" t="s">
        <v>145</v>
      </c>
      <c r="F2" s="3" t="s">
        <v>146</v>
      </c>
      <c r="G2" s="3" t="s">
        <v>147</v>
      </c>
      <c r="H2" s="3"/>
      <c r="I2" s="3"/>
    </row>
    <row r="3" spans="1:9" x14ac:dyDescent="0.25">
      <c r="A3" s="59"/>
      <c r="B3" s="3"/>
      <c r="C3" s="3" t="s">
        <v>143</v>
      </c>
      <c r="D3" s="3" t="s">
        <v>148</v>
      </c>
      <c r="E3" s="3" t="s">
        <v>149</v>
      </c>
      <c r="F3" s="3" t="s">
        <v>150</v>
      </c>
      <c r="G3" s="3" t="s">
        <v>151</v>
      </c>
      <c r="H3" s="3"/>
      <c r="I3" s="3"/>
    </row>
  </sheetData>
  <mergeCells count="1">
    <mergeCell ref="A2:A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7C3F02AD4AC94DA8EEF0F547C1DEC5" ma:contentTypeVersion="15" ma:contentTypeDescription="Create a new document." ma:contentTypeScope="" ma:versionID="5e59ebdfe2652f30681b68b1ea34969e">
  <xsd:schema xmlns:xsd="http://www.w3.org/2001/XMLSchema" xmlns:xs="http://www.w3.org/2001/XMLSchema" xmlns:p="http://schemas.microsoft.com/office/2006/metadata/properties" xmlns:ns2="5d3dcc28-4752-4560-8457-2ca22e12fefc" xmlns:ns3="2b28e686-9bfb-4b0a-be86-2379d293f5ad" targetNamespace="http://schemas.microsoft.com/office/2006/metadata/properties" ma:root="true" ma:fieldsID="c1784c3e55e263f40d76fa0a5baa8255" ns2:_="" ns3:_="">
    <xsd:import namespace="5d3dcc28-4752-4560-8457-2ca22e12fefc"/>
    <xsd:import namespace="2b28e686-9bfb-4b0a-be86-2379d293f5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dcc28-4752-4560-8457-2ca22e12fe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85e823d-31db-440c-980d-283f89df7c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8e686-9bfb-4b0a-be86-2379d293f5a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1f7bf27-2f59-4c25-b705-3fb646d2d5ff}" ma:internalName="TaxCatchAll" ma:showField="CatchAllData" ma:web="2b28e686-9bfb-4b0a-be86-2379d293f5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28e686-9bfb-4b0a-be86-2379d293f5ad" xsi:nil="true"/>
    <lcf76f155ced4ddcb4097134ff3c332f xmlns="5d3dcc28-4752-4560-8457-2ca22e12fef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972985-24A0-4290-981B-426233DC67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dcc28-4752-4560-8457-2ca22e12fefc"/>
    <ds:schemaRef ds:uri="2b28e686-9bfb-4b0a-be86-2379d293f5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24823F-0377-46E9-8D24-F2EDE57DAB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08030F-394A-4485-B2CC-80A2CA89771F}">
  <ds:schemaRefs>
    <ds:schemaRef ds:uri="2b28e686-9bfb-4b0a-be86-2379d293f5ad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5d3dcc28-4752-4560-8457-2ca22e12fefc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Historial de versiones</vt:lpstr>
      <vt:lpstr>Cómo funciona</vt:lpstr>
      <vt:lpstr>Matriz de decisión</vt:lpstr>
      <vt:lpstr>Seguridad </vt:lpstr>
    </vt:vector>
  </TitlesOfParts>
  <Manager/>
  <Company>NTT 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Helbert Sebastian Cubillos Avila</dc:creator>
  <cp:keywords/>
  <dc:description/>
  <cp:lastModifiedBy>Helbert Sebastian Cubillos Avila</cp:lastModifiedBy>
  <cp:revision/>
  <dcterms:created xsi:type="dcterms:W3CDTF">2026-03-18T15:45:22Z</dcterms:created>
  <dcterms:modified xsi:type="dcterms:W3CDTF">2026-04-01T03:04:49Z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0x010100807C3F02AD4AC94DA8EEF0F547C1DEC5</vt:lpwstr>
  </property>
  <property fmtid="{D5CDD505-2E9C-101B-9397-08002B2CF9AE}" pid="3" name="MediaServiceImageTags">
    <vt:lpwstr/>
  </property>
</Properties>
</file>