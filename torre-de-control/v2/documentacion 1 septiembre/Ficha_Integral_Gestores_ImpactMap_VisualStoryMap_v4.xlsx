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2.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suramericana.sharepoint.com/sites/GestoresTransformacindelmodelooperativoprestacinyreclamacion/Shared Documents/Gestores/3.Estructuración/3.6 Cronograma de releases alto nivel/"/>
    </mc:Choice>
  </mc:AlternateContent>
  <xr:revisionPtr revIDLastSave="0" documentId="8_{321F39B9-E444-402A-8B51-75840325FC54}" xr6:coauthVersionLast="47" xr6:coauthVersionMax="47" xr10:uidLastSave="{00000000-0000-0000-0000-000000000000}"/>
  <bookViews>
    <workbookView xWindow="-110" yWindow="-110" windowWidth="19420" windowHeight="11500" tabRatio="500" firstSheet="3" activeTab="3" xr2:uid="{00000000-000D-0000-FFFF-FFFF00000000}"/>
  </bookViews>
  <sheets>
    <sheet name="Léeme" sheetId="1" r:id="rId1"/>
    <sheet name="Definición-ImpactMap" sheetId="2" r:id="rId2"/>
    <sheet name="Estimación-Visual Story Map" sheetId="4" r:id="rId3"/>
    <sheet name="Estimación" sheetId="3" r:id="rId4"/>
    <sheet name="Equipos y Paralelización" sheetId="5" r:id="rId5"/>
    <sheet name="Requisitos Funcionales" sheetId="6" r:id="rId6"/>
    <sheet name="Requisitos No Funcionales" sheetId="7" r:id="rId7"/>
    <sheet name="Pendientes" sheetId="8" r:id="rId8"/>
    <sheet name="Riesgos" sheetId="9" r:id="rId9"/>
    <sheet name="Listas" sheetId="10" r:id="rId10"/>
  </sheets>
  <definedNames>
    <definedName name="_xlnm._FilterDatabase" localSheetId="1" hidden="1">'Definición-ImpactMap'!$A$5:$P$183</definedName>
    <definedName name="_xlnm._FilterDatabase" localSheetId="3" hidden="1">Estimación!$A$5:$O$178</definedName>
    <definedName name="_xlnm._FilterDatabase" localSheetId="7" hidden="1">Pendientes!$A$4:$F$57</definedName>
    <definedName name="_xlnm._FilterDatabase" localSheetId="5" hidden="1">'Requisitos Funcionales'!$A$4:$E$103</definedName>
    <definedName name="_xlnm._FilterDatabase" localSheetId="6" hidden="1">'Requisitos No Funcionales'!$A$4:$E$87</definedName>
    <definedName name="_xlnm._FilterDatabase" localSheetId="8" hidden="1">Riesgos!$A$4:$E$20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18" i="5" l="1"/>
  <c r="F24" i="4"/>
  <c r="F23" i="4"/>
  <c r="F22" i="4"/>
  <c r="F21" i="4"/>
  <c r="F20" i="4"/>
  <c r="F19" i="4"/>
  <c r="F18" i="4"/>
  <c r="C194" i="3"/>
  <c r="C193" i="3"/>
  <c r="C192" i="3"/>
  <c r="C191" i="3"/>
  <c r="C190" i="3"/>
  <c r="C189" i="3"/>
  <c r="C188" i="3"/>
  <c r="C187" i="3"/>
  <c r="C186" i="3"/>
  <c r="C185" i="3"/>
  <c r="C184" i="3"/>
  <c r="C183" i="3"/>
  <c r="C182" i="3"/>
  <c r="C18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tc={F8F4189E-DF7D-483C-B191-A1C63F9A3F79}</author>
    <author>tc={4269C6BA-D47E-4BF2-9609-AE7C35C8BF61}</author>
  </authors>
  <commentList>
    <comment ref="E20" authorId="0" shapeId="0" xr:uid="{F8F4189E-DF7D-483C-B191-A1C63F9A3F79}">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con Milton sobre las modificaciones para este modelo</t>
      </text>
    </comment>
    <comment ref="F29" authorId="1" shapeId="0" xr:uid="{4269C6BA-D47E-4BF2-9609-AE7C35C8BF61}">
      <text>
        <t>[Comentario encadenado]
Tu versión de Excel te permite leer este comentario encadenado; sin embargo, las ediciones que se apliquen se quitarán si el archivo se abre en una versión más reciente de Excel. Más información: https://go.microsoft.com/fwlink/?linkid=870924
Comentario:
    Esta actividad es de lo primero</t>
      </text>
    </comment>
  </commentList>
</comments>
</file>

<file path=xl/sharedStrings.xml><?xml version="1.0" encoding="utf-8"?>
<sst xmlns="http://schemas.openxmlformats.org/spreadsheetml/2006/main" count="5257" uniqueCount="1306">
  <si>
    <t>PROYECTO GESTORES — Ficha Integral de Iniciativa 2026</t>
  </si>
  <si>
    <t>Transformación del modelo operativo de Prestaciones y Reclamaciones · MVP Autorizaciones de Salud</t>
  </si>
  <si>
    <t>Qué cambió en esta versión</t>
  </si>
  <si>
    <t>Se incorporaron las definiciones de las sesiones del 18, 19 y 20 de agosto de 2026 (arranque de cronograma de releases, ejercicio de detalle funcional/técnico de Solicitud y Evaluación, y revisión técnica con Milton). Cada definición nueva se clasificó como requisito funcional (RF) o no funcional (RNF) y entró al plan y a la estimación. La columna 'Origen' permite distinguir lo que venía del archivo de requisitos v2 de lo nuevo.</t>
  </si>
  <si>
    <t>Sprint 0 — septiembre 2026</t>
  </si>
  <si>
    <t>Antes de cualquier implementación hay un Sprint 0 que ocupa todo septiembre de 2026: configuración técnica, conformación y capacitación del equipo, transferencia de contexto funcional, y bases de infraestructura y arquitectura (catálogo de eventos, contratos de API, Runtime agéntico y Control Plane). No produce funcionalidad de negocio, pero sin él el Release 1 no arranca.</t>
  </si>
  <si>
    <t>Release 1 — octubre a diciembre 2026</t>
  </si>
  <si>
    <t>El Sprint 1 inicia el 1 de octubre de 2026. La construcción del Release 1 ocupa los sprints 1 a 4 (octubre y noviembre, ~2 meses de trabajo efectivo) y el sprint 5 (7 al 22 de diciembre) queda reservado para estabilización, pruebas y entrega — no para alcance nuevo. El alcance está acotado, según el acuerdo de la sesión del 18-ago, a radicar una solicitud de autorización por un rol y un canal específicos: se excluyen modificaciones, reestudio, anulación, renovación, certificados, exterior, recién nacido e integralidad.</t>
  </si>
  <si>
    <t>Cómo se acotó el Release 1</t>
  </si>
  <si>
    <t>El alcance no se recortó a ojo. Se filtraron los requisitos de Solicitud y Plataforma que pertenecen al camino de radicación, se ordenaron por prioridad MoSCoW y se fueron admitiendo hasta agotar un presupuesto de capacidad: 8 carriles (5 de Solicitud + 3 de Plataforma) x 33 días hábiles de construcción, con 20% de holgura = 211 días hábiles. Entraron 20 requisitos que suman 209 días. Todo lo que no cupo quedó marcado en el backlog como 'Diferido al Release 2 por capacidad del MVP de diciembre', para que la decisión sea visible y reversible.</t>
  </si>
  <si>
    <t>Por qué el Release 1 es Solicitud y no Evaluación</t>
  </si>
  <si>
    <t>El equipo confirmó que la dependencia entre gestores sigue el orden del flujo: sin la solicitud ningún otro gestor tiene insumo para operar. Evaluación es el gestor más complejo (pertinencia médica) y su propio mínimo viable tomaría cerca de cuatro meses, por lo que no es viable para diciembre. Solicitud tiene terreno ganado por la reutilización de Siniestro Integral, de un lector de IA existente y de los canales actuales.</t>
  </si>
  <si>
    <t>Calendario</t>
  </si>
  <si>
    <t>100% hábil de Colombia: se excluyen sábados, domingos y los 18 festivos oficiales (incluida Semana Santa, calculados por año con la Ley Emiliani).</t>
  </si>
  <si>
    <t>Sprints</t>
  </si>
  <si>
    <t>Sprints de 11 días hábiles. Sprint 0 = todo septiembre de 2026. Sprint 1 = primer día hábil de octubre de 2026.</t>
  </si>
  <si>
    <t>Escala de talla</t>
  </si>
  <si>
    <t>XXL = 30 días hábiles (3+ sprints) · XL = 20 días (2 sprints) · L = 10 días (1 sprint) · M = 5 días (medio sprint) · S = 3 días (un cuarto de sprint) · XS = 1 día.</t>
  </si>
  <si>
    <t>Cómo se asignó la talla</t>
  </si>
  <si>
    <t>Heurística por palabras clave (arquitectura, motor, IA, integración, catálogo, etc.) más longitud del texto del requisito. Es una primera pasada reproducible, no un tallaje de equipo. La sesión del 18-ago dejó explícito que estas estimaciones preliminares están sujetas a sesgo y deben validarse con el equipo técnico; el ejercicio de dimensionamiento de agentes con el driver de NTT Data es el mecanismo acordado para hacerlo.</t>
  </si>
  <si>
    <t>Cómo se calcularon las fechas</t>
  </si>
  <si>
    <t>Cada squad tiene un número de carriles paralelos (aprox. su número de desarrolladores). Los requisitos de cada combinación squad + release se reparten entre esos carriles y cada carril avanza de forma continua según la duración de talla. Ver hoja 'Equipos y Paralelización'.</t>
  </si>
  <si>
    <t>Celdas en ámbar y verde</t>
  </si>
  <si>
    <t>Ámbar = dato PENDIENTE POR CONFIRMAR, no completado con supuestos. Verde = definición nueva proveniente de las sesiones del 18 al 20 de agosto de 2026.</t>
  </si>
  <si>
    <t>Advertencia de contexto</t>
  </si>
  <si>
    <t>La contingencia del terremoto generó atraso: al 20-ago el avance de estructuración era del 49% frente a un 68% esperado. Estas fechas asumen que el equipo técnico puede arrancar el Sprint 0 el 1 de septiembre.</t>
  </si>
  <si>
    <t>Ventanas de release (calculadas a partir de la programación real)</t>
  </si>
  <si>
    <t>Release</t>
  </si>
  <si>
    <t>Fecha inicio</t>
  </si>
  <si>
    <t>Fecha fin</t>
  </si>
  <si>
    <t>Sprint 0</t>
  </si>
  <si>
    <t>01-Sep-2026</t>
  </si>
  <si>
    <t>28-Sep-2026</t>
  </si>
  <si>
    <t>S0–S0</t>
  </si>
  <si>
    <t>Release 1</t>
  </si>
  <si>
    <t>01-Oct-2026</t>
  </si>
  <si>
    <t>30-Nov-2026</t>
  </si>
  <si>
    <t>S1–S4</t>
  </si>
  <si>
    <t>Release 2</t>
  </si>
  <si>
    <t>12-Jan-2027</t>
  </si>
  <si>
    <t>08-Jun-2027</t>
  </si>
  <si>
    <t>S7–S16</t>
  </si>
  <si>
    <t>Release 3</t>
  </si>
  <si>
    <t>20-May-2027</t>
  </si>
  <si>
    <t>24-Sep-2027</t>
  </si>
  <si>
    <t>S15–S22</t>
  </si>
  <si>
    <t>Fase posterior</t>
  </si>
  <si>
    <t>13-Sep-2027</t>
  </si>
  <si>
    <t>31-Dec-2027</t>
  </si>
  <si>
    <t>S22–S28</t>
  </si>
  <si>
    <t>Elaborado por</t>
  </si>
  <si>
    <t>Equipo de Estructuración — Proyecto Gestores · Agosto 2026</t>
  </si>
  <si>
    <t>Cada fila es un requisito funcional (RF) o no funcional (RNF) convertido en actividad de release, con su gestor, talla y sprint estimado. Incluye los requisitos del archivo v2 y las definiciones nuevas de las sesiones del 18 al 20 de agosto (columna Origen, resaltada en verde). El Mapa de Actores lista los aplicativos impactados por el Release 1, según instrucción de la plantilla.</t>
  </si>
  <si>
    <t>PLAN DE RELEASES</t>
  </si>
  <si>
    <t>MAPA DE ACTORES (solo Release 1)</t>
  </si>
  <si>
    <t>Gestor(es)
asociado(s)</t>
  </si>
  <si>
    <t>Tipo</t>
  </si>
  <si>
    <t>Origen</t>
  </si>
  <si>
    <t>Actividad o Proceso (requisito)</t>
  </si>
  <si>
    <t>Entregable / Decisión de seguimiento</t>
  </si>
  <si>
    <t>Categoría de
priorización</t>
  </si>
  <si>
    <t>Talla</t>
  </si>
  <si>
    <t>Sprint(s)
estimado(s)</t>
  </si>
  <si>
    <t>Observaciones (duda / estado de origen)</t>
  </si>
  <si>
    <t>Aplicativo</t>
  </si>
  <si>
    <t>Dominio</t>
  </si>
  <si>
    <t>Líder TI</t>
  </si>
  <si>
    <t>Responsable de negocio (APM)</t>
  </si>
  <si>
    <t>Observaciones</t>
  </si>
  <si>
    <t>Canales / Front Externos</t>
  </si>
  <si>
    <t>RNF</t>
  </si>
  <si>
    <t>Sprint 0 (definido 18–20 ago)</t>
  </si>
  <si>
    <t>Confirmación del alcance del Release 1 con negocio y con el equipo de canales: rol y canal específicos, y compatibilidad de cronogramas.</t>
  </si>
  <si>
    <t>Por definir en el taller de estimación</t>
  </si>
  <si>
    <t>Debe tener</t>
  </si>
  <si>
    <t>M</t>
  </si>
  <si>
    <t>Estado de origen: Sprint 0 — Preparación · Nota: James no había entregado su estimación de esfuerzo al 18-ago.</t>
  </si>
  <si>
    <t>Sucursal Virtual Prestador de salud y Proveedor de asistencia</t>
  </si>
  <si>
    <t>Transformación Digital</t>
  </si>
  <si>
    <t>Juan Carlos Betancur Piedrahita</t>
  </si>
  <si>
    <t>Lucrecia Andrea Lenis Tangarife; Manuela Molina Ospina</t>
  </si>
  <si>
    <t>Canal principal del prestador (70–80% del volumen)</t>
  </si>
  <si>
    <t>Transversal / Principios generales</t>
  </si>
  <si>
    <t>Conformación y onboarding del equipo: definición de squads, roles y dedicaciones, y capacitación del personal nuevo en el dominio de autorizaciones de salud.</t>
  </si>
  <si>
    <t>Riesgo señalado en la sesión del 18-ago</t>
  </si>
  <si>
    <t>Estado de origen: Sprint 0 — Preparación · Nota: Armar y capacitar un equipo nuevo puede tomar más de la mitad de septiembre.</t>
  </si>
  <si>
    <t>Sucursal virtual prestadores (En Desarrollo)</t>
  </si>
  <si>
    <t>PENDIENTE POR CONFIRMAR</t>
  </si>
  <si>
    <t>Nuevo portal en construcción; confirmar registro APM</t>
  </si>
  <si>
    <t>Habilitación de ambientes de desarrollo y pruebas, infraestructura base, repositorios, pipelines de CI/CD y estándares de código.</t>
  </si>
  <si>
    <t>Estado de origen: Sprint 0 — Preparación</t>
  </si>
  <si>
    <t>Sucursal Virtual Personas</t>
  </si>
  <si>
    <t>Laura Mejía Arango</t>
  </si>
  <si>
    <t>Front nuevo en Flutter embebido; salida del embebido de ADR</t>
  </si>
  <si>
    <t>Configuración del Runtime agéntico y del Control Plane corporativo (gateway de consumo de LLM y gestión de prompts) para el equipo de Gestores.</t>
  </si>
  <si>
    <t>L</t>
  </si>
  <si>
    <t>Estado de origen: Sprint 0 — Preparación · Nota: Depende del avance de la plataforma agéntica corporativa que construye el equipo de IA.</t>
  </si>
  <si>
    <t>SuperAPP</t>
  </si>
  <si>
    <t>Plataforma Digital SURA</t>
  </si>
  <si>
    <t>Sergio Andrés Pérez Pérez</t>
  </si>
  <si>
    <t>Erika Andrea Solórzano López</t>
  </si>
  <si>
    <t>Riesgo técnico abierto: Super App en Google Cloud vs. resto del ecosistema en Azure</t>
  </si>
  <si>
    <t>Elaboración del borrador del catálogo de eventos y de los contratos de API que servirán de base al Release 1.</t>
  </si>
  <si>
    <t>Camino crítico: sin este contrato ningún squad puede construir</t>
  </si>
  <si>
    <t>ADR</t>
  </si>
  <si>
    <t>Aseguramiento</t>
  </si>
  <si>
    <t>Alexis De Jesús Ramos Behaine</t>
  </si>
  <si>
    <t>Camilo Andrés Muñoz Uribe; Carolina Villegas Londoño</t>
  </si>
  <si>
    <t>Uno de los cuatro sistemas que hoy usa el evaluador en paralelo</t>
  </si>
  <si>
    <t>Acuerdo formal de capacidad y disponibilidad con el equipo de SuraHis para la exposición de APIs y eventos del core.</t>
  </si>
  <si>
    <t>Requiere compromiso explícito con Andrés Charry</t>
  </si>
  <si>
    <t>Estado de origen: Sprint 0 — Preparación · Nota: Dependencia crítica número uno del proyecto.</t>
  </si>
  <si>
    <t>Globalweb</t>
  </si>
  <si>
    <t>Alexis De Jesús Ramos Behaine; Germán Darío Tamayo Zuluaga</t>
  </si>
  <si>
    <t>Sandra Liliana Aristizábal Escobar</t>
  </si>
  <si>
    <t>Se decide comprobar derechos vía SuraHis y no vía Global Web</t>
  </si>
  <si>
    <t>Transferencia de contexto funcional al equipo técnico: proceso actual de autorizaciones, modelo de estados, entidades y decisiones de arquitectura ya tomadas.</t>
  </si>
  <si>
    <t>Siniestro integral</t>
  </si>
  <si>
    <t>osiris Acevedo Blanco</t>
  </si>
  <si>
    <t>Base reutilizada (front, back, API Gateway, orquestador, storage)</t>
  </si>
  <si>
    <t>Cierre del ejercicio de dimensionamiento de agentes y estimación de costo, aplicando el driver construido con NTT Data.</t>
  </si>
  <si>
    <t>Ejercicio iniciado el 21-ago de 1:30 p.m. a 5:00 p.m.</t>
  </si>
  <si>
    <t>Estado de origen: Sprint 0 — Preparación · Nota: El driver estaba en borrador al 20-ago.</t>
  </si>
  <si>
    <t>Apigee</t>
  </si>
  <si>
    <t>Carlos David Arango Castaño</t>
  </si>
  <si>
    <t>Exposición API First y MCP hacia canales, aliados y agentes</t>
  </si>
  <si>
    <t>Definición del umbral de asertividad y de las métricas de calidad de los agentes que se aplicarán desde el Release 1.</t>
  </si>
  <si>
    <t>Estado de origen: Sprint 0 — Preparación · Nota: Valor exacto del umbral por definir.</t>
  </si>
  <si>
    <t>HIS Administrativo Salud (SuraHis)</t>
  </si>
  <si>
    <t>Prestación / Distribución</t>
  </si>
  <si>
    <t>Andrés Felipe Charry Correa</t>
  </si>
  <si>
    <t>Paula Andrea Peña Sierra</t>
  </si>
  <si>
    <t>Dependencia crítica: fuente de verdad transaccional, no motor de reglas</t>
  </si>
  <si>
    <t>Validación con el equipo técnico de los tallajes y estimaciones preliminares, y ajuste del backlog del Release 1 antes de iniciar la implementación.</t>
  </si>
  <si>
    <t>P8 (Archivo Digital)</t>
  </si>
  <si>
    <t>Servicios de infraestructura de TI</t>
  </si>
  <si>
    <t>José Alejandro Betancur Mejía; Daniel Stiven Ruiz Díaz</t>
  </si>
  <si>
    <t>Daniel Stiven Ruiz Díaz</t>
  </si>
  <si>
    <t>Dependencia crítica para custodia documental; PoC con Oracle como alternativa</t>
  </si>
  <si>
    <t>Gestor de Solicitud</t>
  </si>
  <si>
    <t>Decisión técnica del lector de IA a reutilizar (ADR vs. desarrollo de TT) y prueba de concepto de la extracción documental sobre documentos reales.</t>
  </si>
  <si>
    <t>Estado de origen: Sprint 0 — Preparación · Nota: Impactada por el recorte de presupuesto del equipo de salud modular.</t>
  </si>
  <si>
    <t>Notificaciones</t>
  </si>
  <si>
    <t>Soluciones Corporativas</t>
  </si>
  <si>
    <t>Notificación proactiva basada en eventos</t>
  </si>
  <si>
    <t>Requisitos v2 (12-ago)</t>
  </si>
  <si>
    <t>Arquitectura de microservicios, agéntica, dirigida por eventos (EDA), moderna y desacoplada — se acopla a los cores existentes, no los reemplaza.</t>
  </si>
  <si>
    <t>XL</t>
  </si>
  <si>
    <t>S1–S2</t>
  </si>
  <si>
    <t>Estado de origen: Definido</t>
  </si>
  <si>
    <t>Bandejas de escalamiento</t>
  </si>
  <si>
    <t>Cristian Camilo Carrillo Ortiz</t>
  </si>
  <si>
    <t>Juan Felipe Villegas Calle</t>
  </si>
  <si>
    <t>Referencia para la bandeja de contingencia humana</t>
  </si>
  <si>
    <t>Principio "coreless": la lógica de negocio (reglas, políticas, convenios) se desacopla de los cores legados hacia dominios agénticos.</t>
  </si>
  <si>
    <t>S1</t>
  </si>
  <si>
    <t>El core (SuraHis) debe ser la fuente de la verdad transaccional, no el motor de reglas — principio validado repetidamente por arquitectura.</t>
  </si>
  <si>
    <t>XXL</t>
  </si>
  <si>
    <t>S1–S3</t>
  </si>
  <si>
    <t>Riesgo/premisa explícita: el proyecto solo tiene sentido si los cores implementan la capacidad de exponer información vía API a tiempo.</t>
  </si>
  <si>
    <t>Estado de origen: Premisa crítica / riesgo</t>
  </si>
  <si>
    <t>WhatsApp (canal)</t>
  </si>
  <si>
    <t>Canal de rescate digital y de notificación</t>
  </si>
  <si>
    <t>Se reutiliza la arquitectura de "Siniestro Integral" (Front + Back, API Gateway, orquestador, storage, colas) como base común de varios gestores.</t>
  </si>
  <si>
    <t>Interoperabilidad en Salud</t>
  </si>
  <si>
    <t>Ana Vélez Lotero</t>
  </si>
  <si>
    <t>Arquitectura 2.0 orientada a eventos ya disponible</t>
  </si>
  <si>
    <t>Se privilegia un front único reutilizable por canal/actor, en lugar de un front independiente por cada gestor.</t>
  </si>
  <si>
    <t>S2–S3</t>
  </si>
  <si>
    <t>Datalake</t>
  </si>
  <si>
    <t>Analítica/IA/Hiperautomatización</t>
  </si>
  <si>
    <t>Francisco Javier Carvajal Pinilla</t>
  </si>
  <si>
    <t>Entregable técnico del Release 3</t>
  </si>
  <si>
    <t>Diferenciación explícita comando (síncrono, se consume y desaparece) vs. evento (inmutable, usado para trazabilidad).</t>
  </si>
  <si>
    <t>S3</t>
  </si>
  <si>
    <t>Prestadores EPS</t>
  </si>
  <si>
    <t>Héctor Fabián Uribe Isaza; Juan Camilo Merizalde Gartner</t>
  </si>
  <si>
    <t>Origen del agente de pre-radicación y del homologador de CUPS que se reutilizan</t>
  </si>
  <si>
    <t>Sesión 18-ago</t>
  </si>
  <si>
    <t>Confirmar el orden de dependencia entre gestores: cada gestor requiere el evento o salida del anterior, por lo que el Gestor de Solicitud es el punto de partida obligado del flujo.</t>
  </si>
  <si>
    <t>Sin la solicitud ningún otro gestor tiene insumo para operar</t>
  </si>
  <si>
    <t>S3–S4</t>
  </si>
  <si>
    <t>Estado de origen: Nuevo — Definido en sesión 18-ago</t>
  </si>
  <si>
    <t>KONECTA (contact center)</t>
  </si>
  <si>
    <t>Actor externo — no aplicativo APM</t>
  </si>
  <si>
    <t>Link de gestión con hallazgos de seguridad; impacto contractual por reducción de preradicación</t>
  </si>
  <si>
    <t>RF</t>
  </si>
  <si>
    <t>Documento no legible nunca bloquea al usuario: siempre pasa a bandeja de revisión manual.</t>
  </si>
  <si>
    <t>Siniestro Integral</t>
  </si>
  <si>
    <t>Modelo de datos "padre-hijo": la solicitud es el padre; cada autorización por servicio/CUPS es un hijo con estado propio.</t>
  </si>
  <si>
    <t>Extrae mediante agente IA la información de los documentos adjuntos (orden médica + historia clínica).</t>
  </si>
  <si>
    <t>Genera un ID temporal como número radicador (correlation ID), y almacena la información de forma temporal.</t>
  </si>
  <si>
    <t>S</t>
  </si>
  <si>
    <t>Lleva los documentos a P8.</t>
  </si>
  <si>
    <t>XS</t>
  </si>
  <si>
    <t>Publica el evento que activa al core de salud (SuraHis) para la generación de la solicitud; ese mismo evento alimenta el flujo de solicitud/autorización para la Torre de Control.</t>
  </si>
  <si>
    <t>Si la IA no identifica el documento con certeza, el caso va a bandeja manual sin notificar al asegurado que el documento es inválido (evita falsos negativos); solo se notifica si hay certeza de que el documento no corresponde.</t>
  </si>
  <si>
    <t>Estado de origen: Definido en sesión 10-ago</t>
  </si>
  <si>
    <t>La bandeja de solicitud incompleta tiene bloqueo por exclusión mutua (mutex) mientras un analista/agente la trabaja, y un tiempo de vida (TTL) tras el cual se libera y puede escalarse.</t>
  </si>
  <si>
    <t>Por validar con negocio (ver hoja de Pendientes y Conversaciones)</t>
  </si>
  <si>
    <t>Estado de origen: Nuevo — Definido en sesión técnica 12-ago · Nota: Falta definir con negocio el valor exacto del TTL y el criterio de escalamiento por tipo de caso.</t>
  </si>
  <si>
    <t>Front nuevo (Flutter), embebido en Sucursal Virtual Personas, AVA y Portal de Prestadores; reutiliza el back/orquestador de Siniestro Integral.</t>
  </si>
  <si>
    <t>Comprobación de derechos vía API de SuraHis (no Global Web) — mayor resiliencia y flexibilidad ante cambios futuros de core.</t>
  </si>
  <si>
    <t>OCR/IA: LLM multimodal interpreta documentos directamente (15-40 seg); reutiliza el agente de pre-radicación de EPS (~93% de precisión).</t>
  </si>
  <si>
    <t>Arquitectura orientada a eventos: quien tiene autoridad sobre la entidad (normalmente SuraHis) es quien emite el evento.</t>
  </si>
  <si>
    <t>Comprobación de derechos (vigencia de póliza, mora) obligatoria al inicio del flujo, antes de pedir cualquier otro dato (se hace directamente desde el front).</t>
  </si>
  <si>
    <t>S7</t>
  </si>
  <si>
    <t>Documentos aparentemente inválidos no permiten continuar con la creación de la solicitud (agente IA light).</t>
  </si>
  <si>
    <t>Omnicanalidad real: el historial de solicitudes/autorizaciones debe verse igual sin importar el canal de origen.</t>
  </si>
  <si>
    <t>No requiere segundo factor de autenticación en el flujo de solicitud desde la app (sí se evaluará para reembolsos, por implicar pago directo).</t>
  </si>
  <si>
    <t>Front con/sin documentos dependiendo del tipo de servicio de cara al prestador; front con documentos de cara al asesor y al cliente.</t>
  </si>
  <si>
    <t>Gestor de Solicitud (Canales)</t>
  </si>
  <si>
    <t>Selección de prestador: el campo queda como opcional y se traslada a un paso posterior del flujo (después del OCR de los documentos adjuntos), donde ya se puede sugerir un prestador con datos precargados.</t>
  </si>
  <si>
    <t>Acordado con equipo de Canales/UX (James, Andrea, Carlos)</t>
  </si>
  <si>
    <t>Estado de origen: Nuevo — Definido en sesión 11-ago</t>
  </si>
  <si>
    <t>Reestudio: aplica solo cuando la autorización fue negada y el asegurado no está de acuerdo; el sistema explica el motivo, el usuario adjunta nuevos documentos con motivo en texto libre, y la reevaluación la hace el mismo evaluador que negó el caso. Se diferencia de 'documentos pendientes', que ocurre durante la evaluación por falta de soportes.</t>
  </si>
  <si>
    <t>S7–S8</t>
  </si>
  <si>
    <t>Notificación y visibilidad cruzada cliente-prestador: se notifica al cliente cuando un prestador radica una solicitud a su nombre; el cliente debe poder ver todo lo relacionado con su caso sin importar el canal de radicación, para evitar solicitudes duplicadas.</t>
  </si>
  <si>
    <t>Anulación de solicitudes: solo la puede hacer el prestador, y solo si el estado es 'en proceso'. El estado 'anulada' y su motivo deben ser visibles para el asegurado en lenguaje claro, incluyendo el caso de una autorización ya aprobada que se anula después.</t>
  </si>
  <si>
    <t>S8</t>
  </si>
  <si>
    <t>Solicitud en el exterior: flujo distinto al general — no genera una autorización tradicional; llega a una bandeja de gestión que tramita con un proveedor externo y responde al asegurado por correo.</t>
  </si>
  <si>
    <t>Pendiente con Tania Saldarriaga (Negocio)</t>
  </si>
  <si>
    <t>S8–S10</t>
  </si>
  <si>
    <t>Estado de origen: Nuevo — Definido en sesión 11-ago · Nota: Validar con el equipo de exterior si los campos/documentos pueden reutilizar el flujo general.</t>
  </si>
  <si>
    <t>Caso especial de inclusión de recién nacido para atención urgente: flujo corto e independiente, fuera del flujo general de autorizaciones (se remite al equipo de Expedición).</t>
  </si>
  <si>
    <t>'Solicitar estado de cuenta' se renombra de cara al usuario (los asegurados lo conocen como 'certificado de antigüedad') y vive dentro del módulo transversal de certificados de activos digitales, sin duplicar arquitectura.</t>
  </si>
  <si>
    <t>S8–S9</t>
  </si>
  <si>
    <t>Estado de origen: Nuevo — Definido en sesión 11-ago · Nota: Nombre definitivo aún por decidir.</t>
  </si>
  <si>
    <t>Reutilizar los canales existentes hoy para el primer release, coordinando en paralelo la estimación de esfuerzo del equipo de canales.</t>
  </si>
  <si>
    <t>Coordinar con James si su cronograma es compatible con la ventana de dos meses</t>
  </si>
  <si>
    <t>Estado de origen: Nuevo — Definido en sesión 18-ago · Nota: James no había entregado su propuesta de esfuerzo y tiempos al momento de la sesión.</t>
  </si>
  <si>
    <t>Gestor de Evaluación</t>
  </si>
  <si>
    <t>Consulta al Core (SuraHis) coberturas, vigencias, convenios y exclusiones para los controles de evaluación.</t>
  </si>
  <si>
    <t>Valida la pertinencia médica; decide autorizar, negar o escalar a evaluación manual (coherencia orden médica/historia clínica, CIE-10/CUPS, score de complejidad).</t>
  </si>
  <si>
    <t>Regla crítica: la negación nunca se hace 100% automática — toda negación exige intervención de un evaluador humano (administrativa vs. por pertinencia médica).</t>
  </si>
  <si>
    <t>Revisar la integración para consultar mora (ir directamente al core de PDN o pasar por SuraHis).</t>
  </si>
  <si>
    <t>Debería tener</t>
  </si>
  <si>
    <t>Estado de origen: Por validar</t>
  </si>
  <si>
    <t>Niveles de escalamiento: Nivel 1 automático · Nivel 2 administrativo · Niveles 3 (enfermeras/instrumentadoras) y 4 (médicos/especialistas).</t>
  </si>
  <si>
    <t>Definido parcialmente (12-ago): para Release 1 el nivel 2/3/4 se resuelve como función de SuraHis; el gestor consume vía API. Falta validar con negocio.</t>
  </si>
  <si>
    <t>Estado de origen: Por validar · Nota: ¿Está incluido dentro del alcance de Gestores o de SuraHis?</t>
  </si>
  <si>
    <t>El agente entrega un "concepto"/resumen de su análisis al escalar a la bandeja manual, para acelerar la revisión humana.</t>
  </si>
  <si>
    <t>No genera el número de solicitud de autorización/negación: deja el caso listo vía evento — el consecutivo lo genera SuraHis.</t>
  </si>
  <si>
    <t>Reutiliza el homologador de CUPS y el motor ya productivo del proyecto de autorizaciones EPS, en vez de partir de cero.</t>
  </si>
  <si>
    <t>Valida duplicidad (mismo prestador/documentos o mismo tipo de servicio) consultando histórico en SuraHis; casos sospechosos van a bandeja manual con nivel + prioridad + explicación, sin negación automática.</t>
  </si>
  <si>
    <t>Estado de origen: Definido en sesión 10-ago · Nota: Falta definir con negocio/equipo médico la ventana de tiempo y el criterio exacto por tipo de servicio.</t>
  </si>
  <si>
    <t>Consume la información ya extraída y estructurada por el gestor de Solicitud — no relee los documentos originales.</t>
  </si>
  <si>
    <t>Debe consultar políticas/reglas a SuraHis manteniendo también reglas propias de agente (modelo híbrido).</t>
  </si>
  <si>
    <t>Sigue abierto — tema profundizado 12-ago (ver nueva fila de Coordinación sobre dueño de las reglas); aplica también a Evaluación.</t>
  </si>
  <si>
    <t>S8–S11</t>
  </si>
  <si>
    <t>Estado de origen: Por cerrar · Nota: Línea de responsabilidad entre SuraHis y el gestor sin cerrar.</t>
  </si>
  <si>
    <t>Arquitectura híbrida multiagente propuesta: agente determinístico (coberturas/exclusiones) + agente de contexto (fraude/premium) + agente LLM (pertinencia médica).</t>
  </si>
  <si>
    <t>Podría tener</t>
  </si>
  <si>
    <t>S10–S12</t>
  </si>
  <si>
    <t>Estado de origen: Propuesta preliminar</t>
  </si>
  <si>
    <t>Principio de diseño: la negación siempre debe ser determinística y trazable — nunca una decisión probabilística del LLM.</t>
  </si>
  <si>
    <t>S10–S11</t>
  </si>
  <si>
    <t>Hoy el evaluador humano usa 4 sistemas en paralelo (ADP, Global Web, ADR, P8) — meta explícita: unificar en una sola experiencia.</t>
  </si>
  <si>
    <t>S11</t>
  </si>
  <si>
    <t>Estado de origen: Meta definida</t>
  </si>
  <si>
    <t>Es, junto con Solicitud, el gestor con mayor avance de diseño a la fecha del último seguimiento.</t>
  </si>
  <si>
    <t>Estado de origen: En avance</t>
  </si>
  <si>
    <t>Sesión 19-ago</t>
  </si>
  <si>
    <t>Capa de duplicados determinística, sin componente de IA: aplica reglas de negocio por especialidad y ventana de tiempo (ej. dos citas con el mismo especialista en un lapso corto cuentan como duplicado aunque sean solicitudes distintas).</t>
  </si>
  <si>
    <t>Estado de origen: Nuevo — Definido en sesión 19-ago</t>
  </si>
  <si>
    <t>El gestor no rellena información faltante ni garantiza la completitud de la información: entra a operar cuando los atributos sobre la información ya están garantizados o descartados.</t>
  </si>
  <si>
    <t>S12</t>
  </si>
  <si>
    <t>Si durante la evaluación falta un dato que no era obligatorio en la solicitud pero sí es necesario para aplicar una regla de pertinencia (ej. peso o edad), no se devuelve la solicitud: se envía a bandeja humana indicando qué dato faltó y para qué regla.</t>
  </si>
  <si>
    <t>Estado de origen: Nuevo — Definido en sesión 19-ago · Nota: Sin ejemplo real validado con negocio.</t>
  </si>
  <si>
    <t>Evaluación estructurada en dos llamados al core en paralelo: reglas duras (producto, diagnóstico, CIE-10, cédula, vigencia de póliza, pagos — motor de reglas sin componente agéntico) y pertinencia médica (con componente agéntico: interpretación semántica de exclusiones, carencias y preexistencias descritas en texto libre). Solo si ambas se cumplen la solicitud pasa a la bandeja de autorizaciones.</t>
  </si>
  <si>
    <t>Si alguna falla, va a bandeja humana con la nota correspondiente</t>
  </si>
  <si>
    <t>S12–S15</t>
  </si>
  <si>
    <t>Sesión 20-ago</t>
  </si>
  <si>
    <t>La bandeja de 'listo para coordinación' tras una evaluación exitosa es la misma bandeja de 'pago automático'.</t>
  </si>
  <si>
    <t>S12–S13</t>
  </si>
  <si>
    <t>Estado de origen: Nuevo — Aclarado en sesión 20-ago</t>
  </si>
  <si>
    <t>Auditoría de decisiones automáticas: detectar desviaciones estadísticas y realizar revisión manual periódica por muestreo, especialmente en pertinencia médica, por riesgo de fraude sobre autorizaciones marcadas como automáticas que nunca se revisan.</t>
  </si>
  <si>
    <t>Aplica tanto a lo que el agente rechaza como a lo que acepta, y a todos los agentes que se monten</t>
  </si>
  <si>
    <t>Estado de origen: Nuevo — Definido en sesión 20-ago</t>
  </si>
  <si>
    <t>Gobernanza de reglas: en vez de traer el motor de reglas al gestor, este consume una tool que invoca el motor de reglas del core, de forma que el día que exista un motor coreless solo haya que redirigir esa tool.</t>
  </si>
  <si>
    <t>Estrategia Coreless: los cores como sistemas de registro, no de toma de decisiones</t>
  </si>
  <si>
    <t>S13–S15</t>
  </si>
  <si>
    <t>Estado de origen: Nuevo — Definido en sesión 19-ago · Nota: Cómo se sostiene en el tiempo la relación de gobernanza entre el core (dueño de las reglas) y el gestor (que las opera).</t>
  </si>
  <si>
    <t>SuraHis dispone de un módulo parametrizable de reglas duras que permite eliminarlas, modificarlas y ajustarlas; se mantiene como única fuente de verdad mediante carga en caché hacia el gestor.</t>
  </si>
  <si>
    <t>Preguntar por chat a Andrés Charry</t>
  </si>
  <si>
    <t>S13–S14</t>
  </si>
  <si>
    <t>Estado de origen: Nuevo — Definido parcialmente (19 y 20-ago) · Nota: Pendiente consultar a Andrés Charry dónde viven exactamente las reglas del core y si se re-ejecutan al momento de crear la autorización.</t>
  </si>
  <si>
    <t>El Gestor de Evaluación no es transversal: está diseñado específicamente para autorizaciones de salud, aunque sus tres capas conceptuales (duplicados, evaluación, auditoría) sí pueden compartirse como patrón de diseño con otros procesos.</t>
  </si>
  <si>
    <t>S14</t>
  </si>
  <si>
    <t>La solicitud de autorización se desglosa en autorizaciones asociadas a un solo servicio, no a nivel de ítem o insumo individual (salvo la excepción de EPS, que desglosa a mayor detalle por temas legales).</t>
  </si>
  <si>
    <t>S15</t>
  </si>
  <si>
    <t>Estado de origen: Nuevo — Definido en sesión 20-ago · Nota: Cómo entregará el nuevo core las autorizaciones al gestor: una por una por procedimiento o agrupadas por paquete.</t>
  </si>
  <si>
    <t>Si un servicio no se puede autorizar por la póliza voluntaria, esa solicitud hijo se niega y se crea una nueva solicitud hijo de integralidad, que empieza desde cero con la radicación en EPS SAS / Salud Web.</t>
  </si>
  <si>
    <t>S15–S16</t>
  </si>
  <si>
    <t>Cada gestor tendría base de datos propia, independiente y desacoplada.</t>
  </si>
  <si>
    <t>Diferido al Release 2 por capacidad del MVP de diciembre</t>
  </si>
  <si>
    <t>Estado de origen: Por cerrar · Nota: El patrón de acceso entre gestores aún no está cerrado.</t>
  </si>
  <si>
    <t>La interoperabilidad de historia clínica ya cuenta con una arquitectura 2.0 orientada a eventos (colas) a la que los gestores/Torre de Control pueden suscribirse directamente, en lugar de construir un componente de integración propio.</t>
  </si>
  <si>
    <t>S7–S9</t>
  </si>
  <si>
    <t>Estado de origen: Nuevo — Confirmado en sesión de Interoperabilidad 11-ago</t>
  </si>
  <si>
    <t>Adoptar la metodología de estimar por cada gestor un escenario mínimo viable y uno completo/deseable, para sustentar ante los patrocinadores el alcance del primer release con datos comparables.</t>
  </si>
  <si>
    <t>Estado de origen: Nuevo — Definido en sesión 18-ago · Nota: Propuesta de Sebastián Sepúlveda; el mínimo viable de Evaluación tomaría cerca de cuatro meses.</t>
  </si>
  <si>
    <t>Plataforma agéntica corporativa en construcción con el equipo de IA: Runtime agéntico (donde corren los agentes y sus tools) más Control Plane (gateway de consumo de LLM y gestión de prompts). Entregará parte —no todas— las capacidades de observabilidad genéricas que necesita la Torre de Control.</t>
  </si>
  <si>
    <t>Estado de origen: Nuevo — Definido en sesión 19-ago · Nota: El resto de capacidades de observabilidad deberá construirse específicamente para Gestores.</t>
  </si>
  <si>
    <t>Distinguir eventos funcionales (de las entidades de negocio, emitidos por su dueño) de eventos técnicos o de funcionamiento (emitidos por los propios gestores sobre cómo procesaron algo: modelo usado, prompt aplicado, resultado obtenido).</t>
  </si>
  <si>
    <t>S9–S10</t>
  </si>
  <si>
    <t>La Solicitud y la Autorización hacen parte del core (SuraHis), por lo que SuraHis debe garantizar la emisión de eventos por cada cambio de estado. Global Web queda únicamente para expedición.</t>
  </si>
  <si>
    <t>El dueño de la entidad es quien emite el evento · Diferido al Release 2 por capacidad del MVP de diciembre</t>
  </si>
  <si>
    <t>Marco de buenas prácticas para sistemas agénticos: criterios de asertividad y trazabilidad para la medición de calidad de cada agente.</t>
  </si>
  <si>
    <t>S10</t>
  </si>
  <si>
    <t>Estado de origen: Nuevo — Propuesta en discusión (20-ago) · Nota: Propuesta aditiva de Didier con Raúl; requiere refinamiento de ejemplos.</t>
  </si>
  <si>
    <t>Versionamiento de sistemas agénticos, incluyendo la definición de si la data de reglas del core debe versionarse junto con el agente, y capacidad de rollback ante una liberación fallida.</t>
  </si>
  <si>
    <t>Estado de origen: Nuevo — Propuesta en discusión (20-ago) · Nota: Si las reglas están en el core y el agente en el gestor, ¿cómo se versiona y qué implica para el rollback?</t>
  </si>
  <si>
    <t>Concepto de 'function fitness': pruebas equivalentes a las de desarrollo de software aplicadas a agentes, para definir cuándo un modelo es maduro para liberarse a un cliente y en qué momento se considera autónomo.</t>
  </si>
  <si>
    <t>Estado de origen: Nuevo — Propuesta en discusión (20-ago)</t>
  </si>
  <si>
    <t>Driver de dimensionamiento de agentes: parametrizar la complejidad de cada agente para aproximar con mayor certidumbre el costo de su implementación.</t>
  </si>
  <si>
    <t>Estado de origen: Nuevo — En construcción (20-ago) · Nota: Borrador en construcción con apoyo de NTT Data y Diego; pendiente de compartir antes del ejercicio de estimación.</t>
  </si>
  <si>
    <t>Recibe solicitudes de 3 públicos: prestador (70-80% del volumen, foco prioritario), cliente/asegurado (~15%) y asesor (~5%, tendencia a minimizarse).</t>
  </si>
  <si>
    <t>Meta: pedir solo identificación (aplica solo para prestador y asesor) + 2 documentos (historia clínica y orden médica); el cliente nunca digita datos, solo adjunta.</t>
  </si>
  <si>
    <t>Autorización automática (algunas no requieren soportes) en servicios clasificados como "nivel 1"; para los niveles 3 y 4 (alto costo/riesgo) siempre van a evaluación manual.</t>
  </si>
  <si>
    <t>Sin cambios esta semana — se mantiene 'por validar' con Negocio.</t>
  </si>
  <si>
    <t>Integralidad automática con EPS Sura cuando la póliza voluntaria no cubre el servicio y se genera la negación de una solicitud (régimen contributivo activo).</t>
  </si>
  <si>
    <t>Estado de origen: Por validar · Nota: Validar con Negocio, dado que se trabaja desde SuraHis.</t>
  </si>
  <si>
    <t>Nueva funcionalidad "Reestudio": permite pedir reevaluación de una solicitud negada adjuntando nueva evidencia u observaciones.</t>
  </si>
  <si>
    <t>Estado de origen: Por validar · Nota: Revisemos con Negocio.</t>
  </si>
  <si>
    <t>Se incorpora como requisito funcional el "rescate de la solicitud" cuando la radicación no se concluye, sin importar en qué paso quede (antes no estaba documentado).</t>
  </si>
  <si>
    <t>Modelo de 'solicitud laxa': la solicitud se crea con campos comodín (valores 'desconocido') que se completan progresivamente a medida que el gestor o una persona los identifica; solo se materializa como solicitud formal en el core al alcanzar completitud.</t>
  </si>
  <si>
    <t>Falta formalizar en documento de arquitectura y validar con negocio los campos considerados críticos</t>
  </si>
  <si>
    <t>Estado de origen: Nuevo — Definido en sesión técnica 12-ago</t>
  </si>
  <si>
    <t>Flujo: Front → Storage temporal de documentos → integración asíncrona con P8; PoC en curso con Oracle 23/26 AI (IA embebida) como alternativa.</t>
  </si>
  <si>
    <t>Estado de origen: En PoC</t>
  </si>
  <si>
    <t>Integración con NEXO vía API (patrón API First) + exposición como MCP para agentes conversacionales (protocolo Agent-to-Agent).</t>
  </si>
  <si>
    <t>Custodia temporal de historia clínica/orden médica en componente propio.</t>
  </si>
  <si>
    <t>Estado de origen: Por definir · Nota: Pendiente definir cifrado, acceso y retención.</t>
  </si>
  <si>
    <t>Riesgo técnico abierto: Super App en Google Cloud vs. resto del ecosistema en Azure.</t>
  </si>
  <si>
    <t>Estado de origen: Riesgo abierto</t>
  </si>
  <si>
    <t>Modelo de datos de la bandeja de solicitud: entidad flexible con campos por defecto 'desconocido', bloqueo por exclusión mutua (mutex) con tiempo de vida (TTL) configurable, y generación de evento hacia el core solo al alcanzar completitud.</t>
  </si>
  <si>
    <t>Estado de origen: Nuevo — Definido en sesión técnica 12-ago · Nota: TTL exacto pendiente de definir con negocio.</t>
  </si>
  <si>
    <t>Alcance acotado del primer entregable de diciembre: radicar una solicitud de autorización para un rol y un canal específicos, dejando modificaciones y otros trámites para un entregable posterior.</t>
  </si>
  <si>
    <t>Refinar y validar internamente antes de someterla a negocio/TI (Tania, Sebastián, Vivi) · Diferido al Release 2 por capacidad del MVP de diciembre</t>
  </si>
  <si>
    <t>Estado de origen: Nuevo — Propuesta en sesión 18-ago · Nota: ¿Se valida acotar el primer entregable al gestor de Solicitud, por un rol y un canal específicos?</t>
  </si>
  <si>
    <t>Reutilizar el componente de Siniestro Integral a nivel de back para el primer release, en lugar de construir desde cero.</t>
  </si>
  <si>
    <t>Estado de origen: Nuevo — Definido en sesión 18-ago · Nota: Confirmar con el equipo técnico si el ajuste de reutilización es viable dentro de la ventana de dos meses.</t>
  </si>
  <si>
    <t>Reutilizar un lector de IA existente para la extracción documental: definir si se usa el de ADR o el que TT viene construyendo para historia clínica.</t>
  </si>
  <si>
    <t>Estado de origen: Nuevo — Por definir en sesión 18-ago · Nota: Decisión pendiente entre ADR y el desarrollo de TT; impactada por el recorte de presupuesto del equipo de salud modular.</t>
  </si>
  <si>
    <t>Definir si el radicado debe quedar garantizado en SuraHis desde el primer release, o si basta con que el gestor lo traiga hasta su frontera a la espera de una integración posterior.</t>
  </si>
  <si>
    <t>Estado de origen: Nuevo — Por definir en sesión 18-ago · Nota: Pendiente técnico abierto en la sesión.</t>
  </si>
  <si>
    <t>El agente receptor no asume que los archivos llegan bien identificados ni separados: debe detectar historia clínica y orden en un solo PDF, en desorden, comprimidos en ZIP o cifrados con contraseña (usualmente la cédula del paciente).</t>
  </si>
  <si>
    <t>Depende de que el agente infiera la contraseña vía razonamiento en lenguaje natural · Diferido al Release 2 por capacidad del MVP de diciembre</t>
  </si>
  <si>
    <t>Estado de origen: Nuevo — Definido en sesión 19-ago · Nota: Cómo manejar archivos cifrados cuando la contraseña no viene indicada en observaciones.</t>
  </si>
  <si>
    <t>Modelo asíncrono de bandeja de solicitudes (recibida / notificación cuando requiere atención) en lugar de un flujo sincrónico en línea, para no exponer al usuario a la latencia del procesamiento.</t>
  </si>
  <si>
    <t>Decisión de experiencia acordada en la sesión · Diferido al Release 2 por capacidad del MVP de diciembre</t>
  </si>
  <si>
    <t>Alertar al asegurado cuando el documento cargado no corresponde a lo esperado, sin afectar su experiencia ni bloquear la radicación.</t>
  </si>
  <si>
    <t>Capa de agentes expertos: un agente por tipo de documento (historia clínica, orden médica, factura), enrutado según el tipo de solicitud. Esta capa es reutilizable y transversal a otros procesos y negocios.</t>
  </si>
  <si>
    <t>Capa de salida configurable: arma el resultado final según lo que cada core consumidor necesite. El mismo documento puede requerir campos distintos según el proceso que lo consuma (ej. autonomía no requiere CUPS pero sí resumen clínico y diagnóstico).</t>
  </si>
  <si>
    <t>No hay rechazo automático: todo lo que el agente no puede resolver pasa a bandeja humana indicando por qué. Es el humano quien decide rechazar, rescatar información con el usuario o cancelar; la cancelación queda fuera del alcance del gestor.</t>
  </si>
  <si>
    <t>Capa de auditoría: analiza el histórico de solicitudes y reporta patrones a la Torre de Control (ej. porcentaje de casos en los que no se logró extraer el CUPS). Inicialmente es observabilidad pasiva, sin capacidad de decisión.</t>
  </si>
  <si>
    <t>Se descarta la auto-reparación activa en el alcance inicial · Diferido al Release 2 por capacidad del MVP de diciembre</t>
  </si>
  <si>
    <t>Umbral de asertividad: cada campo extraído viene con un porcentaje de confianza. Solo por encima del umbral definido (referencia discutida: 90%) el gestor actúa de forma autónoma; por debajo pasa a flujo humano, incluso si la tarea aparenta estar completa y el campo con baja confianza es crítico (ej. CUPS).</t>
  </si>
  <si>
    <t>Estado de origen: Nuevo — Definido en sesión 19-ago · Nota: Valor exacto del umbral por definir.</t>
  </si>
  <si>
    <t>Mecanismo de muestreo humano sobre los casos que el agente resuelve correctamente, no solo sobre los rechazos, para verificar que los aciertos realmente lo son.</t>
  </si>
  <si>
    <t>Estado de origen: Nuevo — Definido en sesión 19-ago · Nota: Hoy nadie revisa los casos resueltos bien, por lo que no hay certeza de su calidad.</t>
  </si>
  <si>
    <t>Límite de auto-reparación de prompts del agente auditor: no puede ser totalmente autónomo sin acompañamiento humano, porque una corrección puede mejorar un campo y empeorar otro simultáneamente.</t>
  </si>
  <si>
    <t>Pendiente de conversación con el equipo de IA (Julián / Daimer)</t>
  </si>
  <si>
    <t>Estado de origen: Nuevo — Limitación tecnológica por resolver (19 y 20-ago) · Nota: Hasta qué punto tecnológicamente se puede asumir que un agente se auto-repare — calificado como el punto más complejo.</t>
  </si>
  <si>
    <t>Agente juez que valide en tiempo real usando un modelo distinto al del agente evaluado, para que el contraste tenga garantía real.</t>
  </si>
  <si>
    <t>Estado de origen: Nuevo — Propuesta en discusión (19-ago) · Nota: Si el juez usa el mismo tipo de modelo que el agente evaluado no hay garantía; propuesta de usar dos modelos distintos.</t>
  </si>
  <si>
    <t>Validar qué tipos de archivo puede almacenar el repositorio documental de los gestores (si admite ZIP o requiere descompresión previa).</t>
  </si>
  <si>
    <t>S11–S12</t>
  </si>
  <si>
    <t>Estado de origen: Nuevo — Abierto (19-ago) · Nota: Falta validar en qué repositorio documental quedan los archivos.</t>
  </si>
  <si>
    <t>Flujo de activación confirmado: el Front informa a Siniestro Integral, este guarda la información dentro de SuraHis, y es SuraHis quien activa al gestor.</t>
  </si>
  <si>
    <t>Estado de origen: Nuevo — Definido en sesión 19-ago · Nota: Alinear con canales (James) cómo disponen hoy el envío de archivos desde sucursal virtual y el nuevo portal proveedor.</t>
  </si>
  <si>
    <t>Gestor de Asignación (interno)</t>
  </si>
  <si>
    <t>La asignación al equipo se distribuye según reglas de criticidad (marcas en salud, PEP, edad del asegurado, urgencia, quejas/tutelas, diagnósticos de riesgo) entre evaluadores disponibles por nivel.</t>
  </si>
  <si>
    <t>Estado de origen: Por validar / posible duplicado con SuraHis · Nota: Se declara en el PPT original que esta función "va en SuraHis".</t>
  </si>
  <si>
    <t>Para solicitudes pendientes por gestión se habilita la reasignación entre niveles.</t>
  </si>
  <si>
    <t>Estado de origen: Por validar / posible duplicado con SuraHis</t>
  </si>
  <si>
    <t>Cada solicitud debe tener un tiempo de respuesta asignado (100% de las solicitudes en menos de 24 horas).</t>
  </si>
  <si>
    <t>Se debe habilitar la opción de solicitud de requisitos (notificar al cliente); al adjuntar el soporte, se encola de nuevo con prioridad alta.</t>
  </si>
  <si>
    <t>Con la negación de un servicio se debe activar la radicación automática de la solicitud de integralidad a EPS Sura.</t>
  </si>
  <si>
    <t>Se debe habilitar la opción de resignación manual de solicitudes a otro evaluador (novedades con el evaluador asignado inicialmente).</t>
  </si>
  <si>
    <t>S16</t>
  </si>
  <si>
    <t>La notificación al cliente por incumplimiento de SLA se dispara vía evento publicado por la Torre de Control; el canal (WhatsApp/app) entrega el mensaje, no el gestor.</t>
  </si>
  <si>
    <t>Estado de origen: Definido en sesión 10-ago · Nota: Pendiente validar arquitectura de eventos con Víctor.</t>
  </si>
  <si>
    <t>Gestor de Coordinación</t>
  </si>
  <si>
    <t>Direcciona el servicio ya autorizado al prestador adecuado: simple (un solo prestador posible, sin IA) o múltiple (evalúa tarifa/cercanía/especialización, con IA).</t>
  </si>
  <si>
    <t>3 casos de negocio: producto modular (direccionamiento automático) · clásica/global (cliente elige, se valida convenio) · sin preferencia (se recomienda el mejor).</t>
  </si>
  <si>
    <t>S16–S17</t>
  </si>
  <si>
    <t>Criterios de priorización de prestadores: quejas (Medallia), satisfacción, disponibilidad de citas, "suficiencia de la red" y tarifa del prestador.</t>
  </si>
  <si>
    <t>Si el prestador elegido no tiene convenio vigente, se asigna automáticamente el mejor rankeado y se notifica al cliente.</t>
  </si>
  <si>
    <t>S17</t>
  </si>
  <si>
    <t>Si no hay red contratada en la ciudad, se recomienda la ciudad más cercana o se escala a Convenios (bandeja de convenios en SuraHis).</t>
  </si>
  <si>
    <t>S17–S18</t>
  </si>
  <si>
    <t>Notifica tanto al asegurado (prestador asignado) como al prestador (autorización pendiente de atender).</t>
  </si>
  <si>
    <t>Objetivo estratégico: mapear automáticamente la autorización contra el convenio/tarifa para pagar más rápido y reducir glosas.</t>
  </si>
  <si>
    <t>Gestor de Coordinación / Asignación</t>
  </si>
  <si>
    <t>Para el Release 1, la asignación interna de casos a evaluadores/niveles la resuelve SuraHis; el gestor de Coordinación/Distribución consume esa asignación como herramienta vía API (sin duplicar la lógica). La evolución a otros cores/negocios queda prevista para fases futuras.</t>
  </si>
  <si>
    <t>Falta validación formal con negocio</t>
  </si>
  <si>
    <t>S18</t>
  </si>
  <si>
    <t>Estado de origen: Nuevo — Definido en sesión técnica 12-ago · Nota: Aclara si 'Asignación' (interno) y 'Coordinación' (externo) son la misma función.</t>
  </si>
  <si>
    <t>Arranca con motor 100% determinístico (reglas duras de elegibilidad, convenios, capacidad, ubicación y costo).</t>
  </si>
  <si>
    <t>S18–S20</t>
  </si>
  <si>
    <t>LLM reservado solo para casos no estructurados o de explicación — no es prioridad para el arranque.</t>
  </si>
  <si>
    <t>S19</t>
  </si>
  <si>
    <t>Niveles de madurez agéntica: Nivel 1 determinístico → Nivel 2 + asistente explicativo → Nivel 3 agente autónomo (futuro, fuera de alcance actual).</t>
  </si>
  <si>
    <t>S19–S20</t>
  </si>
  <si>
    <t>Estado de origen: Definido (roadmap)</t>
  </si>
  <si>
    <t>Integración con prestadores externos preferiblemente vía API con retroalimentación de estados.</t>
  </si>
  <si>
    <t>S20</t>
  </si>
  <si>
    <t>Bandeja "human in the loop" para casos donde ni las reglas ni la recomendación logran asignar un prestador.</t>
  </si>
  <si>
    <t>S20–S22</t>
  </si>
  <si>
    <t>Es uno de los gestores menos profundizados técnicamente a la fecha — "no se ha hecho zoom" todavía.</t>
  </si>
  <si>
    <t>S21</t>
  </si>
  <si>
    <t>Estado de origen: Sin profundizar</t>
  </si>
  <si>
    <t>Pendiente definir el dueño y el mecanismo de sincronización de las reglas de direccionamiento/convenio: hoy viven en SuraHis (componente desacoplado, no un core monolítico); se evalúa si se replican hacia el gestor para dar mayor autonomía y capacidad agéntica.</t>
  </si>
  <si>
    <t>Ver hoja de Pendientes y Conversaciones</t>
  </si>
  <si>
    <t>S21–S22</t>
  </si>
  <si>
    <t>Estado de origen: Nuevo — Tema no claro, discutido 12-ago sin cierre · Nota: Negocio pidió mantener la capacidad de administrar/cambiar las reglas de convenio.</t>
  </si>
  <si>
    <t>Gestor de Monitoreo (Torre de Control)</t>
  </si>
  <si>
    <t>Renombrado de "Monitoreo" a "Torre de Control" por ampliación de alcance durante las sesiones.</t>
  </si>
  <si>
    <t>Estado de origen: Sin iniciar (a la fecha del PPT)</t>
  </si>
  <si>
    <t>Monitorea el ciclo de vida completo de la autorización: cumplimiento de SLA/ANS, carga de trabajo y trazabilidad.</t>
  </si>
  <si>
    <t>Regla explícita: no se monitorea todo lo que llega, solo lo que "se sale de lo esperado" — la criticidad varía por tipo de caso.</t>
  </si>
  <si>
    <t>Visión ampliada: capacidades proactivas (contactar directamente al cliente/prestador) y potestad de intervenir otros gestores.</t>
  </si>
  <si>
    <t>Responsable de detectar comportamiento anómalo de los agentes (ej. ratio de rechazos fuera de lo normal) y activar mejora continua.</t>
  </si>
  <si>
    <t>Expone información distinta según el actor consultante (prestador, cliente, asesor), enmascarando datos sensibles.</t>
  </si>
  <si>
    <t>Rescate digital automático: si falla el canal al radicar, contacta por WhatsApp/app para continuar el proceso, sin pasar por bandeja manual.</t>
  </si>
  <si>
    <t>Detecta solicitudes repetidas (2 o más veces) con las mismas características y activa el mismo flujo de rescate con mensaje diferenciado.</t>
  </si>
  <si>
    <t>Notificaciones basadas en eventos: el Core informa tiempos por etapa, la Torre de Control detecta incumplimiento de SLA y publica un evento (no notifica directo; lo hace el canal que lo consume).</t>
  </si>
  <si>
    <t>Estado de origen: Definido en sesión 10-ago / por validar arquitectura · Nota: Pendiente validar formalmente con Víctor (arquitectura).</t>
  </si>
  <si>
    <t>Notifica al asegurado ante incumplimiento de SLA (mensaje de acompañamiento) y alerta internamente a evaluadores/líderes por casos por vencer o desborde de capacidad.</t>
  </si>
  <si>
    <t>Requiere vista individual (línea de tiempo por solicitud) y vista grupal/masiva (operación agregada) para habilitar gestión proactiva.</t>
  </si>
  <si>
    <t>La Torre de Control no emite los eventos de cambio de estado (los emite el componente dueño de ese estado); se alimenta de ellos, toma decisiones, genera accionables/comandos/mensajes y construye vistas materializadas de trazabilidad y observabilidad.</t>
  </si>
  <si>
    <t>Aplicar de forma consistente a todos los gestores</t>
  </si>
  <si>
    <t>Estado de origen: Nuevo — Definido (respuesta de arquitectura compartida 11-ago)</t>
  </si>
  <si>
    <t>Arquitectura orientada a eventos (EDA): consume eventos de todos los gestores y cores, incluida SuraHis.</t>
  </si>
  <si>
    <t>S18–S19</t>
  </si>
  <si>
    <t>El almacenamiento de eventos vive en un bus/componente dedicado, no exclusivo de este gestor — múltiples consumidores pueden leerlo.</t>
  </si>
  <si>
    <t>Pendiente definir si se expone una API única con filtrado por perfil o múltiples APIs por actor.</t>
  </si>
  <si>
    <t>Estado de origen: Por definir · Nota: Remitido al equipo de arquitectura.</t>
  </si>
  <si>
    <t>Reto de integración en tiempo real con prestadores — hoy no existe (solo portal con interacción manual).</t>
  </si>
  <si>
    <t>Estado de origen: Riesgo / reto abierto</t>
  </si>
  <si>
    <t>Datalake de autorizaciones como entregable técnico del Release 3 (feb-abr 2027), con apoyo del arquitecto de datos.</t>
  </si>
  <si>
    <t>Estado de origen: Planeado (Release 3)</t>
  </si>
  <si>
    <t>Concepto en discusión: 'agente auditor' transversal que retroalimente a los gestores con aprendizaje continuo a partir de la trazabilidad (bandejas humanas, decisiones tomadas), para reducir con el tiempo la dependencia de intervención humana.</t>
  </si>
  <si>
    <t>Ver hoja de Pendientes y Conversaciones — requiere sesión dedicada</t>
  </si>
  <si>
    <t>S19–S21</t>
  </si>
  <si>
    <t>Estado de origen: Nuevo — Propuesta en discusión, sin decisión · Nota: Debate extenso sin resolver sobre si esto vive en Torre de Control o requiere comunicación entre agentes.</t>
  </si>
  <si>
    <t>Controlar los niveles de autonomía de los gestores agénticos.</t>
  </si>
  <si>
    <t>Entregar información a distintos canales en el lenguaje requerido por cada actor, registrando canal de destino, fecha de envío, tipo de mensaje y resultado de entrega (WhatsApp, correo, portal cliente, portal prestador y notificación interna al equipo).</t>
  </si>
  <si>
    <t>Detección de anomalías y fraude como capacidad agéntica, aprovechando la vista panorámica que el core no tendría capacidad dedicada para generar.</t>
  </si>
  <si>
    <t>Estado de origen: Nuevo — Definido en sesión 19-ago · Nota: A qué nivel debe operar la detección (histórico vía Data Lake vs. inmediato desde otras fuentes).</t>
  </si>
  <si>
    <t>Medir KPIs de eficiencia y productividad: tiempo de ciclo promedio, tiempo de espera, tiempo de atención y casos procesados, cerrados y abiertos por actor.</t>
  </si>
  <si>
    <t>Estado de origen: Nuevo — Propuesta en sesión 19-ago · Nota: Definición formal de los indicadores de la capa de correlación/insights aún pendiente.</t>
  </si>
  <si>
    <t>Reportar a los líderes de operación cuando un equipo esté saturado o dejando de recibir autorizaciones.</t>
  </si>
  <si>
    <t>Estado de origen: Nuevo — Abierto (19-ago) · Nota: Dónde verán esos reportes: ¿visual aparte, dentro de SuraHis, o correo?</t>
  </si>
  <si>
    <t>Detectar cuentas por pagar próximas a vencer y generar alertas, evitando llamadas de prestadores preguntando por pagos demorados.</t>
  </si>
  <si>
    <t>Ejemplo de valor de negocio planteado por Johny Zuleta</t>
  </si>
  <si>
    <t>S20–S21</t>
  </si>
  <si>
    <t>El Data Lake es una fuente más de información para la Torre de Control (solo lectura, no consumo bidireccional): viene curado y con calidad, pero con frescura mínima de T-1, por lo que no sirve para decisiones en tiempo real.</t>
  </si>
  <si>
    <t>Corrige la capacidad 'consumo bidireccional del Data Lake' del caso de negocio original</t>
  </si>
  <si>
    <t>Estado de origen: Nuevo — Definido en sesión 19-ago · Nota: Alcance exacto del consumo bidireccional del caso de negocio — escalado a Viviana.</t>
  </si>
  <si>
    <t>Arquitectura tipo Lambda: vía rápida de eventos en tiempo real más vía lenta de productos del Data Lake, con capas de consolidación (vistas, sin capacidad agéntica), correlación (agéntica, genera insights) y toma de decisiones (alertar, priorizar, invocar herramientas hacia el core).</t>
  </si>
  <si>
    <t>Estado de origen: Nuevo — Definido en sesiones 19 y 20-ago · Nota: Es difícil construir la capa de insight sin saber aún qué indicadores se quieren medir y controlar.</t>
  </si>
  <si>
    <t>La capa de ingesta y consolidación debe tener capacidad de streaming, no procesamiento por lotes.</t>
  </si>
  <si>
    <t>La Torre de Control no tendrá un front propio de visualización al usuario final: la visibilidad diferenciada por actor es responsabilidad del frente de acceso/canales.</t>
  </si>
  <si>
    <t>Trazar el límite entre las alertas que resuelve el propio core con un timer (ej. SLA vencido) y las que realmente requieren capacidad de la Torre de Control.</t>
  </si>
  <si>
    <t>Estado de origen: Nuevo — Abierto (19-ago) · Nota: Sin resolver en la sesión.</t>
  </si>
  <si>
    <t>Nuevas entidades que deben emitir eventos hacia la Torre de Control: cuenta médica, orden de pago y cuentas por pagar. Esto implica que SAP también debe emitir eventos de desembolso para lograr trazabilidad completa desde la radicación de la autorización hasta el pago de la cuenta médica.</t>
  </si>
  <si>
    <t>Estado de origen: Nuevo — Definido en sesión 20-ago · Nota: Pendiente concretar la participación del equipo de observabilidad (Ángela/Angie, Carlos).</t>
  </si>
  <si>
    <t>Gestor de Finalización</t>
  </si>
  <si>
    <t>Es el gestor menos desarrollado de los 6 — solo definición conceptual, sin sesión de estructuración dedicada en el período revisado.</t>
  </si>
  <si>
    <t>No debería</t>
  </si>
  <si>
    <t>S22</t>
  </si>
  <si>
    <t>Estado de origen: Sin iniciar</t>
  </si>
  <si>
    <t>3 pilares: satisfacción del cliente · conciliación y pago a proveedor (cuentas médicas) · pagos al cliente (reembolsos, fuera del MVP).</t>
  </si>
  <si>
    <t>Equivale, en autorizaciones, al pago de la cuenta médica: el prestador carga la factura con detalle de servicios y RIPS.</t>
  </si>
  <si>
    <t>Objetivo: que autorización y tarifa contratada queden tan conectadas que no haya que glosar ni devolver facturas.</t>
  </si>
  <si>
    <t>El fraude también puede materializarse aquí (sobrefacturación, sobretratamiento) — debe tratarse como transversal, no solo un punto.</t>
  </si>
  <si>
    <t>Se propone reutilizar el agente ya existente en EPS que lee/transcribe autorizaciones y valida contra CUPS.</t>
  </si>
  <si>
    <t>S22–S23</t>
  </si>
  <si>
    <t>Excluye explícitamente las "reglas de pago automático" (corresponden a Cuentas Médicas, fuera del MVP).</t>
  </si>
  <si>
    <t>Estado de origen: Definido (fuera de alcance)</t>
  </si>
  <si>
    <t>Sin arquitectura ni componentes técnicos definidos en ninguna de las fuentes revisadas a la fecha.</t>
  </si>
  <si>
    <t>S23–S24</t>
  </si>
  <si>
    <t>Estado de origen: Sin definir</t>
  </si>
  <si>
    <t>El Gestor de Finalización se representa en la arquitectura con líneas punteadas: no se implementa en el primer alcance de salud (donde la estrategia es que lo resuelva el core), pero queda mapeado en el roadmap para que el primer negocio que lo requiera dispare su implementación.</t>
  </si>
  <si>
    <t>Validar con Vivi antes de cerrar la arquitectura</t>
  </si>
  <si>
    <t>S23–S25</t>
  </si>
  <si>
    <t>Estado de origen: Nuevo — Decisión provisional (20-ago) · Nota: ¿La postura de Viviana implica aceptación plena de que para salud la conciliación quede en el core, o mantiene que para otros negocios debe estar en gestores?</t>
  </si>
  <si>
    <t>El proceso de conciliación y glosas (conocido en el negocio como 'finiquito') no se considera una capacidad agéntica: pasa a bandeja manual, y el objetivo es reducir el porcentaje de casos que llegan a esa bandeja.</t>
  </si>
  <si>
    <t>Puede implicar negociación de cartera de años y acuerdos porcentuales con el prestador</t>
  </si>
  <si>
    <t>S24</t>
  </si>
  <si>
    <t>Gestor de Prestación</t>
  </si>
  <si>
    <t>Da seguimiento al "momento de verdad": si la cita fue programada, si el paciente asistió, novedades del servicio.</t>
  </si>
  <si>
    <t>Estado de origen: Por validar · Nota: Si esto se quiere, se debe mover a Torre de Control.</t>
  </si>
  <si>
    <t>Mecanismo actual: confirmación por QR escaneado por el asegurado (piloto ya finalizado, solo consulta externa).</t>
  </si>
  <si>
    <t>Estado de origen: Definido (piloto)</t>
  </si>
  <si>
    <t>Se evalúa evolucionar a clave dinámica (doble factor, ya disponible en la app) como mecanismo de confirmación de atención.</t>
  </si>
  <si>
    <t>Estado de origen: En evaluación</t>
  </si>
  <si>
    <t>Visión ideal (aún no lograda ni por EPS): OTP de asistencia + interoperabilidad directa con el sistema propio del prestador.</t>
  </si>
  <si>
    <t>S22–S24</t>
  </si>
  <si>
    <t>Estado de origen: Aspiracional / no logrado</t>
  </si>
  <si>
    <t>Mecanismo de registro de asistencia en SuraHis.</t>
  </si>
  <si>
    <t>S23</t>
  </si>
  <si>
    <t>Estado de origen: Pendiente completar · Nota: Completar con las conclusiones del 05 de agosto (nota ya marcada en el PPT original).</t>
  </si>
  <si>
    <t>El gestor de Prestación no se implementa como componente agéntico independiente para el alcance del MVP: la confirmación de atención se resuelve por integración directa Core-Core (SuraHis Prestación ↔ SuraHis Voluntarios) o por interoperabilidad de historia clínica (hoy solo consulta externa).</t>
  </si>
  <si>
    <t>Ver hoja de Pendientes y Conversaciones — tema no cerrado del todo</t>
  </si>
  <si>
    <t>S23–S26</t>
  </si>
  <si>
    <t>Estado de origen: Nuevo — Definido en sesiones 11 y 12-ago · Nota: Persiste incertidumbre de Daimer Munera sobre si a futuro debería tener capacidad agéntica propia.</t>
  </si>
  <si>
    <t>Integración con clave dinámica (doble factor) como mecanismo de confirmación de la atención efectiva.</t>
  </si>
  <si>
    <t>S24–S26</t>
  </si>
  <si>
    <t>Sin arquitectura técnica profundizada — reconocido explícitamente por el equipo de arquitectura.</t>
  </si>
  <si>
    <t>S26</t>
  </si>
  <si>
    <t>Integración con la cola de eventos de interoperabilidad de historia clínica (arquitectura 2.0) para conocer si el servicio autorizado fue efectivamente atendido, sin construir un componente tecnológico nuevo en Gestores.</t>
  </si>
  <si>
    <t>S26–S28</t>
  </si>
  <si>
    <t>Estado de origen: Nuevo — Definido en sesión de Interoperabilidad 11-ago</t>
  </si>
  <si>
    <t>Leyenda</t>
  </si>
  <si>
    <t>Talla:</t>
  </si>
  <si>
    <t>Sprint 0 · sep-2026 (preparación)</t>
  </si>
  <si>
    <t>XS · 1 día</t>
  </si>
  <si>
    <t>Release 1 · oct–dic 2026</t>
  </si>
  <si>
    <t>S · 3 días · 1/4 sprint</t>
  </si>
  <si>
    <t>M · 5 días · 1/2 sprint</t>
  </si>
  <si>
    <t>L · 10 días · 1 sprint</t>
  </si>
  <si>
    <t>Fase posterior / fuera de MVP</t>
  </si>
  <si>
    <t>XL · 20 días · 2 sprints</t>
  </si>
  <si>
    <t>Pendiente por confirmar</t>
  </si>
  <si>
    <t>XXL · 30 días · 3+ sprints</t>
  </si>
  <si>
    <t>BACKLOG DE ESTIMACIÓN — requisitos funcionales y no funcionales con fecha</t>
  </si>
  <si>
    <t>Sprints de 11 días hábiles, calendario de Colombia (festivos incluidos). Fecha inicio/fin calculada según la talla de cada requisito y el carril del squad que lo atiende (ver hoja 'Equipos y Paralelización'). La talla es una heurística de primera pasada — Estado de refinamiento indica que debe confirmarse en el taller de estimación.</t>
  </si>
  <si>
    <t>ID</t>
  </si>
  <si>
    <t>Gestor / Frente</t>
  </si>
  <si>
    <t>Squad</t>
  </si>
  <si>
    <t>Actividad / Requisito</t>
  </si>
  <si>
    <t>Duración
(días hábiles)</t>
  </si>
  <si>
    <t>Sprint(s)</t>
  </si>
  <si>
    <t>Decisión / Seguimiento</t>
  </si>
  <si>
    <t>Estado de refinamiento</t>
  </si>
  <si>
    <t>REQ-179</t>
  </si>
  <si>
    <t>Canales</t>
  </si>
  <si>
    <t>James no había entregado su estimación de esfuerzo al 18-ago.</t>
  </si>
  <si>
    <t>Sprint 0 — Preparación</t>
  </si>
  <si>
    <t>—</t>
  </si>
  <si>
    <t>Por confirmar talla</t>
  </si>
  <si>
    <t>REQ-170</t>
  </si>
  <si>
    <t>Plataforma</t>
  </si>
  <si>
    <t>Armar y capacitar un equipo nuevo puede tomar más de la mitad de septiembre.</t>
  </si>
  <si>
    <t>REQ-171</t>
  </si>
  <si>
    <t>REQ-172</t>
  </si>
  <si>
    <t>Depende del avance de la plataforma agéntica corporativa que construye el equipo de IA.</t>
  </si>
  <si>
    <t>REQ-173</t>
  </si>
  <si>
    <t>REQ-174</t>
  </si>
  <si>
    <t>Dependencia crítica número uno del proyecto.</t>
  </si>
  <si>
    <t>REQ-175</t>
  </si>
  <si>
    <t>REQ-176</t>
  </si>
  <si>
    <t>El driver estaba en borrador al 20-ago.</t>
  </si>
  <si>
    <t>REQ-178</t>
  </si>
  <si>
    <t>Valor exacto del umbral por definir.</t>
  </si>
  <si>
    <t>REQ-180</t>
  </si>
  <si>
    <t>REQ-177</t>
  </si>
  <si>
    <t>Solicitud</t>
  </si>
  <si>
    <t>Impactada por el recorte de presupuesto del equipo de salud modular.</t>
  </si>
  <si>
    <t>REQ-076</t>
  </si>
  <si>
    <t>Definido</t>
  </si>
  <si>
    <t>REQ-079</t>
  </si>
  <si>
    <t>Premisa crítica / riesgo</t>
  </si>
  <si>
    <t>REQ-082</t>
  </si>
  <si>
    <t>Nuevo — Definido en sesión 18-ago</t>
  </si>
  <si>
    <t>REQ-009</t>
  </si>
  <si>
    <t>REQ-010</t>
  </si>
  <si>
    <t>REQ-011</t>
  </si>
  <si>
    <t>REQ-012</t>
  </si>
  <si>
    <t>REQ-013</t>
  </si>
  <si>
    <t>REQ-017</t>
  </si>
  <si>
    <t>Definido en sesión 10-ago</t>
  </si>
  <si>
    <t>REQ-065</t>
  </si>
  <si>
    <t>Falta definir con negocio el valor exacto del TTL y el criterio de escalamiento por tipo de caso.</t>
  </si>
  <si>
    <t>Nuevo — Definido en sesión técnica 12-ago</t>
  </si>
  <si>
    <t>REQ-084</t>
  </si>
  <si>
    <t>REQ-086</t>
  </si>
  <si>
    <t>REQ-087</t>
  </si>
  <si>
    <t>REQ-001</t>
  </si>
  <si>
    <t>REQ-002</t>
  </si>
  <si>
    <t>REQ-003</t>
  </si>
  <si>
    <t>REQ-004</t>
  </si>
  <si>
    <t>REQ-005</t>
  </si>
  <si>
    <t>REQ-066</t>
  </si>
  <si>
    <t>Nuevo — Definido en sesión 11-ago</t>
  </si>
  <si>
    <t>REQ-067</t>
  </si>
  <si>
    <t>REQ-068</t>
  </si>
  <si>
    <t>REQ-069</t>
  </si>
  <si>
    <t>REQ-070</t>
  </si>
  <si>
    <t>Validar con el equipo de exterior si los campos/documentos pueden reutilizar el flujo general.</t>
  </si>
  <si>
    <t>REQ-071</t>
  </si>
  <si>
    <t>REQ-072</t>
  </si>
  <si>
    <t>Nombre definitivo aún por decidir.</t>
  </si>
  <si>
    <t>REQ-122</t>
  </si>
  <si>
    <t>James no había entregado su propuesta de esfuerzo y tiempos al momento de la sesión.</t>
  </si>
  <si>
    <t>REQ-019</t>
  </si>
  <si>
    <t>Evaluación</t>
  </si>
  <si>
    <t>REQ-020</t>
  </si>
  <si>
    <t>REQ-021</t>
  </si>
  <si>
    <t>REQ-022</t>
  </si>
  <si>
    <t>Por validar</t>
  </si>
  <si>
    <t>REQ-023</t>
  </si>
  <si>
    <t>¿Está incluido dentro del alcance de Gestores o de SuraHis?</t>
  </si>
  <si>
    <t>REQ-024</t>
  </si>
  <si>
    <t>REQ-025</t>
  </si>
  <si>
    <t>REQ-026</t>
  </si>
  <si>
    <t>REQ-027</t>
  </si>
  <si>
    <t>Falta definir con negocio/equipo médico la ventana de tiempo y el criterio exacto por tipo de servicio.</t>
  </si>
  <si>
    <t>REQ-092</t>
  </si>
  <si>
    <t>REQ-093</t>
  </si>
  <si>
    <t>Línea de responsabilidad entre SuraHis y el gestor sin cerrar.</t>
  </si>
  <si>
    <t>Por cerrar</t>
  </si>
  <si>
    <t>REQ-094</t>
  </si>
  <si>
    <t>Propuesta preliminar</t>
  </si>
  <si>
    <t>REQ-095</t>
  </si>
  <si>
    <t>REQ-096</t>
  </si>
  <si>
    <t>Meta definida</t>
  </si>
  <si>
    <t>REQ-097</t>
  </si>
  <si>
    <t>En avance</t>
  </si>
  <si>
    <t>REQ-138</t>
  </si>
  <si>
    <t>Nuevo — Definido en sesión 19-ago</t>
  </si>
  <si>
    <t>REQ-139</t>
  </si>
  <si>
    <t>REQ-140</t>
  </si>
  <si>
    <t>Sin ejemplo real validado con negocio.</t>
  </si>
  <si>
    <t>REQ-141</t>
  </si>
  <si>
    <t>REQ-142</t>
  </si>
  <si>
    <t>Nuevo — Aclarado en sesión 20-ago</t>
  </si>
  <si>
    <t>REQ-143</t>
  </si>
  <si>
    <t>Nuevo — Definido en sesión 20-ago</t>
  </si>
  <si>
    <t>REQ-144</t>
  </si>
  <si>
    <t>Cómo se sostiene en el tiempo la relación de gobernanza entre el core (dueño de las reglas) y el gestor (que las opera).</t>
  </si>
  <si>
    <t>REQ-145</t>
  </si>
  <si>
    <t>Pendiente consultar a Andrés Charry dónde viven exactamente las reglas del core y si se re-ejecutan al momento de crear la autorización.</t>
  </si>
  <si>
    <t>Nuevo — Definido parcialmente (19 y 20-ago)</t>
  </si>
  <si>
    <t>REQ-146</t>
  </si>
  <si>
    <t>REQ-162</t>
  </si>
  <si>
    <t>Cómo entregará el nuevo core las autorizaciones al gestor: una por una por procedimiento o agrupadas por paquete.</t>
  </si>
  <si>
    <t>REQ-163</t>
  </si>
  <si>
    <t>REQ-080</t>
  </si>
  <si>
    <t>El patrón de acceso entre gestores aún no está cerrado.</t>
  </si>
  <si>
    <t>REQ-113</t>
  </si>
  <si>
    <t>Nuevo — Confirmado en sesión de Interoperabilidad 11-ago</t>
  </si>
  <si>
    <t>REQ-123</t>
  </si>
  <si>
    <t>Propuesta de Sebastián Sepúlveda; el mínimo viable de Evaluación tomaría cerca de cuatro meses.</t>
  </si>
  <si>
    <t>REQ-158</t>
  </si>
  <si>
    <t>El resto de capacidades de observabilidad deberá construirse específicamente para Gestores.</t>
  </si>
  <si>
    <t>REQ-159</t>
  </si>
  <si>
    <t>REQ-160</t>
  </si>
  <si>
    <t>REQ-166</t>
  </si>
  <si>
    <t>Propuesta aditiva de Didier con Raúl; requiere refinamiento de ejemplos.</t>
  </si>
  <si>
    <t>Nuevo — Propuesta en discusión (20-ago)</t>
  </si>
  <si>
    <t>REQ-167</t>
  </si>
  <si>
    <t>Si las reglas están en el core y el agente en el gestor, ¿cómo se versiona y qué implica para el rollback?</t>
  </si>
  <si>
    <t>REQ-168</t>
  </si>
  <si>
    <t>REQ-169</t>
  </si>
  <si>
    <t>Borrador en construcción con apoyo de NTT Data y Diego; pendiente de compartir antes del ejercicio de estimación.</t>
  </si>
  <si>
    <t>Nuevo — En construcción (20-ago)</t>
  </si>
  <si>
    <t>REQ-006</t>
  </si>
  <si>
    <t>REQ-007</t>
  </si>
  <si>
    <t>REQ-014</t>
  </si>
  <si>
    <t>REQ-015</t>
  </si>
  <si>
    <t>Validar con Negocio, dado que se trabaja desde SuraHis.</t>
  </si>
  <si>
    <t>REQ-016</t>
  </si>
  <si>
    <t>Revisemos con Negocio.</t>
  </si>
  <si>
    <t>REQ-018</t>
  </si>
  <si>
    <t>REQ-064</t>
  </si>
  <si>
    <t>REQ-085</t>
  </si>
  <si>
    <t>En PoC</t>
  </si>
  <si>
    <t>REQ-089</t>
  </si>
  <si>
    <t>REQ-090</t>
  </si>
  <si>
    <t>Pendiente definir cifrado, acceso y retención.</t>
  </si>
  <si>
    <t>Por definir</t>
  </si>
  <si>
    <t>REQ-091</t>
  </si>
  <si>
    <t>Riesgo abierto</t>
  </si>
  <si>
    <t>REQ-114</t>
  </si>
  <si>
    <t>TTL exacto pendiente de definir con negocio.</t>
  </si>
  <si>
    <t>REQ-118</t>
  </si>
  <si>
    <t>¿Se valida acotar el primer entregable al gestor de Solicitud, por un rol y un canal específicos?</t>
  </si>
  <si>
    <t>Nuevo — Propuesta en sesión 18-ago</t>
  </si>
  <si>
    <t>REQ-119</t>
  </si>
  <si>
    <t>Confirmar con el equipo técnico si el ajuste de reutilización es viable dentro de la ventana de dos meses.</t>
  </si>
  <si>
    <t>REQ-120</t>
  </si>
  <si>
    <t>Decisión pendiente entre ADR y el desarrollo de TT; impactada por el recorte de presupuesto del equipo de salud modular.</t>
  </si>
  <si>
    <t>Nuevo — Por definir en sesión 18-ago</t>
  </si>
  <si>
    <t>REQ-121</t>
  </si>
  <si>
    <t>Pendiente técnico abierto en la sesión.</t>
  </si>
  <si>
    <t>REQ-125</t>
  </si>
  <si>
    <t>Cómo manejar archivos cifrados cuando la contraseña no viene indicada en observaciones.</t>
  </si>
  <si>
    <t>REQ-126</t>
  </si>
  <si>
    <t>REQ-127</t>
  </si>
  <si>
    <t>REQ-128</t>
  </si>
  <si>
    <t>REQ-129</t>
  </si>
  <si>
    <t>REQ-130</t>
  </si>
  <si>
    <t>REQ-131</t>
  </si>
  <si>
    <t>REQ-132</t>
  </si>
  <si>
    <t>REQ-133</t>
  </si>
  <si>
    <t>Hoy nadie revisa los casos resueltos bien, por lo que no hay certeza de su calidad.</t>
  </si>
  <si>
    <t>REQ-134</t>
  </si>
  <si>
    <t>Hasta qué punto tecnológicamente se puede asumir que un agente se auto-repare — calificado como el punto más complejo.</t>
  </si>
  <si>
    <t>Nuevo — Limitación tecnológica por resolver (19 y 20-ago)</t>
  </si>
  <si>
    <t>REQ-135</t>
  </si>
  <si>
    <t>Si el juez usa el mismo tipo de modelo que el agente evaluado no hay garantía; propuesta de usar dos modelos distintos.</t>
  </si>
  <si>
    <t>Nuevo — Propuesta en discusión (19-ago)</t>
  </si>
  <si>
    <t>REQ-136</t>
  </si>
  <si>
    <t>Falta validar en qué repositorio documental quedan los archivos.</t>
  </si>
  <si>
    <t>Nuevo — Abierto (19-ago)</t>
  </si>
  <si>
    <t>REQ-137</t>
  </si>
  <si>
    <t>Alinear con canales (James) cómo disponen hoy el envío de archivos desde sucursal virtual y el nuevo portal proveedor.</t>
  </si>
  <si>
    <t>REQ-028</t>
  </si>
  <si>
    <t>Coordinación</t>
  </si>
  <si>
    <t>Se declara en el PPT original que esta función "va en SuraHis".</t>
  </si>
  <si>
    <t>Por validar / posible duplicado con SuraHis</t>
  </si>
  <si>
    <t>REQ-029</t>
  </si>
  <si>
    <t>REQ-030</t>
  </si>
  <si>
    <t>REQ-031</t>
  </si>
  <si>
    <t>REQ-032</t>
  </si>
  <si>
    <t>REQ-033</t>
  </si>
  <si>
    <t>REQ-034</t>
  </si>
  <si>
    <t>Pendiente validar arquitectura de eventos con Víctor.</t>
  </si>
  <si>
    <t>REQ-035</t>
  </si>
  <si>
    <t>REQ-036</t>
  </si>
  <si>
    <t>REQ-037</t>
  </si>
  <si>
    <t>REQ-038</t>
  </si>
  <si>
    <t>REQ-039</t>
  </si>
  <si>
    <t>REQ-040</t>
  </si>
  <si>
    <t>REQ-041</t>
  </si>
  <si>
    <t>REQ-073</t>
  </si>
  <si>
    <t>Aclara si 'Asignación' (interno) y 'Coordinación' (externo) son la misma función.</t>
  </si>
  <si>
    <t>REQ-098</t>
  </si>
  <si>
    <t>REQ-099</t>
  </si>
  <si>
    <t>REQ-100</t>
  </si>
  <si>
    <t>Definido (roadmap)</t>
  </si>
  <si>
    <t>REQ-101</t>
  </si>
  <si>
    <t>REQ-102</t>
  </si>
  <si>
    <t>REQ-103</t>
  </si>
  <si>
    <t>Sin profundizar</t>
  </si>
  <si>
    <t>REQ-115</t>
  </si>
  <si>
    <t>Negocio pidió mantener la capacidad de administrar/cambiar las reglas de convenio.</t>
  </si>
  <si>
    <t>Nuevo — Tema no claro, discutido 12-ago sin cierre</t>
  </si>
  <si>
    <t>REQ-047</t>
  </si>
  <si>
    <t>Torre de Control</t>
  </si>
  <si>
    <t>Sin iniciar (a la fecha del PPT)</t>
  </si>
  <si>
    <t>REQ-048</t>
  </si>
  <si>
    <t>REQ-049</t>
  </si>
  <si>
    <t>REQ-050</t>
  </si>
  <si>
    <t>REQ-051</t>
  </si>
  <si>
    <t>REQ-052</t>
  </si>
  <si>
    <t>REQ-053</t>
  </si>
  <si>
    <t>REQ-054</t>
  </si>
  <si>
    <t>REQ-055</t>
  </si>
  <si>
    <t>Pendiente validar formalmente con Víctor (arquitectura).</t>
  </si>
  <si>
    <t>Definido en sesión 10-ago / por validar arquitectura</t>
  </si>
  <si>
    <t>REQ-056</t>
  </si>
  <si>
    <t>REQ-057</t>
  </si>
  <si>
    <t>REQ-075</t>
  </si>
  <si>
    <t>Nuevo — Definido (respuesta de arquitectura compartida 11-ago)</t>
  </si>
  <si>
    <t>REQ-106</t>
  </si>
  <si>
    <t>REQ-107</t>
  </si>
  <si>
    <t>REQ-108</t>
  </si>
  <si>
    <t>Remitido al equipo de arquitectura.</t>
  </si>
  <si>
    <t>REQ-109</t>
  </si>
  <si>
    <t>Riesgo / reto abierto</t>
  </si>
  <si>
    <t>REQ-110</t>
  </si>
  <si>
    <t>Planeado (Release 3)</t>
  </si>
  <si>
    <t>REQ-116</t>
  </si>
  <si>
    <t>Debate extenso sin resolver sobre si esto vive en Torre de Control o requiere comunicación entre agentes.</t>
  </si>
  <si>
    <t>Nuevo — Propuesta en discusión, sin decisión</t>
  </si>
  <si>
    <t>REQ-147</t>
  </si>
  <si>
    <t>REQ-148</t>
  </si>
  <si>
    <t>REQ-149</t>
  </si>
  <si>
    <t>A qué nivel debe operar la detección (histórico vía Data Lake vs. inmediato desde otras fuentes).</t>
  </si>
  <si>
    <t>REQ-150</t>
  </si>
  <si>
    <t>Definición formal de los indicadores de la capa de correlación/insights aún pendiente.</t>
  </si>
  <si>
    <t>Nuevo — Propuesta en sesión 19-ago</t>
  </si>
  <si>
    <t>REQ-151</t>
  </si>
  <si>
    <t>Dónde verán esos reportes: ¿visual aparte, dentro de SuraHis, o correo?</t>
  </si>
  <si>
    <t>REQ-152</t>
  </si>
  <si>
    <t>REQ-153</t>
  </si>
  <si>
    <t>Alcance exacto del consumo bidireccional del caso de negocio — escalado a Viviana.</t>
  </si>
  <si>
    <t>REQ-154</t>
  </si>
  <si>
    <t>Es difícil construir la capa de insight sin saber aún qué indicadores se quieren medir y controlar.</t>
  </si>
  <si>
    <t>Nuevo — Definido en sesiones 19 y 20-ago</t>
  </si>
  <si>
    <t>REQ-155</t>
  </si>
  <si>
    <t>REQ-156</t>
  </si>
  <si>
    <t>REQ-157</t>
  </si>
  <si>
    <t>Sin resolver en la sesión.</t>
  </si>
  <si>
    <t>REQ-161</t>
  </si>
  <si>
    <t>Pendiente concretar la participación del equipo de observabilidad (Ángela/Angie, Carlos).</t>
  </si>
  <si>
    <t>REQ-058</t>
  </si>
  <si>
    <t>Finalización</t>
  </si>
  <si>
    <t>Sin iniciar</t>
  </si>
  <si>
    <t>REQ-059</t>
  </si>
  <si>
    <t>REQ-060</t>
  </si>
  <si>
    <t>REQ-061</t>
  </si>
  <si>
    <t>REQ-062</t>
  </si>
  <si>
    <t>REQ-063</t>
  </si>
  <si>
    <t>REQ-111</t>
  </si>
  <si>
    <t>Definido (fuera de alcance)</t>
  </si>
  <si>
    <t>REQ-112</t>
  </si>
  <si>
    <t>Sin definir</t>
  </si>
  <si>
    <t>REQ-164</t>
  </si>
  <si>
    <t>¿La postura de Viviana implica aceptación plena de que para salud la conciliación quede en el core, o mantiene que para otros negocios debe estar en gestores?</t>
  </si>
  <si>
    <t>Nuevo — Decisión provisional (20-ago)</t>
  </si>
  <si>
    <t>REQ-165</t>
  </si>
  <si>
    <t>REQ-042</t>
  </si>
  <si>
    <t>Prestación</t>
  </si>
  <si>
    <t>Si esto se quiere, se debe mover a Torre de Control.</t>
  </si>
  <si>
    <t>REQ-043</t>
  </si>
  <si>
    <t>Definido (piloto)</t>
  </si>
  <si>
    <t>REQ-044</t>
  </si>
  <si>
    <t>En evaluación</t>
  </si>
  <si>
    <t>REQ-045</t>
  </si>
  <si>
    <t>Aspiracional / no logrado</t>
  </si>
  <si>
    <t>REQ-046</t>
  </si>
  <si>
    <t>Completar con las conclusiones del 05 de agosto (nota ya marcada en el PPT original).</t>
  </si>
  <si>
    <t>Pendiente completar</t>
  </si>
  <si>
    <t>REQ-074</t>
  </si>
  <si>
    <t>Persiste incertidumbre de Daimer Munera sobre si a futuro debería tener capacidad agéntica propia.</t>
  </si>
  <si>
    <t>Nuevo — Definido en sesiones 11 y 12-ago</t>
  </si>
  <si>
    <t>REQ-104</t>
  </si>
  <si>
    <t>REQ-105</t>
  </si>
  <si>
    <t>REQ-117</t>
  </si>
  <si>
    <t>Nuevo — Definido en sesión de Interoperabilidad 11-ago</t>
  </si>
  <si>
    <t>Resumen</t>
  </si>
  <si>
    <t>Total requisitos</t>
  </si>
  <si>
    <t>Total días hábiles</t>
  </si>
  <si>
    <t>Épicas = squads (gestores agrupados). Cada 'feature' agrupa hasta 6 requisitos en el orden del archivo fuente. El color de cada celda indica el release; el código entre corchetes es la talla del requisito.</t>
  </si>
  <si>
    <t>Plataforma
(Sprint 0)</t>
  </si>
  <si>
    <t>Solicitud
(Sprint 0)</t>
  </si>
  <si>
    <t>Canales
(Sprint 0)</t>
  </si>
  <si>
    <t>Evaluación
(Release 2)</t>
  </si>
  <si>
    <t>Coordinación
(Release 3)</t>
  </si>
  <si>
    <t>Torre de Control
(Release 3)</t>
  </si>
  <si>
    <t>Prestación
(Fase posterior)</t>
  </si>
  <si>
    <t>Finalización
(Fase posterior)</t>
  </si>
  <si>
    <t>FEATURES</t>
  </si>
  <si>
    <t>Bloque 1
Conformación y onboarding del…</t>
  </si>
  <si>
    <t>Bloque 2
Cierre del ejercicio de…</t>
  </si>
  <si>
    <t>Bloque 3
Riesgo/premisa explícita: el proyecto…</t>
  </si>
  <si>
    <t>Bloque 4
La interoperabilidad de historia…</t>
  </si>
  <si>
    <t>Bloque 5
Versionamiento de sistemas agénticos,…</t>
  </si>
  <si>
    <t>Bloque 1
Decisión técnica del lector…</t>
  </si>
  <si>
    <t>Bloque 2
Publica el evento que…</t>
  </si>
  <si>
    <t>Bloque 3
Arquitectura orientada a eventos:…</t>
  </si>
  <si>
    <t>Bloque 4
Se incorpora como requisito…</t>
  </si>
  <si>
    <t>Bloque 5
Modelo de datos de…</t>
  </si>
  <si>
    <t>Bloque 6
Modelo asíncrono de bandeja…</t>
  </si>
  <si>
    <t>Bloque 7
Umbral de asertividad: cada…</t>
  </si>
  <si>
    <t>Bloque 1
Confirmación del alcance del…</t>
  </si>
  <si>
    <t>Bloque 2
Selección de prestador: el…</t>
  </si>
  <si>
    <t>Bloque 3
'Solicitar estado de cuenta'…</t>
  </si>
  <si>
    <t>Bloque 1
Consulta al Core (SuraHis)…</t>
  </si>
  <si>
    <t>Bloque 2
No genera el número…</t>
  </si>
  <si>
    <t>Bloque 3
Principio de diseño: la…</t>
  </si>
  <si>
    <t>Bloque 4
Evaluación estructurada en dos…</t>
  </si>
  <si>
    <t>Bloque 5
La solicitud de autorización…</t>
  </si>
  <si>
    <t>Bloque 1
La asignación al equipo…</t>
  </si>
  <si>
    <t>Bloque 2
La notificación al cliente…</t>
  </si>
  <si>
    <t>Bloque 3
Notifica tanto al asegurado…</t>
  </si>
  <si>
    <t>Bloque 4
Integración con prestadores externos…</t>
  </si>
  <si>
    <t>Bloque 1
Renombrado de "Monitoreo" a…</t>
  </si>
  <si>
    <t>Bloque 2
Rescate digital automático: si…</t>
  </si>
  <si>
    <t>Bloque 3
Arquitectura orientada a eventos…</t>
  </si>
  <si>
    <t>Bloque 4
Controlar los niveles de…</t>
  </si>
  <si>
    <t>Bloque 5
El Data Lake es…</t>
  </si>
  <si>
    <t>Bloque 1
Da seguimiento al "momento…</t>
  </si>
  <si>
    <t>Bloque 2
Integración con clave dinámica…</t>
  </si>
  <si>
    <t>Bloque 1
Es el gestor menos…</t>
  </si>
  <si>
    <t>Bloque 2
Excluye explícitamente las "reglas…</t>
  </si>
  <si>
    <t>Req. 1</t>
  </si>
  <si>
    <t>[M] Conformación y onboarding del equipo: definición de squads, roles y dedicaciones, y capacitació…</t>
  </si>
  <si>
    <t>[M] Cierre del ejercicio de dimensionamiento de agentes y estimación de costo, aplicando el driver …</t>
  </si>
  <si>
    <t>[M] Riesgo/premisa explícita: el proyecto solo tiene sentido si los cores implementan la capacidad …</t>
  </si>
  <si>
    <t>[XXL] La interoperabilidad de historia clínica ya cuenta con una arquitectura 2.0 orientada a eventos…</t>
  </si>
  <si>
    <t>[L] Versionamiento de sistemas agénticos, incluyendo la definición de si la data de reglas del core…</t>
  </si>
  <si>
    <t>[L] Decisión técnica del lector de IA a reutilizar (ADR vs. desarrollo de TT) y prueba de concepto …</t>
  </si>
  <si>
    <t>[M] Publica el evento que activa al core de salud (SuraHis) para la generación de la solicitud; ese…</t>
  </si>
  <si>
    <t>[XL] Arquitectura orientada a eventos: quien tiene autoridad sobre la entidad (normalmente SuraHis) …</t>
  </si>
  <si>
    <t>[S] Se incorpora como requisito funcional el "rescate de la solicitud" cuando la radicación no se c…</t>
  </si>
  <si>
    <t>[XL] Modelo de datos de la bandeja de solicitud: entidad flexible con campos por defecto 'desconocid…</t>
  </si>
  <si>
    <t>[XL] Modelo asíncrono de bandeja de solicitudes (recibida / notificación cuando requiere atención) e…</t>
  </si>
  <si>
    <t>[M] Umbral de asertividad: cada campo extraído viene con un porcentaje de confianza. Solo por encim…</t>
  </si>
  <si>
    <t>[M] Confirmación del alcance del Release 1 con negocio y con el equipo de canales: rol y canal espe…</t>
  </si>
  <si>
    <t>[S] Selección de prestador: el campo queda como opcional y se traslada a un paso posterior del fluj…</t>
  </si>
  <si>
    <t>[L] 'Solicitar estado de cuenta' se renombra de cara al usuario (los asegurados lo conocen como 'ce…</t>
  </si>
  <si>
    <t>[M] Consulta al Core (SuraHis) coberturas, vigencias, convenios y exclusiones para los controles de…</t>
  </si>
  <si>
    <t>[M] No genera el número de solicitud de autorización/negación: deja el caso listo vía evento — el c…</t>
  </si>
  <si>
    <t>[L] Principio de diseño: la negación siempre debe ser determinística y trazable — nunca una decisió…</t>
  </si>
  <si>
    <t>[XXL] Evaluación estructurada en dos llamados al core en paralelo: reglas duras (producto, diagnóstic…</t>
  </si>
  <si>
    <t>[M] La solicitud de autorización se desglosa en autorizaciones asociadas a un solo servicio, no a n…</t>
  </si>
  <si>
    <t>[L] La asignación al equipo se distribuye según reglas de criticidad (marcas en salud, PEP, edad de…</t>
  </si>
  <si>
    <t>[M] La notificación al cliente por incumplimiento de SLA se dispara vía evento publicado por la Tor…</t>
  </si>
  <si>
    <t>[S] Notifica tanto al asegurado (prestador asignado) como al prestador (autorización pendiente de a…</t>
  </si>
  <si>
    <t>[L] Integración con prestadores externos preferiblemente vía API con retroalimentación de estados.</t>
  </si>
  <si>
    <t>[XS] Renombrado de "Monitoreo" a "Torre de Control" por ampliación de alcance durante las sesiones.</t>
  </si>
  <si>
    <t>[L] Rescate digital automático: si falla el canal al radicar, contacta por WhatsApp/app para contin…</t>
  </si>
  <si>
    <t>[XL] Arquitectura orientada a eventos (EDA): consume eventos de todos los gestores y cores, incluida…</t>
  </si>
  <si>
    <t>[XS] Controlar los niveles de autonomía de los gestores agénticos.</t>
  </si>
  <si>
    <t>[M] El Data Lake es una fuente más de información para la Torre de Control (solo lectura, no consum…</t>
  </si>
  <si>
    <t>[M] Da seguimiento al "momento de verdad": si la cita fue programada, si el paciente asistió, noved…</t>
  </si>
  <si>
    <t>[XL] Integración con clave dinámica (doble factor) como mecanismo de confirmación de la atención efe…</t>
  </si>
  <si>
    <t>[S] Es el gestor menos desarrollado de los 6 — solo definición conceptual, sin sesión de estructura…</t>
  </si>
  <si>
    <t>[M] Excluye explícitamente las "reglas de pago automático" (corresponden a Cuentas Médicas, fuera d…</t>
  </si>
  <si>
    <t>Req. 2</t>
  </si>
  <si>
    <t>[M] Habilitación de ambientes de desarrollo y pruebas, infraestructura base, repositorios, pipeline…</t>
  </si>
  <si>
    <t>[M] Definición del umbral de asertividad y de las métricas de calidad de los agentes que se aplicar…</t>
  </si>
  <si>
    <t>[XL] Se reutiliza la arquitectura de "Siniestro Integral" (Front + Back, API Gateway, orquestador, s…</t>
  </si>
  <si>
    <t>[M] Adoptar la metodología de estimar por cada gestor un escenario mínimo viable y uno completo/des…</t>
  </si>
  <si>
    <t>[L] Concepto de 'function fitness': pruebas equivalentes a las de desarrollo de software aplicadas …</t>
  </si>
  <si>
    <t>[M] Documento no legible nunca bloquea al usuario: siempre pasa a bandeja de revisión manual.</t>
  </si>
  <si>
    <t>[XXL] Si la IA no identifica el documento con certeza, el caso va a bandeja manual sin notificar al a…</t>
  </si>
  <si>
    <t>[S] Recibe solicitudes de 3 públicos: prestador (70-80% del volumen, foco prioritario), cliente/ase…</t>
  </si>
  <si>
    <t>[S] Modelo de 'solicitud laxa': la solicitud se crea con campos comodín (valores 'desconocido') que…</t>
  </si>
  <si>
    <t>[M] Alcance acotado del primer entregable de diciembre: radicar una solicitud de autorización para …</t>
  </si>
  <si>
    <t>[S] Alertar al asegurado cuando el documento cargado no corresponde a lo esperado, sin afectar su e…</t>
  </si>
  <si>
    <t>[S] Mecanismo de muestreo humano sobre los casos que el agente resuelve correctamente, no solo sobr…</t>
  </si>
  <si>
    <t>[M] Comprobación de derechos (vigencia de póliza, mora) obligatoria al inicio del flujo, antes de p…</t>
  </si>
  <si>
    <t>[M] Reestudio: aplica solo cuando la autorización fue negada y el asegurado no está de acuerdo; el …</t>
  </si>
  <si>
    <t>[M] Reutilizar los canales existentes hoy para el primer release, coordinando en paralelo la estima…</t>
  </si>
  <si>
    <t>[M] Valida la pertinencia médica; decide autorizar, negar o escalar a evaluación manual (coherencia…</t>
  </si>
  <si>
    <t>[XL] Reutiliza el homologador de CUPS y el motor ya productivo del proyecto de autorizaciones EPS, e…</t>
  </si>
  <si>
    <t>[M] Hoy el evaluador humano usa 4 sistemas en paralelo (ADP, Global Web, ADR, P8) — meta explícita:…</t>
  </si>
  <si>
    <t>[L] La bandeja de 'listo para coordinación' tras una evaluación exitosa es la misma bandeja de 'pag…</t>
  </si>
  <si>
    <t>[L] Si un servicio no se puede autorizar por la póliza voluntaria, esa solicitud hijo se niega y se…</t>
  </si>
  <si>
    <t>[M] Para solicitudes pendientes por gestión se habilita la reasignación entre niveles.</t>
  </si>
  <si>
    <t>[M] Direcciona el servicio ya autorizado al prestador adecuado: simple (un solo prestador posible, …</t>
  </si>
  <si>
    <t>[S] Objetivo estratégico: mapear automáticamente la autorización contra el convenio/tarifa para pag…</t>
  </si>
  <si>
    <t>[XL] Bandeja "human in the loop" para casos donde ni las reglas ni la recomendación logran asignar u…</t>
  </si>
  <si>
    <t>[S] Monitorea el ciclo de vida completo de la autorización: cumplimiento de SLA/ANS, carga de traba…</t>
  </si>
  <si>
    <t>[S] Detecta solicitudes repetidas (2 o más veces) con las mismas características y activa el mismo …</t>
  </si>
  <si>
    <t>[M] El almacenamiento de eventos vive en un bus/componente dedicado, no exclusivo de este gestor — …</t>
  </si>
  <si>
    <t>[M] Entregar información a distintos canales en el lenguaje requerido por cada actor, registrando c…</t>
  </si>
  <si>
    <t>[XL] Arquitectura tipo Lambda: vía rápida de eventos en tiempo real más vía lenta de productos del D…</t>
  </si>
  <si>
    <t>[M] Mecanismo actual: confirmación por QR escaneado por el asegurado (piloto ya finalizado, solo co…</t>
  </si>
  <si>
    <t>[L] Sin arquitectura técnica profundizada — reconocido explícitamente por el equipo de arquitectura…</t>
  </si>
  <si>
    <t>[S] 3 pilares: satisfacción del cliente · conciliación y pago a proveedor (cuentas médicas) · pagos…</t>
  </si>
  <si>
    <t>[L] Sin arquitectura ni componentes técnicos definidos en ninguna de las fuentes revisadas a la fec…</t>
  </si>
  <si>
    <t>Req. 3</t>
  </si>
  <si>
    <t>[L] Configuración del Runtime agéntico y del Control Plane corporativo (gateway de consumo de LLM y…</t>
  </si>
  <si>
    <t>[M] Validación con el equipo técnico de los tallajes y estimaciones preliminares, y ajuste del back…</t>
  </si>
  <si>
    <t>[M] Se privilegia un front único reutilizable por canal/actor, en lugar de un front independiente p…</t>
  </si>
  <si>
    <t>[XL] Plataforma agéntica corporativa en construcción con el equipo de IA: Runtime agéntico (donde co…</t>
  </si>
  <si>
    <t>[M] Driver de dimensionamiento de agentes: parametrizar la complejidad de cada agente para aproxima…</t>
  </si>
  <si>
    <t>[M] Modelo de datos "padre-hijo": la solicitud es el padre; cada autorización por servicio/CUPS es …</t>
  </si>
  <si>
    <t>[L] La bandeja de solicitud incompleta tiene bloqueo por exclusión mutua (mutex) mientras un analis…</t>
  </si>
  <si>
    <t>[S] Meta: pedir solo identificación (aplica solo para prestador y asesor) + 2 documentos (historia …</t>
  </si>
  <si>
    <t>[L] Flujo: Front → Storage temporal de documentos → integración asíncrona con P8; PoC en curso con …</t>
  </si>
  <si>
    <t>[XL] Reutilizar el componente de Siniestro Integral a nivel de back para el primer release, en lugar…</t>
  </si>
  <si>
    <t>[M] Capa de agentes expertos: un agente por tipo de documento (historia clínica, orden médica, fact…</t>
  </si>
  <si>
    <t>[M] Límite de auto-reparación de prompts del agente auditor: no puede ser totalmente autónomo sin a…</t>
  </si>
  <si>
    <t>[L] Documentos aparentemente inválidos no permiten continuar con la creación de la solicitud (agent…</t>
  </si>
  <si>
    <t>[M] Notificación y visibilidad cruzada cliente-prestador: se notifica al cliente cuando un prestado…</t>
  </si>
  <si>
    <t>[S] Regla crítica: la negación nunca se hace 100% automática — toda negación exige intervención de …</t>
  </si>
  <si>
    <t>[XL] Valida duplicidad (mismo prestador/documentos o mismo tipo de servicio) consultando histórico e…</t>
  </si>
  <si>
    <t>[M] Es, junto con Solicitud, el gestor con mayor avance de diseño a la fecha del último seguimiento…</t>
  </si>
  <si>
    <t>[M] Auditoría de decisiones automáticas: detectar desviaciones estadísticas y realizar revisión man…</t>
  </si>
  <si>
    <t>[S] Cada solicitud debe tener un tiempo de respuesta asignado (100% de las solicitudes en menos de …</t>
  </si>
  <si>
    <t>[M] 3 casos de negocio: producto modular (direccionamiento automático) · clásica/global (cliente el…</t>
  </si>
  <si>
    <t>[L] Para el Release 1, la asignación interna de casos a evaluadores/niveles la resuelve SuraHis; el…</t>
  </si>
  <si>
    <t>[M] Es uno de los gestores menos profundizados técnicamente a la fecha — "no se ha hecho zoom" toda…</t>
  </si>
  <si>
    <t>[S] Regla explícita: no se monitorea todo lo que llega, solo lo que "se sale de lo esperado" — la c…</t>
  </si>
  <si>
    <t>[M] Notificaciones basadas en eventos: el Core informa tiempos por etapa, la Torre de Control detec…</t>
  </si>
  <si>
    <t>[L] Pendiente definir si se expone una API única con filtrado por perfil o múltiples APIs por actor…</t>
  </si>
  <si>
    <t>[S] Detección de anomalías y fraude como capacidad agéntica, aprovechando la vista panorámica que e…</t>
  </si>
  <si>
    <t>[M] La capa de ingesta y consolidación debe tener capacidad de streaming, no procesamiento por lote…</t>
  </si>
  <si>
    <t>[L] Se evalúa evolucionar a clave dinámica (doble factor, ya disponible en la app) como mecanismo d…</t>
  </si>
  <si>
    <t>[XXL] Integración con la cola de eventos de interoperabilidad de historia clínica (arquitectura 2.0) …</t>
  </si>
  <si>
    <t>[M] Equivale, en autorizaciones, al pago de la cuenta médica: el prestador carga la factura con det…</t>
  </si>
  <si>
    <t>[XL] El Gestor de Finalización se representa en la arquitectura con líneas punteadas: no se implemen…</t>
  </si>
  <si>
    <t>Req. 4</t>
  </si>
  <si>
    <t>[L] Elaboración del borrador del catálogo de eventos y de los contratos de API que servirán de base…</t>
  </si>
  <si>
    <t>[XL] Arquitectura de microservicios, agéntica, dirigida por eventos (EDA), moderna y desacoplada — s…</t>
  </si>
  <si>
    <t>[M] Diferenciación explícita comando (síncrono, se consume y desaparece) vs. evento (inmutable, usa…</t>
  </si>
  <si>
    <t>[L] Distinguir eventos funcionales (de las entidades de negocio, emitidos por su dueño) de eventos …</t>
  </si>
  <si>
    <t>[L] Extrae mediante agente IA la información de los documentos adjuntos (orden médica + historia cl…</t>
  </si>
  <si>
    <t>[M] Front nuevo (Flutter), embebido en Sucursal Virtual Personas, AVA y Portal de Prestadores; reut…</t>
  </si>
  <si>
    <t>[M] Autorización automática (algunas no requieren soportes) en servicios clasificados como "nivel 1…</t>
  </si>
  <si>
    <t>[L] Integración con NEXO vía API (patrón API First) + exposición como MCP para agentes conversacion…</t>
  </si>
  <si>
    <t>[XL] Reutilizar un lector de IA existente para la extracción documental: definir si se usa el de ADR…</t>
  </si>
  <si>
    <t>[M] Capa de salida configurable: arma el resultado final según lo que cada core consumidor necesite…</t>
  </si>
  <si>
    <t>[M] Agente juez que valide en tiempo real usando un modelo distinto al del agente evaluado, para qu…</t>
  </si>
  <si>
    <t>[S] Omnicanalidad real: el historial de solicitudes/autorizaciones debe verse igual sin importar el…</t>
  </si>
  <si>
    <t>[S] Anulación de solicitudes: solo la puede hacer el prestador, y solo si el estado es 'en proceso'…</t>
  </si>
  <si>
    <t>[L] Revisar la integración para consultar mora (ir directamente al core de PDN o pasar por SuraHis)…</t>
  </si>
  <si>
    <t>[M] Consume la información ya extraída y estructurada por el gestor de Solicitud — no relee los doc…</t>
  </si>
  <si>
    <t>[M] Capa de duplicados determinística, sin componente de IA: aplica reglas de negocio por especiali…</t>
  </si>
  <si>
    <t>[XL] Gobernanza de reglas: en vez de traer el motor de reglas al gestor, este consume una tool que i…</t>
  </si>
  <si>
    <t>[M] Se debe habilitar la opción de solicitud de requisitos (notificar al cliente); al adjuntar el s…</t>
  </si>
  <si>
    <t>[M] Criterios de priorización de prestadores: quejas (Medallia), satisfacción, disponibilidad de ci…</t>
  </si>
  <si>
    <t>[XL] Arranca con motor 100% determinístico (reglas duras de elegibilidad, convenios, capacidad, ubic…</t>
  </si>
  <si>
    <t>[L] Pendiente definir el dueño y el mecanismo de sincronización de las reglas de direccionamiento/c…</t>
  </si>
  <si>
    <t>[S] Visión ampliada: capacidades proactivas (contactar directamente al cliente/prestador) y potesta…</t>
  </si>
  <si>
    <t>[XS] Notifica al asegurado ante incumplimiento de SLA (mensaje de acompañamiento) y alerta intername…</t>
  </si>
  <si>
    <t>[L] Reto de integración en tiempo real con prestadores — hoy no existe (solo portal con interacción…</t>
  </si>
  <si>
    <t>[S] Medir KPIs de eficiencia y productividad: tiempo de ciclo promedio, tiempo de espera, tiempo de…</t>
  </si>
  <si>
    <t>[M] La Torre de Control no tendrá un front propio de visualización al usuario final: la visibilidad…</t>
  </si>
  <si>
    <t>[XL] Visión ideal (aún no lograda ni por EPS): OTP de asistencia + interoperabilidad directa con el …</t>
  </si>
  <si>
    <t>[S] Objetivo: que autorización y tarifa contratada queden tan conectadas que no haya que glosar ni …</t>
  </si>
  <si>
    <t>[L] El proceso de conciliación y glosas (conocido en el negocio como 'finiquito') no se considera u…</t>
  </si>
  <si>
    <t>Req. 5</t>
  </si>
  <si>
    <t>[L] Acuerdo formal de capacidad y disponibilidad con el equipo de SuraHis para la exposición de API…</t>
  </si>
  <si>
    <t>[M] Principio "coreless": la lógica de negocio (reglas, políticas, convenios) se desacopla de los c…</t>
  </si>
  <si>
    <t>[L] Confirmar el orden de dependencia entre gestores: cada gestor requiere el evento o salida del a…</t>
  </si>
  <si>
    <t>[L] La Solicitud y la Autorización hacen parte del core (SuraHis), por lo que SuraHis debe garantiz…</t>
  </si>
  <si>
    <t>[S] Genera un ID temporal como número radicador (correlation ID), y almacena la información de form…</t>
  </si>
  <si>
    <t>[M] Comprobación de derechos vía API de SuraHis (no Global Web) — mayor resiliencia y flexibilidad …</t>
  </si>
  <si>
    <t>[M] Integralidad automática con EPS Sura cuando la póliza voluntaria no cubre el servicio y se gene…</t>
  </si>
  <si>
    <t>[S] Custodia temporal de historia clínica/orden médica en componente propio.</t>
  </si>
  <si>
    <t>[XL] Definir si el radicado debe quedar garantizado en SuraHis desde el primer release, o si basta c…</t>
  </si>
  <si>
    <t>[L] No hay rechazo automático: todo lo que el agente no puede resolver pasa a bandeja humana indica…</t>
  </si>
  <si>
    <t>[L] Validar qué tipos de archivo puede almacenar el repositorio documental de los gestores (si admi…</t>
  </si>
  <si>
    <t>[M] No requiere segundo factor de autenticación en el flujo de solicitud desde la app (sí se evalua…</t>
  </si>
  <si>
    <t>[XL] Solicitud en el exterior: flujo distinto al general — no genera una autorización tradicional; l…</t>
  </si>
  <si>
    <t>[M] Niveles de escalamiento: Nivel 1 automático · Nivel 2 administrativo · Niveles 3 (enfermeras/in…</t>
  </si>
  <si>
    <t>[XXL] Debe consultar políticas/reglas a SuraHis manteniendo también reglas propias de agente (modelo …</t>
  </si>
  <si>
    <t>[M] El gestor no rellena información faltante ni garantiza la completitud de la información: entra …</t>
  </si>
  <si>
    <t>[L] SuraHis dispone de un módulo parametrizable de reglas duras que permite eliminarlas, modificarl…</t>
  </si>
  <si>
    <t>[M] Con la negación de un servicio se debe activar la radicación automática de la solicitud de inte…</t>
  </si>
  <si>
    <t>[S] Si el prestador elegido no tiene convenio vigente, se asigna automáticamente el mejor rankeado …</t>
  </si>
  <si>
    <t>[L] LLM reservado solo para casos no estructurados o de explicación — no es prioridad para el arran…</t>
  </si>
  <si>
    <t>[S] Responsable de detectar comportamiento anómalo de los agentes (ej. ratio de rechazos fuera de l…</t>
  </si>
  <si>
    <t>[S] Requiere vista individual (línea de tiempo por solicitud) y vista grupal/masiva (operación agre…</t>
  </si>
  <si>
    <t>[L] Datalake de autorizaciones como entregable técnico del Release 3 (feb-abr 2027), con apoyo del …</t>
  </si>
  <si>
    <t>[S] Reportar a los líderes de operación cuando un equipo esté saturado o dejando de recibir autoriz…</t>
  </si>
  <si>
    <t>[M] Trazar el límite entre las alertas que resuelve el propio core con un timer (ej. SLA vencido) y…</t>
  </si>
  <si>
    <t>[XS] Mecanismo de registro de asistencia en SuraHis.</t>
  </si>
  <si>
    <t>[S] El fraude también puede materializarse aquí (sobrefacturación, sobretratamiento) — debe tratars…</t>
  </si>
  <si>
    <t>Req. 6</t>
  </si>
  <si>
    <t>[L] Transferencia de contexto funcional al equipo técnico: proceso actual de autorizaciones, modelo…</t>
  </si>
  <si>
    <t>[XXL] El core (SuraHis) debe ser la fuente de la verdad transaccional, no el motor de reglas — princi…</t>
  </si>
  <si>
    <t>[S] Cada gestor tendría base de datos propia, independiente y desacoplada.</t>
  </si>
  <si>
    <t>[M] Marco de buenas prácticas para sistemas agénticos: criterios de asertividad y trazabilidad para…</t>
  </si>
  <si>
    <t>[XS] Lleva los documentos a P8.</t>
  </si>
  <si>
    <t>[L] OCR/IA: LLM multimodal interpreta documentos directamente (15-40 seg); reutiliza el agente de p…</t>
  </si>
  <si>
    <t>[S] Nueva funcionalidad "Reestudio": permite pedir reevaluación de una solicitud negada adjuntando …</t>
  </si>
  <si>
    <t>[S] Riesgo técnico abierto: Super App en Google Cloud vs. resto del ecosistema en Azure.</t>
  </si>
  <si>
    <t>[M] El agente receptor no asume que los archivos llegan bien identificados ni separados: debe detec…</t>
  </si>
  <si>
    <t>[M] Capa de auditoría: analiza el histórico de solicitudes y reporta patrones a la Torre de Control…</t>
  </si>
  <si>
    <t>[L] Flujo de activación confirmado: el Front informa a Siniestro Integral, este guarda la informaci…</t>
  </si>
  <si>
    <t>[M] Front con/sin documentos dependiendo del tipo de servicio de cara al prestador; front con docum…</t>
  </si>
  <si>
    <t>[M] Caso especial de inclusión de recién nacido para atención urgente: flujo corto e independiente,…</t>
  </si>
  <si>
    <t>[L] El agente entrega un "concepto"/resumen de su análisis al escalar a la bandeja manual, para ace…</t>
  </si>
  <si>
    <t>[XXL] Arquitectura híbrida multiagente propuesta: agente determinístico (coberturas/exclusiones) + ag…</t>
  </si>
  <si>
    <t>[L] Si durante la evaluación falta un dato que no era obligatorio en la solicitud pero sí es necesa…</t>
  </si>
  <si>
    <t>[M] El Gestor de Evaluación no es transversal: está diseñado específicamente para autorizaciones de…</t>
  </si>
  <si>
    <t>[S] Se debe habilitar la opción de resignación manual de solicitudes a otro evaluador (novedades co…</t>
  </si>
  <si>
    <t>[L] Si no hay red contratada en la ciudad, se recomienda la ciudad más cercana o se escala a Conven…</t>
  </si>
  <si>
    <t>[M] Niveles de madurez agéntica: Nivel 1 determinístico → Nivel 2 + asistente explicativo → Nivel 3…</t>
  </si>
  <si>
    <t>[M] Expone información distinta según el actor consultante (prestador, cliente, asesor), enmascaran…</t>
  </si>
  <si>
    <t>[M] La Torre de Control no emite los eventos de cambio de estado (los emite el componente dueño de …</t>
  </si>
  <si>
    <t>[XL] Concepto en discusión: 'agente auditor' transversal que retroalimente a los gestores con aprend…</t>
  </si>
  <si>
    <t>[S] Detectar cuentas por pagar próximas a vencer y generar alertas, evitando llamadas de prestadore…</t>
  </si>
  <si>
    <t>[L] Nuevas entidades que deben emitir eventos hacia la Torre de Control: cuenta médica, orden de pa…</t>
  </si>
  <si>
    <t>[XXL] El gestor de Prestación no se implementa como componente agéntico independiente para el alcance…</t>
  </si>
  <si>
    <t>[M] Se propone reutilizar el agente ya existente en EPS que lee/transcribe autorizaciones y valida …</t>
  </si>
  <si>
    <t>Leyenda de release</t>
  </si>
  <si>
    <t>RESULTADO</t>
  </si>
  <si>
    <t>Tablero</t>
  </si>
  <si>
    <t>Azure DevOps</t>
  </si>
  <si>
    <t>ID de la iniciativa en Azure</t>
  </si>
  <si>
    <t>URL de la iniciativa en Azure</t>
  </si>
  <si>
    <t>Total de requisitos mapeados</t>
  </si>
  <si>
    <t>Actividades en Sprint 0</t>
  </si>
  <si>
    <t>Requisitos en Release 1 (MVP dic-2026)</t>
  </si>
  <si>
    <t>Requisitos en Release 2</t>
  </si>
  <si>
    <t>Requisitos en Release 3</t>
  </si>
  <si>
    <t>Requisitos talla XL/XXL</t>
  </si>
  <si>
    <t>Total días hábiles estimados</t>
  </si>
  <si>
    <t>DISTRIBUCIÓN DE EQUIPOS Y ANÁLISIS DE PARALELIZACIÓN</t>
  </si>
  <si>
    <t>El número de requisitos, los días hábiles y la ventana real se calculan directamente desde 'Backlog-Estimación'. Cada squad aparece en una fila por release porque sus ventanas están separadas en el tiempo, pero es el mismo equipo. En el Release 1 se refuerzan los carriles (Solicitud 5, Plataforma 3) para sostener la ventana de dos meses. Propuesta de trabajo para la estimación de capacidad y costo — no refleja asignaciones acordadas.</t>
  </si>
  <si>
    <t>Gestores que atiende</t>
  </si>
  <si>
    <t>Composición sugerida</t>
  </si>
  <si>
    <t>Carriles
(paralelo)</t>
  </si>
  <si>
    <t>FTE aprox.</t>
  </si>
  <si>
    <t>N.° requisitos</t>
  </si>
  <si>
    <t>Días hábiles
acumulados</t>
  </si>
  <si>
    <t>Sprint inicio</t>
  </si>
  <si>
    <t>Ventana real (calculada)</t>
  </si>
  <si>
    <t>¿Paralelizable?</t>
  </si>
  <si>
    <t>Dependencia bloqueante</t>
  </si>
  <si>
    <t>Plataforma (Sprint 0)</t>
  </si>
  <si>
    <t>Transversal / Principios generales (EDA, APIs, MCP, contingencia)</t>
  </si>
  <si>
    <t>1 arquitecto de solución · 1 arquitecto de datos · 2 ingenieros de plataforma</t>
  </si>
  <si>
    <t>S0</t>
  </si>
  <si>
    <t>01-Sep-26 a 28-Sep-26</t>
  </si>
  <si>
    <t>Sí, con Solicitud desde S1</t>
  </si>
  <si>
    <t>Sprint 0 debe haber dejado el catálogo de eventos y los contratos de API en borrador</t>
  </si>
  <si>
    <t>Plataforma (Release 1)</t>
  </si>
  <si>
    <t>01-Oct-26 a 30-Nov-26</t>
  </si>
  <si>
    <t>Plataforma (Release 2)</t>
  </si>
  <si>
    <t>12-Jan-27 a 01-Apr-27</t>
  </si>
  <si>
    <t>Solicitud (Sprint 0)</t>
  </si>
  <si>
    <t>Gestor de Solicitud · Siniestro Integral</t>
  </si>
  <si>
    <t>1 tech lead · 3 desarrolladores backend · 1 desarrollador Flutter</t>
  </si>
  <si>
    <t>01-Sep-26 a 14-Sep-26</t>
  </si>
  <si>
    <t>Sí, con Plataforma desde S1</t>
  </si>
  <si>
    <t>Requiere ambientes, equipo capacitado y lector de IA seleccionado en Sprint 0</t>
  </si>
  <si>
    <t>Solicitud (Release 1)</t>
  </si>
  <si>
    <t>01-Oct-26 a 19-Nov-26</t>
  </si>
  <si>
    <t>Solicitud (Release 2)</t>
  </si>
  <si>
    <t>12-Jan-27 a 09-Apr-27</t>
  </si>
  <si>
    <t>Canales (Sprint 0)</t>
  </si>
  <si>
    <t>Canales / Front Externos · Gestor de Solicitud (Canales)</t>
  </si>
  <si>
    <t>1 UX/UI · 3 desarrolladores front (Flutter/web)</t>
  </si>
  <si>
    <t>01-Sep-26 a 07-Sep-26</t>
  </si>
  <si>
    <t>Sí, desde el Release 2</t>
  </si>
  <si>
    <t>En Release 1 se reutilizan los canales existentes; depende de la estimación de esfuerzo de James</t>
  </si>
  <si>
    <t>Canales (Release 2)</t>
  </si>
  <si>
    <t>12-Jan-27 a 26-Feb-27</t>
  </si>
  <si>
    <t>1 tech lead · 2 desarrolladores backend · 1 ingeniero de IA</t>
  </si>
  <si>
    <t>12-Jan-27 a 08-Jun-27</t>
  </si>
  <si>
    <t>Sí, en paralelo con Canales en Release 2</t>
  </si>
  <si>
    <t>Su mínimo viable se estimó en ~4 meses; requiere el modelo de datos y eventos del Release 1 estables</t>
  </si>
  <si>
    <t>Gestor de Coordinación · Gestor de Asignación (interno)</t>
  </si>
  <si>
    <t>1 tech lead · 2 desarrolladores backend</t>
  </si>
  <si>
    <t>20-May-27 a 16-Sep-27</t>
  </si>
  <si>
    <t>Sí, con Torre de Control en Release 3</t>
  </si>
  <si>
    <t>Consume la salida de la decisión de autorización de Evaluación</t>
  </si>
  <si>
    <t>Gestor de Monitoreo (Torre de Control) · Datalake (Transversal)</t>
  </si>
  <si>
    <t>1 tech lead · 2 desarrolladores backend · 1 ingeniero de datos</t>
  </si>
  <si>
    <t>23-Jun-27 a 24-Sep-27</t>
  </si>
  <si>
    <t>Parcial: la capa de consolidación puede adelantarse</t>
  </si>
  <si>
    <t>Necesita que todos los gestores publiquen eventos con contrato estable</t>
  </si>
  <si>
    <t>1 tech lead · 1 desarrollador backend</t>
  </si>
  <si>
    <t>13-Sep-27 a 31-Dec-27</t>
  </si>
  <si>
    <t>No es prioridad del alcance actual</t>
  </si>
  <si>
    <t>Fuera del alcance del caso de negocio vigente</t>
  </si>
  <si>
    <t>13-Sep-27 a 29-Oct-27</t>
  </si>
  <si>
    <t>No se implementa en el primer alcance de salud</t>
  </si>
  <si>
    <t>Representado con líneas punteadas; lo dispara el primer negocio que lo requiera</t>
  </si>
  <si>
    <t>TOTAL FTE (por squad único, sin doble conteo de Canales)</t>
  </si>
  <si>
    <t>Nota</t>
  </si>
  <si>
    <t>Canales aparece en dos filas (Release 1 y Release 2) porque trabaja en dos olas separadas en el tiempo, pero es el mismo equipo: su FTE se cuenta una sola vez en el total. El FTE total tampoco es la capacidad simultánea: los squads de Release 2 y 3 pueden conformarse reasignando personas de los squads de Release 1 ya liberados.</t>
  </si>
  <si>
    <t>LÍNEA DE TIEMPO POR SQUAD</t>
  </si>
  <si>
    <t>S2</t>
  </si>
  <si>
    <t>S4</t>
  </si>
  <si>
    <t>S5</t>
  </si>
  <si>
    <t>S6</t>
  </si>
  <si>
    <t>S9</t>
  </si>
  <si>
    <t>S13</t>
  </si>
  <si>
    <t>Reglas de paralelización</t>
  </si>
  <si>
    <t>1.  Sprint 0 (septiembre 2026) es condición de arranque, no una fase paralelizable: mientras no existan ambientes, equipo conformado, catálogo de eventos borrador y contratos de API, ningún squad puede implementar.</t>
  </si>
  <si>
    <t>2.  Release 1 concentra un solo frente funcional: el Gestor de Solicitud acotado a radicar una solicitud por un rol y un canal. Plataforma y Solicitud trabajan en paralelo desde el sprint 1, con 8 carriles entre ambos.</t>
  </si>
  <si>
    <t>3.  La construcción del Release 1 son los sprints 1 a 4 (1-oct a 30-nov). El sprint 5 (7 al 22 de diciembre) se reserva para estabilización, pruebas y entrega — no admite alcance nuevo.</t>
  </si>
  <si>
    <t>4.  Release 2 no arranca en diciembre: comienza el 12 de enero de 2027 (sprint 7) para no partir el cierre de año ni competir con la estabilización del Release 1.</t>
  </si>
  <si>
    <t>5.  Canales no arranca en el Release 1 porque se reutilizan los canales existentes; entra en el Release 2 con las funcionalidades post-radicación (reestudio, anulación, renovación, certificados, exterior, recién nacido).</t>
  </si>
  <si>
    <t>6.  Evaluación arranca en el Release 2 y no antes: es el gestor más complejo del proyecto (pertinencia médica) y su propio mínimo viable se estimó en cerca de cuatro meses.</t>
  </si>
  <si>
    <t>7.  Coordinación y Torre de Control se paralelizan parcialmente en el Release 3. Torre de Control es el frente más secuencial: necesita que todos los gestores publiquen eventos con contrato estable.</t>
  </si>
  <si>
    <t>8.  Prestación y Finalización quedan fuera del alcance actual. Finalización se representa con líneas punteadas en la arquitectura para que el primer negocio que lo requiera dispare su implementación.</t>
  </si>
  <si>
    <t>9.  SuraHis atraviesa todos los releases como dependencia externa. El acuerdo formal de capacidad es una actividad explícita del Sprint 0 porque sin él ninguna de estas fechas se sostiene.</t>
  </si>
  <si>
    <t>REQUISITOS FUNCIONALES POR GESTOR</t>
  </si>
  <si>
    <t>Requisitos del archivo v2 (12-ago) más las definiciones funcionales nuevas de las sesiones del 18 al 20 de agosto, agregadas al final en el bloque azul.</t>
  </si>
  <si>
    <t>Requisito funcional (regla de negocio)</t>
  </si>
  <si>
    <t>Duda / nota abierta en el PPT</t>
  </si>
  <si>
    <t>Estado</t>
  </si>
  <si>
    <t>Gestor de Asignación (diapositiva oculta en el PPT original)</t>
  </si>
  <si>
    <t>NUEVOS — definiciones de las sesiones del 18 al 20 de agosto de 2026  (23 requisitos funcionales)</t>
  </si>
  <si>
    <t>REQUISITOS NO FUNCIONALES Y DE ARQUITECTURA</t>
  </si>
  <si>
    <t>Requisitos técnicos del archivo v2 (12-ago) más las definiciones de arquitectura nuevas de las sesiones del 18 al 20 de agosto, incluidas las actividades del Sprint 0.</t>
  </si>
  <si>
    <t>Requisito técnico / arquitectura</t>
  </si>
  <si>
    <t>Nota / pregunta abierta</t>
  </si>
  <si>
    <t>NUEVOS — definiciones de las sesiones del 18 al 20 de agosto de 2026  (40 requisitos no funcionales)</t>
  </si>
  <si>
    <t>PENDIENTES Y CONVERSACIONES ABIERTAS</t>
  </si>
  <si>
    <t>53 pendientes por gestor. La columna 'Nuevo' marca lo que salió de la sesión del 10-ago-2026.</t>
  </si>
  <si>
    <t>Pendiente</t>
  </si>
  <si>
    <t>Nuevo (10-ago-2026)</t>
  </si>
  <si>
    <t>Fecha objetivo</t>
  </si>
  <si>
    <t>Definir si el backend/bandeja de Solicitudes vive dentro de SuraHis o del gestor.</t>
  </si>
  <si>
    <t>No</t>
  </si>
  <si>
    <t>Abierto — requiere sesión formal con Andrés Charry (SuraHis)</t>
  </si>
  <si>
    <t>Definir si la comunicación con SuraHis es síncrona (REST) o por eventos/colas.</t>
  </si>
  <si>
    <t>Abierto</t>
  </si>
  <si>
    <t>Definir si el gestor requiere base de datos propia o si toda la información vive en SuraHis.</t>
  </si>
  <si>
    <t>Definir si se reutiliza también el front de Siniestro Integral (el back ya está acordado).</t>
  </si>
  <si>
    <t>Cerrar con el equipo de Canales el detalle completo de qué puede hacer el cliente por cada canal.</t>
  </si>
  <si>
    <t>Levantar la tabla completa de vigencia documental por tipo de examen/tratamiento.</t>
  </si>
  <si>
    <t>Abierto (sin fecha reportada)</t>
  </si>
  <si>
    <t>Definir política de retención/borrado de la información clínica extraída y almacenada temporalmente.</t>
  </si>
  <si>
    <t>Definir la estrategia final de almacenamiento documental (P8 vs. alternativa Oracle con IA embebida).</t>
  </si>
  <si>
    <t>Abierto (PoC en curso)</t>
  </si>
  <si>
    <t>Definir si se requiere agente conversacional en canales digitales (SDP/WhatsApp) en esta fase.</t>
  </si>
  <si>
    <t>Resolver la incompatibilidad de nube (Super App en Google Cloud vs. resto del ecosistema en Azure).</t>
  </si>
  <si>
    <t>Validar con James el alcance real del agente de prevalidación de documentos en el Front (componente no bloqueante).</t>
  </si>
  <si>
    <t>Sí</t>
  </si>
  <si>
    <t>11-ago-2026 (espacio ya agendado)</t>
  </si>
  <si>
    <t>Definir la línea exacta de responsabilidad entre SuraHis (reglas del core) y el gestor (reglas propias del agente).</t>
  </si>
  <si>
    <t>Definir si el nivel de escalamiento (2/3/4) se fusiona dentro de Evaluación o queda en un gestor de Asignación independiente.</t>
  </si>
  <si>
    <t>Definir si el agente necesita memoria histórica del asegurado.</t>
  </si>
  <si>
    <t>Abierto (pendiente con negocio)</t>
  </si>
  <si>
    <t>Resolver las discrepancias de exclusiones no sincronizadas entre ADP y Global Web.</t>
  </si>
  <si>
    <t>Abierto (validar con Suscripción)</t>
  </si>
  <si>
    <t>Definir la estandarización/automatización de observaciones obligatorias por tipo de servicio.</t>
  </si>
  <si>
    <t>Validar con SuraHis la flexibilidad real de configuración de las reglas de asignación.</t>
  </si>
  <si>
    <t>Profundizar el diseño técnico concreto del sistema híbrido multiagente.</t>
  </si>
  <si>
    <t>Abierto (hoy solo propuesta preliminar)</t>
  </si>
  <si>
    <t>Definir con el equipo médico/de negocio qué servicios pueden autorizarse más de una vez en una ventana de tiempo y cuáles no (base de las reglas de duplicidad).</t>
  </si>
  <si>
    <t>Construir la lista de criterios de priorización de prestadores.</t>
  </si>
  <si>
    <t>Definir el indicador de "suficiencia de la red".</t>
  </si>
  <si>
    <t>Validar con SuraHis el mecanismo de asignación manual cuando no hay convenio/prestador disponible.</t>
  </si>
  <si>
    <t>Definir responsable y mecanismo de notificación a canales tras la coordinación (¿directo o vía Monitoreo?).</t>
  </si>
  <si>
    <t>Pospuesto explícitamente</t>
  </si>
  <si>
    <t>Resolver el mecanismo de cambio de prestador por indisponibilidad (llamadas sin respuesta).</t>
  </si>
  <si>
    <t>Aclarar si "Asignación" (interno) y "Coordinación" (externo) son la misma función o dos funciones distintas.</t>
  </si>
  <si>
    <t>Formalizar qué información adicional entrega Convenios (tipo de contratación, exclusividad geográfica).</t>
  </si>
  <si>
    <t>Definir el límite funcional exacto frente a Coordinación y Monitoreo.</t>
  </si>
  <si>
    <t>En "zona de parqueo"</t>
  </si>
  <si>
    <t>Definir si se adopta la clave dinámica como reemplazo definitivo del QR.</t>
  </si>
  <si>
    <t>Definir cómo confirmar la prestación del servicio cuando el paciente no tiene celular, datos o la app.</t>
  </si>
  <si>
    <t>No se ha realizado ninguna sesión de estructuración dedicada a este gestor.</t>
  </si>
  <si>
    <t>Pendiente generalizado de todo el diseño</t>
  </si>
  <si>
    <t>Definir si se va a hacer seguimiento a la prestación de servicios autorizados por integralidad en EPS Sura.</t>
  </si>
  <si>
    <t>No se alcanzó a mapear las capacidades esperadas de la Torre de Control para este gestor en la sesión del 10-ago.</t>
  </si>
  <si>
    <t>11-ago-2026 (continúa la sesión)</t>
  </si>
  <si>
    <t>Diseñar el diagrama de estados completo de todos los gestores.</t>
  </si>
  <si>
    <t>Definir el mecanismo/nombre de la capa de retroalimentación/auditoría hacia los demás gestores.</t>
  </si>
  <si>
    <t>Resolver el reto de integración en tiempo real con prestadores.</t>
  </si>
  <si>
    <t>Definir dónde reside la decisión de qué estados se notifican proactivamente vs. cuáles solo van al historial.</t>
  </si>
  <si>
    <t>No se ha hecho sesión de estructuración dedicada — identificado como "especialmente grande".</t>
  </si>
  <si>
    <t>Sin abordar (a la fecha del PPT)</t>
  </si>
  <si>
    <t>¿La Torre de Control únicamente genera el evento, o hay algún escenario en que debería notificar directamente?</t>
  </si>
  <si>
    <t>¿Cómo recibe en la práctica el equipo de canales (James) los eventos de la Torre de Control para disparar la notificación?</t>
  </si>
  <si>
    <t>11-ago-2026 (espacio agendado con James)</t>
  </si>
  <si>
    <t>¿La redistribución de casos cuando un evaluador no está disponible es responsabilidad exclusiva de SuraHis o también de la Torre de Control?</t>
  </si>
  <si>
    <t>Abierto (posiciones distintas en la sesión, sin cerrar)</t>
  </si>
  <si>
    <t>Cerrar el punto de notificaciones/alertas entre la Torre de Control y el Core para el gestor de Asignación.</t>
  </si>
  <si>
    <t>Abierto — reconocido explícitamente al cierre de la sesión del 10-ago</t>
  </si>
  <si>
    <t>No se alcanzó a mapear las capacidades esperadas de la Torre de Control para el gestor de Finalización en la sesión del 10-ago.</t>
  </si>
  <si>
    <t>Es el gestor con menor nivel de definición de los 6 — sin sesión de estructuración dedicada en todo el período revisado.</t>
  </si>
  <si>
    <t>Definir si es un "agente" puro o mixto (reglas de cruce de costos + agente lector de soportes).</t>
  </si>
  <si>
    <t>Definir el alcance exacto de la conexión con Cuentas Médicas.</t>
  </si>
  <si>
    <t>Coordinar con las iniciativas paralelas de IA de conciliación de cuentas médicas para evitar duplicidad de esfuerzo.</t>
  </si>
  <si>
    <t>Consolidar y enviar formalmente a SuraHis el listado único de supuestos/responsabilidades a validar.</t>
  </si>
  <si>
    <t>Definir con Camilo Rodríguez y Ana el tiempo de sus arquitectos en el proyecto.</t>
  </si>
  <si>
    <t>Definir con NEXO (Carlos Carmona) la fecha exacta de integración.</t>
  </si>
  <si>
    <t>Definir el gestor/función de Fraude: si permanece independiente o se absorbe dentro de Evaluación.</t>
  </si>
  <si>
    <t>Definir el modelo de integración (comando vs. evento) caso de uso por caso de uso, con el equipo de arquitectura.</t>
  </si>
  <si>
    <t>Resolver la desalineación de expectativas señalada por Viviana Monsalve sobre referenciar soluciones de mercado ya existentes.</t>
  </si>
  <si>
    <t>Sesión de seguimiento general del proyecto y sesión de verificación con SuraHis.</t>
  </si>
  <si>
    <t>11-ago-2026</t>
  </si>
  <si>
    <t>RIESGOS IDENTIFICADOS POR CATEGORÍA</t>
  </si>
  <si>
    <t>16 riesgos agrupados en cuatro categorías.</t>
  </si>
  <si>
    <t>Categoría</t>
  </si>
  <si>
    <t>Riesgo identificado</t>
  </si>
  <si>
    <t>Nivel de impacto</t>
  </si>
  <si>
    <t>Estado / Mitigación</t>
  </si>
  <si>
    <t>Tecnología y Arquitectura</t>
  </si>
  <si>
    <t>Dependencia crítica de SuraHis: el proyecto solo funciona si los cores exponen información vía API a tiempo; SuraHis estima 6-7 meses de implementación.</t>
  </si>
  <si>
    <t>Riesgo de romper la filosofía "coreless" si el core termina absorbiendo la trazabilidad y la lógica de los gestores.</t>
  </si>
  <si>
    <t>Alto acoplamiento hoy en el orquestador de Siniestro Integral, que se reutiliza como base del gestor de Solicitud.</t>
  </si>
  <si>
    <t>Incompatibilidad de nube: Super App en Google Cloud vs. resto del ecosistema en Azure.</t>
  </si>
  <si>
    <t>Inteligencia Artificial</t>
  </si>
  <si>
    <t>Riesgo de escalabilidad/resiliencia del core y dependencia crítica de P8 para la custodia documental.</t>
  </si>
  <si>
    <t>Riesgo de alucinación o decisión probabilística del LLM en puntos críticos como la negación de servicios.</t>
  </si>
  <si>
    <t>Riesgo reputacional/regulatorio (caso de referencia internacional): automatizar sin cuidar calidad y equidad generó demandas y sanciones en el sector.</t>
  </si>
  <si>
    <t>Presión regulatoria creciente sobre explicabilidad de IA (EU AI Act, NAIC, Colombia) — toda decisión debe ser auditable y trazable.</t>
  </si>
  <si>
    <t>Operación y Proceso</t>
  </si>
  <si>
    <t>Fraude estructural no mitigado hoy: no se verifica que el servicio facturado se haya prestado realmente.</t>
  </si>
  <si>
    <t>Interoperabilidad clínica limitada hoy a "consulta externa" (~3.248 prestadores) — riesgo de diseño parcial sin un plan B claro.</t>
  </si>
  <si>
    <t>Riesgo de cronograma: a la fecha, solo 2 de 6 gestores (Solicitud y Evaluación) estaban profundizados, con cierre comprometido el 27-ago.</t>
  </si>
  <si>
    <t>Falta de capacidad dedicada (vs. "por demanda") de los equipos de canales, core, datos e IA; vacante de arquitecto de datos.</t>
  </si>
  <si>
    <t>Cambio, Capacidad y Financiero</t>
  </si>
  <si>
    <t>Riesgo de seguridad del "link de gestión" de Konecta (hallazgos relevantes) — requiere flujo oficial de reemplazo antes de eliminarlo.</t>
  </si>
  <si>
    <t>Riesgo de suplantación por autenticación débil (clave de 4 dígitos), con impacto en autorizaciones y pagos indebidos a prestadores.</t>
  </si>
  <si>
    <t>Riesgo de duplicidad de reporte de beneficios/ahorro entre Gestores y SuraHis Voluntarios.</t>
  </si>
  <si>
    <t>Riesgo de duplicar esfuerzo con iniciativas paralelas de IA (piloto de conciliación de cuentas médicas).</t>
  </si>
  <si>
    <t>Catálogos de referencia</t>
  </si>
  <si>
    <t>Priorización (MoSCoW)</t>
  </si>
  <si>
    <t>Tipo de requisito</t>
  </si>
  <si>
    <t>RF · Requisito Funcional</t>
  </si>
  <si>
    <t>Talla confirmada</t>
  </si>
  <si>
    <t>RNF · Requisito No Funcional</t>
  </si>
  <si>
    <t>Refinada</t>
  </si>
  <si>
    <t>Descartada</t>
  </si>
  <si>
    <t>Implementación disponibilidad de los eventos mínimos requeridos funcionales necesarios por los gestores</t>
  </si>
  <si>
    <t>Ya tenemos una arquitectura de base para esta actividad</t>
  </si>
  <si>
    <t>Demanda cruzada dueños Cores (SuraHis)
Emisión eventos</t>
  </si>
  <si>
    <t>Demanda cruzada Cores para emisión de Eventos (Sura His, Siniestro Integral)</t>
  </si>
  <si>
    <t xml:space="preserve">Ajustes Siniestro Integral para que sea el canal unificado de Registro y seguimiento de solicitudes </t>
  </si>
  <si>
    <t>Entregable</t>
  </si>
  <si>
    <t>Arquitectura</t>
  </si>
  <si>
    <t>Desarrollo de implementaciones en Cores de cara a los eventos</t>
  </si>
  <si>
    <t>Desarrollo de implementación en siniestro integral</t>
  </si>
  <si>
    <t>Recoger definiciones, lineamientos que tengamos en compañía y habilitadores que podamos reutilizar en la arquitectura.</t>
  </si>
  <si>
    <t>Lineamientos y habilitadores para la construcción del Gestor</t>
  </si>
  <si>
    <t>Habilitar plataforma necesaria por el Gestor solicitud</t>
  </si>
  <si>
    <t>Habilitar Tenant/Dominio capacidades para los agentes  del Gestor  de Solicitud(Plataforma agéntica)</t>
  </si>
  <si>
    <t>Agente implementado en el Gestor de Solicitud</t>
  </si>
  <si>
    <t>Despliegue del Agente en los diferentes ambientes</t>
  </si>
  <si>
    <t>Implementar el Gestor Solicitud (Agentes y herramientas)</t>
  </si>
  <si>
    <t>Agente desplegado en el Gestor de Solicitud</t>
  </si>
  <si>
    <t xml:space="preserve">Liberación agente </t>
  </si>
  <si>
    <t>Gestor productivo para el canal, operación y rol definidos</t>
  </si>
  <si>
    <t>Entendimiento del proceso de Evaluación y sus requerimientos</t>
  </si>
  <si>
    <t>Información fundamental para la evaluación (Mínimos requeridos)</t>
  </si>
  <si>
    <t xml:space="preserve"> PLAN DE RELEASES E IMPACT MAP ¿Porqué construimos esto y a quién impacta?</t>
  </si>
  <si>
    <t>FASE DE ESTIMACIÓN · VISUAL STORY MAP — ¿Qué entra en cada release?</t>
  </si>
  <si>
    <t xml:space="preserve">ÉPICAS </t>
  </si>
  <si>
    <t>Prioridad</t>
  </si>
  <si>
    <t xml:space="preserve">Dependencia </t>
  </si>
  <si>
    <t>Seguimiento</t>
  </si>
  <si>
    <t>Equipo</t>
  </si>
  <si>
    <t>Equipos Core para las demandas cruzadas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</si>
</sst>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charset val="1"/>
    </font>
    <font>
      <b/>
      <sz val="16"/>
      <color rgb="FF0033A0"/>
      <name val="Arial"/>
      <charset val="1"/>
    </font>
    <font>
      <sz val="11"/>
      <color rgb="FF2D6DF6"/>
      <name val="Arial"/>
      <charset val="1"/>
    </font>
    <font>
      <b/>
      <sz val="10"/>
      <color rgb="FF0033A0"/>
      <name val="Arial"/>
      <charset val="1"/>
    </font>
    <font>
      <sz val="10"/>
      <color rgb="FF333333"/>
      <name val="Arial"/>
      <charset val="1"/>
    </font>
    <font>
      <b/>
      <sz val="9"/>
      <color rgb="FFFFFFFF"/>
      <name val="Arial"/>
      <charset val="1"/>
    </font>
    <font>
      <sz val="9"/>
      <color rgb="FF333333"/>
      <name val="Arial"/>
      <charset val="1"/>
    </font>
    <font>
      <b/>
      <sz val="9"/>
      <color rgb="FF808080"/>
      <name val="Arial"/>
      <charset val="1"/>
    </font>
    <font>
      <sz val="9"/>
      <color rgb="FF808080"/>
      <name val="Arial"/>
      <charset val="1"/>
    </font>
    <font>
      <b/>
      <sz val="14"/>
      <color rgb="FFFFFFFF"/>
      <name val="Arial"/>
      <charset val="1"/>
    </font>
    <font>
      <i/>
      <sz val="9"/>
      <color rgb="FF404040"/>
      <name val="Arial"/>
      <charset val="1"/>
    </font>
    <font>
      <b/>
      <sz val="11"/>
      <color rgb="FFFFFFFF"/>
      <name val="Arial"/>
      <charset val="1"/>
    </font>
    <font>
      <b/>
      <sz val="9"/>
      <color rgb="FF0033A0"/>
      <name val="Arial"/>
      <charset val="1"/>
    </font>
    <font>
      <b/>
      <sz val="8"/>
      <color rgb="FF404040"/>
      <name val="Arial"/>
      <charset val="1"/>
    </font>
    <font>
      <b/>
      <sz val="8"/>
      <color rgb="FF1E6B3A"/>
      <name val="Arial"/>
      <charset val="1"/>
    </font>
    <font>
      <b/>
      <sz val="9"/>
      <color rgb="FF333333"/>
      <name val="Arial"/>
      <charset val="1"/>
    </font>
    <font>
      <sz val="8"/>
      <color rgb="FF404040"/>
      <name val="Arial"/>
      <charset val="1"/>
    </font>
    <font>
      <sz val="9"/>
      <color rgb="FF2D6DF6"/>
      <name val="Arial"/>
      <charset val="1"/>
    </font>
    <font>
      <sz val="9"/>
      <color rgb="FF6B6B6B"/>
      <name val="Arial"/>
      <charset val="1"/>
    </font>
    <font>
      <sz val="9"/>
      <color rgb="FFA63B3B"/>
      <name val="Arial"/>
      <charset val="1"/>
    </font>
    <font>
      <sz val="9"/>
      <color rgb="FFFFFFFF"/>
      <name val="Arial"/>
      <charset val="1"/>
    </font>
    <font>
      <b/>
      <sz val="10"/>
      <color rgb="FFFFFFFF"/>
      <name val="Arial"/>
      <charset val="1"/>
    </font>
    <font>
      <sz val="8"/>
      <color rgb="FF808080"/>
      <name val="Arial"/>
      <charset val="1"/>
    </font>
    <font>
      <sz val="8"/>
      <color rgb="FF333333"/>
      <name val="Arial"/>
      <charset val="1"/>
    </font>
    <font>
      <b/>
      <sz val="11"/>
      <color rgb="FF0033A0"/>
      <name val="Arial"/>
      <charset val="1"/>
    </font>
    <font>
      <i/>
      <sz val="9"/>
      <color rgb="FF808080"/>
      <name val="Arial"/>
      <charset val="1"/>
    </font>
    <font>
      <b/>
      <sz val="8"/>
      <color rgb="FFFFFFFF"/>
      <name val="Arial"/>
      <charset val="1"/>
    </font>
    <font>
      <b/>
      <sz val="8"/>
      <color rgb="FF333333"/>
      <name val="Arial"/>
      <charset val="1"/>
    </font>
    <font>
      <b/>
      <sz val="9"/>
      <color rgb="FF404040"/>
      <name val="Arial"/>
      <charset val="1"/>
    </font>
    <font>
      <b/>
      <sz val="13"/>
      <color rgb="FF0033A0"/>
      <name val="Arial"/>
      <charset val="1"/>
    </font>
    <font>
      <sz val="9"/>
      <color indexed="81"/>
      <name val="Tahoma"/>
    </font>
  </fonts>
  <fills count="20">
    <fill>
      <patternFill patternType="none"/>
    </fill>
    <fill>
      <patternFill patternType="gray125"/>
    </fill>
    <fill>
      <patternFill patternType="solid">
        <fgColor rgb="FFDFEAFF"/>
        <bgColor rgb="FFF1E6FA"/>
      </patternFill>
    </fill>
    <fill>
      <patternFill patternType="solid">
        <fgColor rgb="FF0033A0"/>
        <bgColor rgb="FF333399"/>
      </patternFill>
    </fill>
    <fill>
      <patternFill patternType="solid">
        <fgColor rgb="FFF5F5F5"/>
        <bgColor rgb="FFEBFAEF"/>
      </patternFill>
    </fill>
    <fill>
      <patternFill patternType="solid">
        <fgColor rgb="FF2D6DF6"/>
        <bgColor rgb="FF0066CC"/>
      </patternFill>
    </fill>
    <fill>
      <patternFill patternType="solid">
        <fgColor rgb="FFF1E6FA"/>
        <bgColor rgb="FFFDEDEC"/>
      </patternFill>
    </fill>
    <fill>
      <patternFill patternType="solid">
        <fgColor rgb="FFEBFAEF"/>
        <bgColor rgb="FFF5F5F5"/>
      </patternFill>
    </fill>
    <fill>
      <patternFill patternType="solid">
        <fgColor rgb="FF82C784"/>
        <bgColor rgb="FF81B1FF"/>
      </patternFill>
    </fill>
    <fill>
      <patternFill patternType="solid">
        <fgColor rgb="FFFFF4CE"/>
        <bgColor rgb="FFFDEDEC"/>
      </patternFill>
    </fill>
    <fill>
      <patternFill patternType="solid">
        <fgColor rgb="FFF1C40F"/>
        <bgColor rgb="FFFF9900"/>
      </patternFill>
    </fill>
    <fill>
      <patternFill patternType="solid">
        <fgColor rgb="FFE67E22"/>
        <bgColor rgb="FFFF9900"/>
      </patternFill>
    </fill>
    <fill>
      <patternFill patternType="solid">
        <fgColor rgb="FFC0392B"/>
        <bgColor rgb="FFA63B3B"/>
      </patternFill>
    </fill>
    <fill>
      <patternFill patternType="solid">
        <fgColor rgb="FFAED6F1"/>
        <bgColor rgb="FFD6DBDF"/>
      </patternFill>
    </fill>
    <fill>
      <patternFill patternType="solid">
        <fgColor rgb="FFD6DBDF"/>
        <bgColor rgb="FFDCDCDC"/>
      </patternFill>
    </fill>
    <fill>
      <patternFill patternType="solid">
        <fgColor rgb="FFFDEDEC"/>
        <bgColor rgb="FFF5F5F5"/>
      </patternFill>
    </fill>
    <fill>
      <patternFill patternType="solid">
        <fgColor rgb="FF81B1FF"/>
        <bgColor rgb="FFAED6F1"/>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DCDCDC"/>
      </left>
      <right style="thin">
        <color rgb="FFDCDCDC"/>
      </right>
      <top style="thin">
        <color rgb="FFDCDCDC"/>
      </top>
      <bottom style="thin">
        <color rgb="FFDCDCDC"/>
      </bottom>
      <diagonal/>
    </border>
  </borders>
  <cellStyleXfs count="1">
    <xf numFmtId="0" fontId="0" fillId="0" borderId="0"/>
  </cellStyleXfs>
  <cellXfs count="90">
    <xf numFmtId="0" fontId="0" fillId="0" borderId="0" xfId="0"/>
    <xf numFmtId="0" fontId="15" fillId="4" borderId="1" xfId="0" applyFont="1" applyFill="1" applyBorder="1" applyAlignment="1">
      <alignment horizontal="left" vertical="top" wrapText="1"/>
    </xf>
    <xf numFmtId="0" fontId="21" fillId="5"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3" fillId="0" borderId="0" xfId="0" applyFont="1"/>
    <xf numFmtId="0" fontId="5"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0" borderId="0" xfId="0" applyFont="1"/>
    <xf numFmtId="0" fontId="8" fillId="0" borderId="0" xfId="0" applyFont="1"/>
    <xf numFmtId="0" fontId="12" fillId="6" borderId="1" xfId="0" applyFont="1" applyFill="1" applyBorder="1" applyAlignment="1">
      <alignment horizontal="center" vertical="center" wrapText="1"/>
    </xf>
    <xf numFmtId="0" fontId="13" fillId="4"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6" fillId="0" borderId="1" xfId="0" applyFont="1" applyBorder="1" applyAlignment="1">
      <alignment horizontal="left" vertical="top" wrapText="1"/>
    </xf>
    <xf numFmtId="0" fontId="12" fillId="0" borderId="1" xfId="0" applyFont="1" applyBorder="1" applyAlignment="1">
      <alignment horizontal="center" vertical="center" wrapText="1"/>
    </xf>
    <xf numFmtId="0" fontId="15" fillId="8"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9" borderId="1" xfId="0" applyFont="1" applyFill="1" applyBorder="1" applyAlignment="1">
      <alignment horizontal="left" vertical="top" wrapText="1"/>
    </xf>
    <xf numFmtId="0" fontId="15" fillId="1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5" fillId="11"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12" fillId="7"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2" fillId="4" borderId="1" xfId="0" applyFont="1" applyFill="1" applyBorder="1" applyAlignment="1">
      <alignment horizontal="center" vertical="center" wrapText="1"/>
    </xf>
    <xf numFmtId="0" fontId="12" fillId="15" borderId="1" xfId="0" applyFont="1" applyFill="1" applyBorder="1" applyAlignment="1">
      <alignment horizontal="center" vertical="center" wrapText="1"/>
    </xf>
    <xf numFmtId="0" fontId="19" fillId="0" borderId="1" xfId="0" applyFont="1" applyBorder="1" applyAlignment="1">
      <alignment horizontal="center" vertical="center" wrapText="1"/>
    </xf>
    <xf numFmtId="0" fontId="15" fillId="0" borderId="0" xfId="0" applyFont="1"/>
    <xf numFmtId="0" fontId="6" fillId="14" borderId="1" xfId="0" applyFont="1" applyFill="1" applyBorder="1"/>
    <xf numFmtId="0" fontId="6" fillId="13" borderId="1" xfId="0" applyFont="1" applyFill="1" applyBorder="1"/>
    <xf numFmtId="0" fontId="6" fillId="8" borderId="1" xfId="0" applyFont="1" applyFill="1" applyBorder="1"/>
    <xf numFmtId="0" fontId="6" fillId="10" borderId="1" xfId="0" applyFont="1" applyFill="1" applyBorder="1"/>
    <xf numFmtId="0" fontId="20" fillId="11" borderId="1" xfId="0" applyFont="1" applyFill="1" applyBorder="1"/>
    <xf numFmtId="0" fontId="20" fillId="12" borderId="1" xfId="0" applyFont="1" applyFill="1" applyBorder="1"/>
    <xf numFmtId="15" fontId="6" fillId="0" borderId="1" xfId="0" applyNumberFormat="1" applyFont="1" applyBorder="1" applyAlignment="1">
      <alignment horizontal="center" vertical="center" wrapText="1"/>
    </xf>
    <xf numFmtId="0" fontId="6" fillId="7"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15" fillId="4" borderId="1" xfId="0" applyFont="1" applyFill="1" applyBorder="1"/>
    <xf numFmtId="0" fontId="5" fillId="3" borderId="0" xfId="0" applyFont="1" applyFill="1" applyAlignment="1">
      <alignment horizontal="center" vertical="center" wrapText="1"/>
    </xf>
    <xf numFmtId="0" fontId="12" fillId="16" borderId="0" xfId="0" applyFont="1" applyFill="1" applyAlignment="1">
      <alignment horizontal="center" vertical="center" wrapText="1"/>
    </xf>
    <xf numFmtId="0" fontId="12" fillId="16" borderId="1" xfId="0" applyFont="1" applyFill="1" applyBorder="1" applyAlignment="1">
      <alignment horizontal="center" vertical="center" wrapText="1"/>
    </xf>
    <xf numFmtId="0" fontId="22" fillId="0" borderId="1" xfId="0" applyFont="1" applyBorder="1" applyAlignment="1">
      <alignment horizontal="center" vertical="center" wrapText="1"/>
    </xf>
    <xf numFmtId="0" fontId="23" fillId="6" borderId="1" xfId="0" applyFont="1" applyFill="1" applyBorder="1" applyAlignment="1">
      <alignment horizontal="left" vertical="top" wrapText="1"/>
    </xf>
    <xf numFmtId="0" fontId="23" fillId="7" borderId="1" xfId="0" applyFont="1" applyFill="1" applyBorder="1" applyAlignment="1">
      <alignment horizontal="left" vertical="top" wrapText="1"/>
    </xf>
    <xf numFmtId="0" fontId="23" fillId="4" borderId="1" xfId="0" applyFont="1" applyFill="1" applyBorder="1" applyAlignment="1">
      <alignment horizontal="left" vertical="top" wrapText="1"/>
    </xf>
    <xf numFmtId="0" fontId="23" fillId="15" borderId="1" xfId="0" applyFont="1" applyFill="1" applyBorder="1" applyAlignment="1">
      <alignment horizontal="left" vertical="top" wrapText="1"/>
    </xf>
    <xf numFmtId="0" fontId="12" fillId="2"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15" borderId="1" xfId="0" applyFont="1" applyFill="1" applyBorder="1" applyAlignment="1">
      <alignment horizontal="left" vertical="top" wrapText="1"/>
    </xf>
    <xf numFmtId="0" fontId="3" fillId="4" borderId="1" xfId="0" applyFont="1" applyFill="1" applyBorder="1"/>
    <xf numFmtId="0" fontId="24"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26" fillId="3" borderId="0" xfId="0" applyFont="1" applyFill="1" applyAlignment="1">
      <alignment horizontal="center" vertical="center" wrapText="1"/>
    </xf>
    <xf numFmtId="0" fontId="26" fillId="3" borderId="1" xfId="0" applyFont="1" applyFill="1" applyBorder="1" applyAlignment="1">
      <alignment horizontal="center" vertical="center" wrapText="1"/>
    </xf>
    <xf numFmtId="0" fontId="27" fillId="4" borderId="1" xfId="0" applyFont="1" applyFill="1" applyBorder="1" applyAlignment="1">
      <alignment horizontal="left" vertical="top" wrapText="1"/>
    </xf>
    <xf numFmtId="0" fontId="0" fillId="0" borderId="1" xfId="0" applyBorder="1"/>
    <xf numFmtId="0" fontId="0" fillId="2" borderId="1" xfId="0" applyFill="1" applyBorder="1"/>
    <xf numFmtId="0" fontId="0" fillId="7" borderId="1" xfId="0" applyFill="1" applyBorder="1"/>
    <xf numFmtId="0" fontId="0" fillId="4" borderId="1" xfId="0" applyFill="1" applyBorder="1"/>
    <xf numFmtId="0" fontId="0" fillId="15" borderId="1" xfId="0" applyFill="1" applyBorder="1"/>
    <xf numFmtId="0" fontId="28" fillId="4" borderId="1" xfId="0" applyFont="1" applyFill="1" applyBorder="1" applyAlignment="1">
      <alignment horizontal="left" vertical="top" wrapText="1"/>
    </xf>
    <xf numFmtId="0" fontId="29" fillId="0" borderId="0" xfId="0" applyFont="1"/>
    <xf numFmtId="0" fontId="1" fillId="0" borderId="0" xfId="0" applyFont="1"/>
    <xf numFmtId="0" fontId="2" fillId="0" borderId="0" xfId="0" applyFont="1"/>
    <xf numFmtId="0" fontId="6" fillId="2" borderId="1" xfId="0" applyFont="1" applyFill="1" applyBorder="1"/>
    <xf numFmtId="0" fontId="6" fillId="7" borderId="1" xfId="0" applyFont="1" applyFill="1" applyBorder="1"/>
    <xf numFmtId="0" fontId="6" fillId="4" borderId="1" xfId="0" applyFont="1" applyFill="1" applyBorder="1"/>
    <xf numFmtId="0" fontId="6" fillId="15" borderId="1" xfId="0" applyFont="1" applyFill="1" applyBorder="1"/>
    <xf numFmtId="0" fontId="6" fillId="9" borderId="1" xfId="0" applyFont="1" applyFill="1" applyBorder="1"/>
    <xf numFmtId="0" fontId="9" fillId="3" borderId="0" xfId="0" applyFont="1" applyFill="1" applyAlignment="1">
      <alignment vertical="center" indent="1"/>
    </xf>
    <xf numFmtId="0" fontId="10" fillId="0" borderId="0" xfId="0" applyFont="1" applyAlignment="1">
      <alignment horizontal="left" vertical="top" wrapText="1"/>
    </xf>
    <xf numFmtId="0" fontId="11" fillId="5" borderId="0" xfId="0" applyFont="1" applyFill="1" applyAlignment="1">
      <alignment vertical="center" indent="1"/>
    </xf>
    <xf numFmtId="0" fontId="6" fillId="6" borderId="1" xfId="0" applyFont="1" applyFill="1" applyBorder="1"/>
    <xf numFmtId="0" fontId="15" fillId="4" borderId="1" xfId="0" applyFont="1" applyFill="1" applyBorder="1" applyAlignment="1">
      <alignment horizontal="left" vertical="top" wrapText="1"/>
    </xf>
    <xf numFmtId="0" fontId="11" fillId="3" borderId="0" xfId="0" applyFont="1" applyFill="1" applyAlignment="1">
      <alignment vertical="center" indent="1"/>
    </xf>
    <xf numFmtId="0" fontId="21" fillId="5" borderId="1" xfId="0" applyFont="1" applyFill="1" applyBorder="1" applyAlignment="1">
      <alignment horizontal="center" vertical="center" wrapText="1"/>
    </xf>
    <xf numFmtId="0" fontId="6" fillId="0" borderId="1" xfId="0" applyFont="1" applyBorder="1" applyAlignment="1">
      <alignment horizontal="left" vertical="top" wrapText="1"/>
    </xf>
    <xf numFmtId="0" fontId="25" fillId="0" borderId="0" xfId="0" applyFont="1"/>
    <xf numFmtId="0" fontId="21" fillId="5" borderId="0" xfId="0" applyFont="1" applyFill="1" applyAlignment="1">
      <alignment vertical="center" indent="1"/>
    </xf>
    <xf numFmtId="0" fontId="6" fillId="17" borderId="1" xfId="0" applyFont="1" applyFill="1" applyBorder="1" applyAlignment="1">
      <alignment horizontal="left" vertical="top" wrapText="1"/>
    </xf>
    <xf numFmtId="0" fontId="6" fillId="18" borderId="1" xfId="0" applyFont="1" applyFill="1" applyBorder="1" applyAlignment="1">
      <alignment horizontal="left" vertical="top" wrapText="1"/>
    </xf>
    <xf numFmtId="0" fontId="6" fillId="19" borderId="1" xfId="0" applyFont="1" applyFill="1" applyBorder="1" applyAlignment="1">
      <alignment horizontal="left" vertical="top" wrapText="1"/>
    </xf>
    <xf numFmtId="0" fontId="6" fillId="19"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E6B3A"/>
      <rgbColor rgb="FF000080"/>
      <rgbColor rgb="FF808000"/>
      <rgbColor rgb="FF800080"/>
      <rgbColor rgb="FF008080"/>
      <rgbColor rgb="FFDCDCDC"/>
      <rgbColor rgb="FF808080"/>
      <rgbColor rgb="FF81B1FF"/>
      <rgbColor rgb="FFA63B3B"/>
      <rgbColor rgb="FFFFF4CE"/>
      <rgbColor rgb="FFEBFAEF"/>
      <rgbColor rgb="FF660066"/>
      <rgbColor rgb="FFFF8080"/>
      <rgbColor rgb="FF0066CC"/>
      <rgbColor rgb="FFD6DBDF"/>
      <rgbColor rgb="FF000080"/>
      <rgbColor rgb="FFFF00FF"/>
      <rgbColor rgb="FFFFFF00"/>
      <rgbColor rgb="FF00FFFF"/>
      <rgbColor rgb="FF800080"/>
      <rgbColor rgb="FF800000"/>
      <rgbColor rgb="FF008080"/>
      <rgbColor rgb="FF0000FF"/>
      <rgbColor rgb="FF00CCFF"/>
      <rgbColor rgb="FFDFEAFF"/>
      <rgbColor rgb="FFF5F5F5"/>
      <rgbColor rgb="FFFDEDEC"/>
      <rgbColor rgb="FFAED6F1"/>
      <rgbColor rgb="FFFF99CC"/>
      <rgbColor rgb="FFCC99FF"/>
      <rgbColor rgb="FFF1E6FA"/>
      <rgbColor rgb="FF2D6DF6"/>
      <rgbColor rgb="FF33CCCC"/>
      <rgbColor rgb="FF99CC00"/>
      <rgbColor rgb="FFF1C40F"/>
      <rgbColor rgb="FFFF9900"/>
      <rgbColor rgb="FFE67E22"/>
      <rgbColor rgb="FF6B6B6B"/>
      <rgbColor rgb="FF82C784"/>
      <rgbColor rgb="FF0033A0"/>
      <rgbColor rgb="FF339966"/>
      <rgbColor rgb="FF003300"/>
      <rgbColor rgb="FF404040"/>
      <rgbColor rgb="FFC0392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Vanessa Roldan Muñoz" id="{C286D49B-4F94-4D96-B566-85D5F391CF8D}" userId="S::vanessaroldan@sura.com.co::6905a47e-d5f2-46b1-8ae8-536e764512ee"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0" dT="2026-08-21T21:41:24.84" personId="{C286D49B-4F94-4D96-B566-85D5F391CF8D}" id="{F8F4189E-DF7D-483C-B191-A1C63F9A3F79}">
    <text>Revisar con Milton sobre las modificaciones para este modelo</text>
  </threadedComment>
  <threadedComment ref="F29" dT="2026-08-21T22:04:39.55" personId="{C286D49B-4F94-4D96-B566-85D5F391CF8D}" id="{4269C6BA-D47E-4BF2-9609-AE7C35C8BF61}">
    <text>Esta actividad es de lo primero</text>
  </threadedComment>
</ThreadedComment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namedSheetView" Target="../namedSheetViews/namedSheetView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7"/>
  <sheetViews>
    <sheetView showGridLines="0" zoomScaleNormal="100" workbookViewId="0">
      <selection activeCell="C5" sqref="C5"/>
    </sheetView>
  </sheetViews>
  <sheetFormatPr baseColWidth="10" defaultColWidth="8.7265625" defaultRowHeight="14.5" x14ac:dyDescent="0.35"/>
  <cols>
    <col min="1" max="1" width="3" customWidth="1"/>
    <col min="2" max="2" width="34" customWidth="1"/>
    <col min="3" max="3" width="108" customWidth="1"/>
    <col min="4" max="4" width="16" customWidth="1"/>
    <col min="5" max="5" width="14" customWidth="1"/>
  </cols>
  <sheetData>
    <row r="2" spans="2:3" ht="20" x14ac:dyDescent="0.4">
      <c r="B2" s="69" t="s">
        <v>0</v>
      </c>
      <c r="C2" s="69"/>
    </row>
    <row r="3" spans="2:3" x14ac:dyDescent="0.35">
      <c r="B3" s="70" t="s">
        <v>1</v>
      </c>
      <c r="C3" s="70"/>
    </row>
    <row r="5" spans="2:3" ht="64.5" customHeight="1" x14ac:dyDescent="0.35">
      <c r="B5" s="3" t="s">
        <v>2</v>
      </c>
      <c r="C5" s="4" t="s">
        <v>3</v>
      </c>
    </row>
    <row r="6" spans="2:3" ht="51.75" customHeight="1" x14ac:dyDescent="0.35">
      <c r="B6" s="3" t="s">
        <v>4</v>
      </c>
      <c r="C6" s="4" t="s">
        <v>5</v>
      </c>
    </row>
    <row r="7" spans="2:3" ht="64.5" customHeight="1" x14ac:dyDescent="0.35">
      <c r="B7" s="3" t="s">
        <v>6</v>
      </c>
      <c r="C7" s="4" t="s">
        <v>7</v>
      </c>
    </row>
    <row r="8" spans="2:3" ht="78" customHeight="1" x14ac:dyDescent="0.35">
      <c r="B8" s="3" t="s">
        <v>8</v>
      </c>
      <c r="C8" s="4" t="s">
        <v>9</v>
      </c>
    </row>
    <row r="9" spans="2:3" ht="51.75" customHeight="1" x14ac:dyDescent="0.35">
      <c r="B9" s="3" t="s">
        <v>10</v>
      </c>
      <c r="C9" s="4" t="s">
        <v>11</v>
      </c>
    </row>
    <row r="10" spans="2:3" ht="30" customHeight="1" x14ac:dyDescent="0.35">
      <c r="B10" s="3" t="s">
        <v>12</v>
      </c>
      <c r="C10" s="4" t="s">
        <v>13</v>
      </c>
    </row>
    <row r="11" spans="2:3" ht="30" customHeight="1" x14ac:dyDescent="0.35">
      <c r="B11" s="3" t="s">
        <v>14</v>
      </c>
      <c r="C11" s="4" t="s">
        <v>15</v>
      </c>
    </row>
    <row r="12" spans="2:3" ht="30" customHeight="1" x14ac:dyDescent="0.35">
      <c r="B12" s="3" t="s">
        <v>16</v>
      </c>
      <c r="C12" s="4" t="s">
        <v>17</v>
      </c>
    </row>
    <row r="13" spans="2:3" ht="51.75" customHeight="1" x14ac:dyDescent="0.35">
      <c r="B13" s="3" t="s">
        <v>18</v>
      </c>
      <c r="C13" s="4" t="s">
        <v>19</v>
      </c>
    </row>
    <row r="14" spans="2:3" ht="39" customHeight="1" x14ac:dyDescent="0.35">
      <c r="B14" s="3" t="s">
        <v>20</v>
      </c>
      <c r="C14" s="4" t="s">
        <v>21</v>
      </c>
    </row>
    <row r="15" spans="2:3" ht="30" customHeight="1" x14ac:dyDescent="0.35">
      <c r="B15" s="3" t="s">
        <v>22</v>
      </c>
      <c r="C15" s="4" t="s">
        <v>23</v>
      </c>
    </row>
    <row r="16" spans="2:3" ht="30" customHeight="1" x14ac:dyDescent="0.35">
      <c r="B16" s="3" t="s">
        <v>24</v>
      </c>
      <c r="C16" s="4" t="s">
        <v>25</v>
      </c>
    </row>
    <row r="18" spans="2:5" x14ac:dyDescent="0.35">
      <c r="B18" s="5" t="s">
        <v>26</v>
      </c>
    </row>
    <row r="19" spans="2:5" x14ac:dyDescent="0.35">
      <c r="B19" s="6" t="s">
        <v>27</v>
      </c>
      <c r="C19" s="6" t="s">
        <v>28</v>
      </c>
      <c r="D19" s="6" t="s">
        <v>29</v>
      </c>
      <c r="E19" s="6" t="s">
        <v>14</v>
      </c>
    </row>
    <row r="20" spans="2:5" x14ac:dyDescent="0.35">
      <c r="B20" s="7" t="s">
        <v>30</v>
      </c>
      <c r="C20" s="7" t="s">
        <v>31</v>
      </c>
      <c r="D20" s="7" t="s">
        <v>32</v>
      </c>
      <c r="E20" s="7" t="s">
        <v>33</v>
      </c>
    </row>
    <row r="21" spans="2:5" x14ac:dyDescent="0.35">
      <c r="B21" s="7" t="s">
        <v>34</v>
      </c>
      <c r="C21" s="7" t="s">
        <v>35</v>
      </c>
      <c r="D21" s="7" t="s">
        <v>36</v>
      </c>
      <c r="E21" s="7" t="s">
        <v>37</v>
      </c>
    </row>
    <row r="22" spans="2:5" x14ac:dyDescent="0.35">
      <c r="B22" s="7" t="s">
        <v>38</v>
      </c>
      <c r="C22" s="7" t="s">
        <v>39</v>
      </c>
      <c r="D22" s="7" t="s">
        <v>40</v>
      </c>
      <c r="E22" s="7" t="s">
        <v>41</v>
      </c>
    </row>
    <row r="23" spans="2:5" x14ac:dyDescent="0.35">
      <c r="B23" s="7" t="s">
        <v>42</v>
      </c>
      <c r="C23" s="7" t="s">
        <v>43</v>
      </c>
      <c r="D23" s="7" t="s">
        <v>44</v>
      </c>
      <c r="E23" s="7" t="s">
        <v>45</v>
      </c>
    </row>
    <row r="24" spans="2:5" x14ac:dyDescent="0.35">
      <c r="B24" s="7" t="s">
        <v>46</v>
      </c>
      <c r="C24" s="7" t="s">
        <v>47</v>
      </c>
      <c r="D24" s="7" t="s">
        <v>48</v>
      </c>
      <c r="E24" s="7" t="s">
        <v>49</v>
      </c>
    </row>
    <row r="27" spans="2:5" x14ac:dyDescent="0.35">
      <c r="B27" s="8" t="s">
        <v>50</v>
      </c>
      <c r="C27" s="9" t="s">
        <v>51</v>
      </c>
    </row>
  </sheetData>
  <mergeCells count="2">
    <mergeCell ref="B2:C2"/>
    <mergeCell ref="B3:C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191"/>
  <sheetViews>
    <sheetView showGridLines="0" zoomScale="79" zoomScaleNormal="100" workbookViewId="0">
      <pane xSplit="4" ySplit="5" topLeftCell="E75" activePane="bottomRight" state="frozen"/>
      <selection pane="topRight" activeCell="E1" sqref="E1"/>
      <selection pane="bottomLeft" activeCell="A6" sqref="A6"/>
      <selection pane="bottomRight" activeCell="E18" sqref="E18"/>
    </sheetView>
  </sheetViews>
  <sheetFormatPr baseColWidth="10" defaultColWidth="8.7265625" defaultRowHeight="14.5" x14ac:dyDescent="0.35"/>
  <cols>
    <col min="1" max="1" width="13" customWidth="1"/>
    <col min="2" max="2" width="28" customWidth="1"/>
    <col min="3" max="3" width="7" customWidth="1"/>
    <col min="4" max="4" width="20" customWidth="1"/>
    <col min="5" max="5" width="58" customWidth="1"/>
    <col min="6" max="6" width="40" customWidth="1"/>
    <col min="7" max="7" width="15" customWidth="1"/>
    <col min="8" max="8" width="7" customWidth="1"/>
    <col min="9" max="9" width="12" customWidth="1"/>
    <col min="10" max="10" width="40" customWidth="1"/>
    <col min="11" max="11" width="2.453125" customWidth="1"/>
    <col min="12" max="12" width="33" customWidth="1"/>
    <col min="13" max="13" width="23" customWidth="1"/>
    <col min="14" max="14" width="29" customWidth="1"/>
    <col min="15" max="15" width="31" customWidth="1"/>
    <col min="16" max="16" width="33" customWidth="1"/>
  </cols>
  <sheetData>
    <row r="1" spans="1:16" ht="25.5" customHeight="1" x14ac:dyDescent="0.35">
      <c r="A1" s="76" t="s">
        <v>1298</v>
      </c>
      <c r="B1" s="76"/>
      <c r="C1" s="76"/>
      <c r="D1" s="76"/>
      <c r="E1" s="76"/>
      <c r="F1" s="76"/>
      <c r="G1" s="76"/>
      <c r="H1" s="76"/>
      <c r="I1" s="76"/>
      <c r="J1" s="76"/>
      <c r="K1" s="76"/>
      <c r="L1" s="76"/>
      <c r="M1" s="76"/>
      <c r="N1" s="76"/>
      <c r="O1" s="76"/>
      <c r="P1" s="76"/>
    </row>
    <row r="2" spans="1:16" ht="30" customHeight="1" x14ac:dyDescent="0.35">
      <c r="A2" s="77" t="s">
        <v>52</v>
      </c>
      <c r="B2" s="77"/>
      <c r="C2" s="77"/>
      <c r="D2" s="77"/>
      <c r="E2" s="77"/>
      <c r="F2" s="77"/>
      <c r="G2" s="77"/>
      <c r="H2" s="77"/>
      <c r="I2" s="77"/>
      <c r="J2" s="77"/>
      <c r="K2" s="77"/>
      <c r="L2" s="77"/>
      <c r="M2" s="77"/>
      <c r="N2" s="77"/>
      <c r="O2" s="77"/>
      <c r="P2" s="77"/>
    </row>
    <row r="4" spans="1:16" ht="19.5" customHeight="1" x14ac:dyDescent="0.35">
      <c r="A4" s="78" t="s">
        <v>53</v>
      </c>
      <c r="B4" s="78"/>
      <c r="C4" s="78"/>
      <c r="D4" s="78"/>
      <c r="E4" s="78"/>
      <c r="F4" s="78"/>
      <c r="G4" s="78"/>
      <c r="H4" s="78"/>
      <c r="I4" s="78"/>
      <c r="J4" s="78"/>
      <c r="L4" s="78" t="s">
        <v>54</v>
      </c>
      <c r="M4" s="78"/>
      <c r="N4" s="78"/>
      <c r="O4" s="78"/>
      <c r="P4" s="78"/>
    </row>
    <row r="5" spans="1:16" ht="33.75" customHeight="1" x14ac:dyDescent="0.35">
      <c r="A5" s="6" t="s">
        <v>27</v>
      </c>
      <c r="B5" s="6" t="s">
        <v>55</v>
      </c>
      <c r="C5" s="6" t="s">
        <v>56</v>
      </c>
      <c r="D5" s="6" t="s">
        <v>57</v>
      </c>
      <c r="E5" s="6" t="s">
        <v>58</v>
      </c>
      <c r="F5" s="6" t="s">
        <v>59</v>
      </c>
      <c r="G5" s="6" t="s">
        <v>60</v>
      </c>
      <c r="H5" s="6" t="s">
        <v>61</v>
      </c>
      <c r="I5" s="6" t="s">
        <v>62</v>
      </c>
      <c r="J5" s="6" t="s">
        <v>63</v>
      </c>
      <c r="L5" s="6" t="s">
        <v>64</v>
      </c>
      <c r="M5" s="6" t="s">
        <v>65</v>
      </c>
      <c r="N5" s="6" t="s">
        <v>66</v>
      </c>
      <c r="O5" s="6" t="s">
        <v>67</v>
      </c>
      <c r="P5" s="6" t="s">
        <v>68</v>
      </c>
    </row>
    <row r="6" spans="1:16" ht="30" hidden="1" customHeight="1" x14ac:dyDescent="0.35">
      <c r="A6" s="10" t="s">
        <v>30</v>
      </c>
      <c r="B6" s="11" t="s">
        <v>69</v>
      </c>
      <c r="C6" s="12" t="s">
        <v>70</v>
      </c>
      <c r="D6" s="13" t="s">
        <v>71</v>
      </c>
      <c r="E6" s="14" t="s">
        <v>72</v>
      </c>
      <c r="F6" s="14" t="s">
        <v>73</v>
      </c>
      <c r="G6" s="15" t="s">
        <v>74</v>
      </c>
      <c r="H6" s="16" t="s">
        <v>75</v>
      </c>
      <c r="I6" s="17" t="s">
        <v>30</v>
      </c>
      <c r="J6" s="14" t="s">
        <v>76</v>
      </c>
      <c r="L6" s="1" t="s">
        <v>77</v>
      </c>
      <c r="M6" s="14" t="s">
        <v>78</v>
      </c>
      <c r="N6" s="14" t="s">
        <v>79</v>
      </c>
      <c r="O6" s="14" t="s">
        <v>80</v>
      </c>
      <c r="P6" s="14" t="s">
        <v>81</v>
      </c>
    </row>
    <row r="7" spans="1:16" ht="30" customHeight="1" x14ac:dyDescent="0.35">
      <c r="A7" s="10" t="s">
        <v>30</v>
      </c>
      <c r="B7" s="11" t="s">
        <v>82</v>
      </c>
      <c r="C7" s="12" t="s">
        <v>70</v>
      </c>
      <c r="D7" s="13" t="s">
        <v>71</v>
      </c>
      <c r="E7" s="14" t="s">
        <v>83</v>
      </c>
      <c r="F7" s="14" t="s">
        <v>84</v>
      </c>
      <c r="G7" s="15" t="s">
        <v>74</v>
      </c>
      <c r="H7" s="16" t="s">
        <v>75</v>
      </c>
      <c r="I7" s="17" t="s">
        <v>30</v>
      </c>
      <c r="J7" s="14" t="s">
        <v>85</v>
      </c>
      <c r="L7" s="1" t="s">
        <v>86</v>
      </c>
      <c r="M7" s="18" t="s">
        <v>87</v>
      </c>
      <c r="N7" s="18" t="s">
        <v>87</v>
      </c>
      <c r="O7" s="18" t="s">
        <v>87</v>
      </c>
      <c r="P7" s="14" t="s">
        <v>88</v>
      </c>
    </row>
    <row r="8" spans="1:16" ht="30" customHeight="1" x14ac:dyDescent="0.35">
      <c r="A8" s="10" t="s">
        <v>30</v>
      </c>
      <c r="B8" s="11" t="s">
        <v>82</v>
      </c>
      <c r="C8" s="12" t="s">
        <v>70</v>
      </c>
      <c r="D8" s="13" t="s">
        <v>71</v>
      </c>
      <c r="E8" s="14" t="s">
        <v>89</v>
      </c>
      <c r="F8" s="14" t="s">
        <v>73</v>
      </c>
      <c r="G8" s="15" t="s">
        <v>74</v>
      </c>
      <c r="H8" s="16" t="s">
        <v>75</v>
      </c>
      <c r="I8" s="17" t="s">
        <v>30</v>
      </c>
      <c r="J8" s="14" t="s">
        <v>90</v>
      </c>
      <c r="L8" s="1" t="s">
        <v>91</v>
      </c>
      <c r="M8" s="14" t="s">
        <v>78</v>
      </c>
      <c r="N8" s="14" t="s">
        <v>79</v>
      </c>
      <c r="O8" s="14" t="s">
        <v>92</v>
      </c>
      <c r="P8" s="14" t="s">
        <v>93</v>
      </c>
    </row>
    <row r="9" spans="1:16" ht="30" customHeight="1" x14ac:dyDescent="0.35">
      <c r="A9" s="10" t="s">
        <v>30</v>
      </c>
      <c r="B9" s="11" t="s">
        <v>82</v>
      </c>
      <c r="C9" s="12" t="s">
        <v>70</v>
      </c>
      <c r="D9" s="13" t="s">
        <v>71</v>
      </c>
      <c r="E9" s="14" t="s">
        <v>94</v>
      </c>
      <c r="F9" s="14" t="s">
        <v>73</v>
      </c>
      <c r="G9" s="15" t="s">
        <v>74</v>
      </c>
      <c r="H9" s="19" t="s">
        <v>95</v>
      </c>
      <c r="I9" s="17" t="s">
        <v>30</v>
      </c>
      <c r="J9" s="14" t="s">
        <v>96</v>
      </c>
      <c r="L9" s="1" t="s">
        <v>97</v>
      </c>
      <c r="M9" s="14" t="s">
        <v>98</v>
      </c>
      <c r="N9" s="14" t="s">
        <v>99</v>
      </c>
      <c r="O9" s="14" t="s">
        <v>100</v>
      </c>
      <c r="P9" s="14" t="s">
        <v>101</v>
      </c>
    </row>
    <row r="10" spans="1:16" ht="30" customHeight="1" x14ac:dyDescent="0.35">
      <c r="A10" s="10" t="s">
        <v>30</v>
      </c>
      <c r="B10" s="11" t="s">
        <v>82</v>
      </c>
      <c r="C10" s="12" t="s">
        <v>70</v>
      </c>
      <c r="D10" s="13" t="s">
        <v>71</v>
      </c>
      <c r="E10" s="14" t="s">
        <v>102</v>
      </c>
      <c r="F10" s="14" t="s">
        <v>103</v>
      </c>
      <c r="G10" s="15" t="s">
        <v>74</v>
      </c>
      <c r="H10" s="19" t="s">
        <v>95</v>
      </c>
      <c r="I10" s="17" t="s">
        <v>30</v>
      </c>
      <c r="J10" s="14" t="s">
        <v>90</v>
      </c>
      <c r="L10" s="1" t="s">
        <v>104</v>
      </c>
      <c r="M10" s="14" t="s">
        <v>105</v>
      </c>
      <c r="N10" s="14" t="s">
        <v>106</v>
      </c>
      <c r="O10" s="14" t="s">
        <v>107</v>
      </c>
      <c r="P10" s="14" t="s">
        <v>108</v>
      </c>
    </row>
    <row r="11" spans="1:16" ht="30" customHeight="1" x14ac:dyDescent="0.35">
      <c r="A11" s="10" t="s">
        <v>30</v>
      </c>
      <c r="B11" s="11" t="s">
        <v>82</v>
      </c>
      <c r="C11" s="12" t="s">
        <v>70</v>
      </c>
      <c r="D11" s="13" t="s">
        <v>71</v>
      </c>
      <c r="E11" s="14" t="s">
        <v>109</v>
      </c>
      <c r="F11" s="14" t="s">
        <v>110</v>
      </c>
      <c r="G11" s="15" t="s">
        <v>74</v>
      </c>
      <c r="H11" s="19" t="s">
        <v>95</v>
      </c>
      <c r="I11" s="17" t="s">
        <v>30</v>
      </c>
      <c r="J11" s="14" t="s">
        <v>111</v>
      </c>
      <c r="L11" s="1" t="s">
        <v>112</v>
      </c>
      <c r="M11" s="14" t="s">
        <v>105</v>
      </c>
      <c r="N11" s="14" t="s">
        <v>113</v>
      </c>
      <c r="O11" s="14" t="s">
        <v>114</v>
      </c>
      <c r="P11" s="14" t="s">
        <v>115</v>
      </c>
    </row>
    <row r="12" spans="1:16" ht="30" customHeight="1" x14ac:dyDescent="0.35">
      <c r="A12" s="10" t="s">
        <v>30</v>
      </c>
      <c r="B12" s="11" t="s">
        <v>82</v>
      </c>
      <c r="C12" s="12" t="s">
        <v>70</v>
      </c>
      <c r="D12" s="13" t="s">
        <v>71</v>
      </c>
      <c r="E12" s="14" t="s">
        <v>116</v>
      </c>
      <c r="F12" s="14" t="s">
        <v>73</v>
      </c>
      <c r="G12" s="15" t="s">
        <v>74</v>
      </c>
      <c r="H12" s="19" t="s">
        <v>95</v>
      </c>
      <c r="I12" s="17" t="s">
        <v>30</v>
      </c>
      <c r="J12" s="14" t="s">
        <v>90</v>
      </c>
      <c r="L12" s="1" t="s">
        <v>117</v>
      </c>
      <c r="M12" s="14" t="s">
        <v>105</v>
      </c>
      <c r="N12" s="14" t="s">
        <v>106</v>
      </c>
      <c r="O12" s="14" t="s">
        <v>118</v>
      </c>
      <c r="P12" s="14" t="s">
        <v>119</v>
      </c>
    </row>
    <row r="13" spans="1:16" ht="30" customHeight="1" x14ac:dyDescent="0.35">
      <c r="A13" s="10" t="s">
        <v>30</v>
      </c>
      <c r="B13" s="11" t="s">
        <v>82</v>
      </c>
      <c r="C13" s="12" t="s">
        <v>70</v>
      </c>
      <c r="D13" s="13" t="s">
        <v>71</v>
      </c>
      <c r="E13" s="14" t="s">
        <v>120</v>
      </c>
      <c r="F13" s="14" t="s">
        <v>121</v>
      </c>
      <c r="G13" s="15" t="s">
        <v>74</v>
      </c>
      <c r="H13" s="16" t="s">
        <v>75</v>
      </c>
      <c r="I13" s="17" t="s">
        <v>30</v>
      </c>
      <c r="J13" s="14" t="s">
        <v>122</v>
      </c>
      <c r="L13" s="1" t="s">
        <v>123</v>
      </c>
      <c r="M13" s="14" t="s">
        <v>98</v>
      </c>
      <c r="N13" s="14" t="s">
        <v>99</v>
      </c>
      <c r="O13" s="14" t="s">
        <v>124</v>
      </c>
      <c r="P13" s="14" t="s">
        <v>125</v>
      </c>
    </row>
    <row r="14" spans="1:16" ht="30" customHeight="1" x14ac:dyDescent="0.35">
      <c r="A14" s="10" t="s">
        <v>30</v>
      </c>
      <c r="B14" s="11" t="s">
        <v>82</v>
      </c>
      <c r="C14" s="12" t="s">
        <v>70</v>
      </c>
      <c r="D14" s="13" t="s">
        <v>71</v>
      </c>
      <c r="E14" s="14" t="s">
        <v>126</v>
      </c>
      <c r="F14" s="14" t="s">
        <v>73</v>
      </c>
      <c r="G14" s="15" t="s">
        <v>74</v>
      </c>
      <c r="H14" s="16" t="s">
        <v>75</v>
      </c>
      <c r="I14" s="17" t="s">
        <v>30</v>
      </c>
      <c r="J14" s="14" t="s">
        <v>127</v>
      </c>
      <c r="L14" s="1" t="s">
        <v>128</v>
      </c>
      <c r="M14" s="14" t="s">
        <v>129</v>
      </c>
      <c r="N14" s="14" t="s">
        <v>130</v>
      </c>
      <c r="O14" s="14" t="s">
        <v>131</v>
      </c>
      <c r="P14" s="14" t="s">
        <v>132</v>
      </c>
    </row>
    <row r="15" spans="1:16" ht="30" customHeight="1" x14ac:dyDescent="0.35">
      <c r="A15" s="10" t="s">
        <v>30</v>
      </c>
      <c r="B15" s="11" t="s">
        <v>82</v>
      </c>
      <c r="C15" s="12" t="s">
        <v>70</v>
      </c>
      <c r="D15" s="13" t="s">
        <v>71</v>
      </c>
      <c r="E15" s="14" t="s">
        <v>133</v>
      </c>
      <c r="F15" s="14" t="s">
        <v>73</v>
      </c>
      <c r="G15" s="15" t="s">
        <v>74</v>
      </c>
      <c r="H15" s="16" t="s">
        <v>75</v>
      </c>
      <c r="I15" s="17" t="s">
        <v>30</v>
      </c>
      <c r="J15" s="14" t="s">
        <v>90</v>
      </c>
      <c r="L15" s="1" t="s">
        <v>134</v>
      </c>
      <c r="M15" s="14" t="s">
        <v>135</v>
      </c>
      <c r="N15" s="14" t="s">
        <v>136</v>
      </c>
      <c r="O15" s="14" t="s">
        <v>137</v>
      </c>
      <c r="P15" s="14" t="s">
        <v>138</v>
      </c>
    </row>
    <row r="16" spans="1:16" ht="30" hidden="1" customHeight="1" x14ac:dyDescent="0.35">
      <c r="A16" s="10" t="s">
        <v>30</v>
      </c>
      <c r="B16" s="11" t="s">
        <v>139</v>
      </c>
      <c r="C16" s="12" t="s">
        <v>70</v>
      </c>
      <c r="D16" s="13" t="s">
        <v>71</v>
      </c>
      <c r="E16" s="14" t="s">
        <v>140</v>
      </c>
      <c r="F16" s="14" t="s">
        <v>73</v>
      </c>
      <c r="G16" s="15" t="s">
        <v>74</v>
      </c>
      <c r="H16" s="19" t="s">
        <v>95</v>
      </c>
      <c r="I16" s="17" t="s">
        <v>30</v>
      </c>
      <c r="J16" s="14" t="s">
        <v>141</v>
      </c>
      <c r="L16" s="1" t="s">
        <v>142</v>
      </c>
      <c r="M16" s="14" t="s">
        <v>143</v>
      </c>
      <c r="N16" s="14" t="s">
        <v>137</v>
      </c>
      <c r="O16" s="14" t="s">
        <v>137</v>
      </c>
      <c r="P16" s="14" t="s">
        <v>144</v>
      </c>
    </row>
    <row r="17" spans="1:16" ht="34.5" x14ac:dyDescent="0.35">
      <c r="A17" s="20" t="s">
        <v>34</v>
      </c>
      <c r="B17" s="11" t="s">
        <v>82</v>
      </c>
      <c r="C17" s="12" t="s">
        <v>70</v>
      </c>
      <c r="D17" s="21" t="s">
        <v>145</v>
      </c>
      <c r="E17" s="14" t="s">
        <v>146</v>
      </c>
      <c r="F17" s="86" t="s">
        <v>1277</v>
      </c>
      <c r="G17" s="15" t="s">
        <v>74</v>
      </c>
      <c r="H17" s="22" t="s">
        <v>147</v>
      </c>
      <c r="I17" s="17" t="s">
        <v>148</v>
      </c>
      <c r="J17" s="14" t="s">
        <v>1278</v>
      </c>
      <c r="L17" s="1" t="s">
        <v>150</v>
      </c>
      <c r="M17" s="14" t="s">
        <v>105</v>
      </c>
      <c r="N17" s="14" t="s">
        <v>151</v>
      </c>
      <c r="O17" s="14" t="s">
        <v>152</v>
      </c>
      <c r="P17" s="14" t="s">
        <v>153</v>
      </c>
    </row>
    <row r="18" spans="1:16" ht="30" customHeight="1" x14ac:dyDescent="0.35">
      <c r="A18" s="20" t="s">
        <v>34</v>
      </c>
      <c r="B18" s="11" t="s">
        <v>82</v>
      </c>
      <c r="C18" s="12" t="s">
        <v>70</v>
      </c>
      <c r="D18" s="21" t="s">
        <v>145</v>
      </c>
      <c r="E18" s="14" t="s">
        <v>1279</v>
      </c>
      <c r="F18" s="14" t="s">
        <v>73</v>
      </c>
      <c r="G18" s="15" t="s">
        <v>74</v>
      </c>
      <c r="H18" s="16" t="s">
        <v>75</v>
      </c>
      <c r="I18" s="17" t="s">
        <v>155</v>
      </c>
      <c r="J18" s="14" t="s">
        <v>160</v>
      </c>
      <c r="L18" s="1" t="s">
        <v>161</v>
      </c>
      <c r="M18" s="18" t="s">
        <v>87</v>
      </c>
      <c r="N18" s="18" t="s">
        <v>87</v>
      </c>
      <c r="O18" s="18" t="s">
        <v>87</v>
      </c>
      <c r="P18" s="14" t="s">
        <v>162</v>
      </c>
    </row>
    <row r="19" spans="1:16" ht="30" customHeight="1" x14ac:dyDescent="0.35">
      <c r="A19" s="20" t="s">
        <v>34</v>
      </c>
      <c r="B19" s="11" t="s">
        <v>82</v>
      </c>
      <c r="C19" s="12" t="s">
        <v>70</v>
      </c>
      <c r="D19" s="21" t="s">
        <v>145</v>
      </c>
      <c r="E19" s="14" t="s">
        <v>163</v>
      </c>
      <c r="F19" s="14" t="s">
        <v>73</v>
      </c>
      <c r="G19" s="15" t="s">
        <v>74</v>
      </c>
      <c r="H19" s="22" t="s">
        <v>147</v>
      </c>
      <c r="I19" s="17" t="s">
        <v>158</v>
      </c>
      <c r="J19" s="14" t="s">
        <v>149</v>
      </c>
      <c r="L19" s="1" t="s">
        <v>164</v>
      </c>
      <c r="M19" s="14" t="s">
        <v>98</v>
      </c>
      <c r="N19" s="14" t="s">
        <v>99</v>
      </c>
      <c r="O19" s="14" t="s">
        <v>165</v>
      </c>
      <c r="P19" s="14" t="s">
        <v>166</v>
      </c>
    </row>
    <row r="20" spans="1:16" ht="30" customHeight="1" x14ac:dyDescent="0.35">
      <c r="A20" s="20" t="s">
        <v>34</v>
      </c>
      <c r="B20" s="11" t="s">
        <v>82</v>
      </c>
      <c r="C20" s="12" t="s">
        <v>70</v>
      </c>
      <c r="D20" s="21" t="s">
        <v>145</v>
      </c>
      <c r="E20" s="14" t="s">
        <v>167</v>
      </c>
      <c r="F20" s="14" t="s">
        <v>73</v>
      </c>
      <c r="G20" s="15" t="s">
        <v>74</v>
      </c>
      <c r="H20" s="16" t="s">
        <v>75</v>
      </c>
      <c r="I20" s="17" t="s">
        <v>168</v>
      </c>
      <c r="J20" s="14" t="s">
        <v>149</v>
      </c>
      <c r="L20" s="1" t="s">
        <v>169</v>
      </c>
      <c r="M20" s="14" t="s">
        <v>170</v>
      </c>
      <c r="N20" s="14" t="s">
        <v>171</v>
      </c>
      <c r="O20" s="14" t="s">
        <v>171</v>
      </c>
      <c r="P20" s="14" t="s">
        <v>172</v>
      </c>
    </row>
    <row r="21" spans="1:16" ht="30" customHeight="1" x14ac:dyDescent="0.35">
      <c r="A21" s="20" t="s">
        <v>34</v>
      </c>
      <c r="B21" s="11" t="s">
        <v>82</v>
      </c>
      <c r="C21" s="12" t="s">
        <v>70</v>
      </c>
      <c r="D21" s="21" t="s">
        <v>145</v>
      </c>
      <c r="E21" s="14" t="s">
        <v>173</v>
      </c>
      <c r="F21" s="14" t="s">
        <v>73</v>
      </c>
      <c r="G21" s="15" t="s">
        <v>74</v>
      </c>
      <c r="H21" s="16" t="s">
        <v>75</v>
      </c>
      <c r="I21" s="17" t="s">
        <v>174</v>
      </c>
      <c r="J21" s="14" t="s">
        <v>149</v>
      </c>
      <c r="L21" s="1" t="s">
        <v>175</v>
      </c>
      <c r="M21" s="14" t="s">
        <v>78</v>
      </c>
      <c r="N21" s="14" t="s">
        <v>79</v>
      </c>
      <c r="O21" s="14" t="s">
        <v>176</v>
      </c>
      <c r="P21" s="14" t="s">
        <v>177</v>
      </c>
    </row>
    <row r="22" spans="1:16" ht="30" customHeight="1" x14ac:dyDescent="0.35">
      <c r="A22" s="20" t="s">
        <v>34</v>
      </c>
      <c r="B22" s="11" t="s">
        <v>82</v>
      </c>
      <c r="C22" s="12" t="s">
        <v>70</v>
      </c>
      <c r="D22" s="13" t="s">
        <v>178</v>
      </c>
      <c r="E22" s="14" t="s">
        <v>179</v>
      </c>
      <c r="F22" s="14" t="s">
        <v>180</v>
      </c>
      <c r="G22" s="15" t="s">
        <v>74</v>
      </c>
      <c r="H22" s="19" t="s">
        <v>95</v>
      </c>
      <c r="I22" s="17" t="s">
        <v>181</v>
      </c>
      <c r="J22" s="14" t="s">
        <v>182</v>
      </c>
      <c r="L22" s="1" t="s">
        <v>183</v>
      </c>
      <c r="M22" s="14" t="s">
        <v>184</v>
      </c>
      <c r="N22" s="18" t="s">
        <v>87</v>
      </c>
      <c r="O22" s="18" t="s">
        <v>87</v>
      </c>
      <c r="P22" s="14" t="s">
        <v>185</v>
      </c>
    </row>
    <row r="23" spans="1:16" ht="30" hidden="1" customHeight="1" x14ac:dyDescent="0.35">
      <c r="A23" s="20" t="s">
        <v>34</v>
      </c>
      <c r="B23" s="11" t="s">
        <v>139</v>
      </c>
      <c r="C23" s="24" t="s">
        <v>186</v>
      </c>
      <c r="D23" s="21" t="s">
        <v>145</v>
      </c>
      <c r="E23" s="14" t="s">
        <v>187</v>
      </c>
      <c r="F23" s="14" t="s">
        <v>73</v>
      </c>
      <c r="G23" s="15" t="s">
        <v>74</v>
      </c>
      <c r="H23" s="16" t="s">
        <v>75</v>
      </c>
      <c r="I23" s="17" t="s">
        <v>155</v>
      </c>
      <c r="J23" s="14" t="s">
        <v>149</v>
      </c>
    </row>
    <row r="24" spans="1:16" ht="36" hidden="1" customHeight="1" x14ac:dyDescent="0.35">
      <c r="A24" s="20" t="s">
        <v>34</v>
      </c>
      <c r="B24" s="11" t="s">
        <v>188</v>
      </c>
      <c r="C24" s="24" t="s">
        <v>186</v>
      </c>
      <c r="D24" s="21" t="s">
        <v>145</v>
      </c>
      <c r="E24" s="14" t="s">
        <v>189</v>
      </c>
      <c r="F24" s="14" t="s">
        <v>73</v>
      </c>
      <c r="G24" s="15" t="s">
        <v>74</v>
      </c>
      <c r="H24" s="16" t="s">
        <v>75</v>
      </c>
      <c r="I24" s="17" t="s">
        <v>155</v>
      </c>
      <c r="J24" s="14" t="s">
        <v>149</v>
      </c>
    </row>
    <row r="25" spans="1:16" ht="30" hidden="1" customHeight="1" x14ac:dyDescent="0.35">
      <c r="A25" s="20" t="s">
        <v>34</v>
      </c>
      <c r="B25" s="11" t="s">
        <v>139</v>
      </c>
      <c r="C25" s="24" t="s">
        <v>186</v>
      </c>
      <c r="D25" s="21" t="s">
        <v>145</v>
      </c>
      <c r="E25" s="14" t="s">
        <v>190</v>
      </c>
      <c r="F25" s="14" t="s">
        <v>73</v>
      </c>
      <c r="G25" s="15" t="s">
        <v>74</v>
      </c>
      <c r="H25" s="19" t="s">
        <v>95</v>
      </c>
      <c r="I25" s="17" t="s">
        <v>155</v>
      </c>
      <c r="J25" s="14" t="s">
        <v>149</v>
      </c>
    </row>
    <row r="26" spans="1:16" ht="30" hidden="1" customHeight="1" x14ac:dyDescent="0.35">
      <c r="A26" s="20" t="s">
        <v>34</v>
      </c>
      <c r="B26" s="11" t="s">
        <v>188</v>
      </c>
      <c r="C26" s="24" t="s">
        <v>186</v>
      </c>
      <c r="D26" s="21" t="s">
        <v>145</v>
      </c>
      <c r="E26" s="14" t="s">
        <v>191</v>
      </c>
      <c r="F26" s="14" t="s">
        <v>73</v>
      </c>
      <c r="G26" s="15" t="s">
        <v>74</v>
      </c>
      <c r="H26" s="25" t="s">
        <v>192</v>
      </c>
      <c r="I26" s="17" t="s">
        <v>155</v>
      </c>
      <c r="J26" s="14" t="s">
        <v>149</v>
      </c>
    </row>
    <row r="27" spans="1:16" ht="30" hidden="1" customHeight="1" x14ac:dyDescent="0.35">
      <c r="A27" s="20" t="s">
        <v>34</v>
      </c>
      <c r="B27" s="11" t="s">
        <v>188</v>
      </c>
      <c r="C27" s="24" t="s">
        <v>186</v>
      </c>
      <c r="D27" s="21" t="s">
        <v>145</v>
      </c>
      <c r="E27" s="14" t="s">
        <v>193</v>
      </c>
      <c r="F27" s="14" t="s">
        <v>73</v>
      </c>
      <c r="G27" s="15" t="s">
        <v>74</v>
      </c>
      <c r="H27" s="26" t="s">
        <v>194</v>
      </c>
      <c r="I27" s="17" t="s">
        <v>155</v>
      </c>
      <c r="J27" s="14" t="s">
        <v>149</v>
      </c>
    </row>
    <row r="28" spans="1:16" ht="48" hidden="1" customHeight="1" x14ac:dyDescent="0.35">
      <c r="A28" s="20" t="s">
        <v>34</v>
      </c>
      <c r="B28" s="11" t="s">
        <v>188</v>
      </c>
      <c r="C28" s="24" t="s">
        <v>186</v>
      </c>
      <c r="D28" s="21" t="s">
        <v>145</v>
      </c>
      <c r="E28" s="14" t="s">
        <v>195</v>
      </c>
      <c r="F28" s="14" t="s">
        <v>73</v>
      </c>
      <c r="G28" s="15" t="s">
        <v>74</v>
      </c>
      <c r="H28" s="16" t="s">
        <v>75</v>
      </c>
      <c r="I28" s="17" t="s">
        <v>155</v>
      </c>
      <c r="J28" s="14" t="s">
        <v>149</v>
      </c>
    </row>
    <row r="29" spans="1:16" ht="60" hidden="1" customHeight="1" x14ac:dyDescent="0.35">
      <c r="A29" s="20" t="s">
        <v>34</v>
      </c>
      <c r="B29" s="11" t="s">
        <v>139</v>
      </c>
      <c r="C29" s="24" t="s">
        <v>186</v>
      </c>
      <c r="D29" s="21" t="s">
        <v>145</v>
      </c>
      <c r="E29" s="14" t="s">
        <v>196</v>
      </c>
      <c r="F29" s="14" t="s">
        <v>73</v>
      </c>
      <c r="G29" s="15" t="s">
        <v>74</v>
      </c>
      <c r="H29" s="23" t="s">
        <v>157</v>
      </c>
      <c r="I29" s="17" t="s">
        <v>158</v>
      </c>
      <c r="J29" s="14" t="s">
        <v>197</v>
      </c>
    </row>
    <row r="30" spans="1:16" ht="48" hidden="1" customHeight="1" x14ac:dyDescent="0.35">
      <c r="A30" s="20" t="s">
        <v>34</v>
      </c>
      <c r="B30" s="11" t="s">
        <v>139</v>
      </c>
      <c r="C30" s="24" t="s">
        <v>186</v>
      </c>
      <c r="D30" s="21" t="s">
        <v>145</v>
      </c>
      <c r="E30" s="14" t="s">
        <v>198</v>
      </c>
      <c r="F30" s="14" t="s">
        <v>199</v>
      </c>
      <c r="G30" s="15" t="s">
        <v>74</v>
      </c>
      <c r="H30" s="19" t="s">
        <v>95</v>
      </c>
      <c r="I30" s="17" t="s">
        <v>148</v>
      </c>
      <c r="J30" s="14" t="s">
        <v>200</v>
      </c>
    </row>
    <row r="31" spans="1:16" ht="36" hidden="1" customHeight="1" x14ac:dyDescent="0.35">
      <c r="A31" s="20" t="s">
        <v>34</v>
      </c>
      <c r="B31" s="11" t="s">
        <v>139</v>
      </c>
      <c r="C31" s="12" t="s">
        <v>70</v>
      </c>
      <c r="D31" s="21" t="s">
        <v>145</v>
      </c>
      <c r="E31" s="14" t="s">
        <v>201</v>
      </c>
      <c r="F31" s="14" t="s">
        <v>73</v>
      </c>
      <c r="G31" s="15" t="s">
        <v>74</v>
      </c>
      <c r="H31" s="16" t="s">
        <v>75</v>
      </c>
      <c r="I31" s="17" t="s">
        <v>155</v>
      </c>
      <c r="J31" s="14" t="s">
        <v>149</v>
      </c>
    </row>
    <row r="32" spans="1:16" ht="36" hidden="1" customHeight="1" x14ac:dyDescent="0.35">
      <c r="A32" s="20" t="s">
        <v>34</v>
      </c>
      <c r="B32" s="11" t="s">
        <v>139</v>
      </c>
      <c r="C32" s="12" t="s">
        <v>70</v>
      </c>
      <c r="D32" s="21" t="s">
        <v>145</v>
      </c>
      <c r="E32" s="14" t="s">
        <v>202</v>
      </c>
      <c r="F32" s="14" t="s">
        <v>73</v>
      </c>
      <c r="G32" s="15" t="s">
        <v>74</v>
      </c>
      <c r="H32" s="16" t="s">
        <v>75</v>
      </c>
      <c r="I32" s="17" t="s">
        <v>155</v>
      </c>
      <c r="J32" s="14" t="s">
        <v>149</v>
      </c>
    </row>
    <row r="33" spans="1:10" ht="36" hidden="1" customHeight="1" x14ac:dyDescent="0.35">
      <c r="A33" s="20" t="s">
        <v>34</v>
      </c>
      <c r="B33" s="11" t="s">
        <v>139</v>
      </c>
      <c r="C33" s="12" t="s">
        <v>70</v>
      </c>
      <c r="D33" s="21" t="s">
        <v>145</v>
      </c>
      <c r="E33" s="14" t="s">
        <v>203</v>
      </c>
      <c r="F33" s="14" t="s">
        <v>73</v>
      </c>
      <c r="G33" s="15" t="s">
        <v>74</v>
      </c>
      <c r="H33" s="19" t="s">
        <v>95</v>
      </c>
      <c r="I33" s="17" t="s">
        <v>148</v>
      </c>
      <c r="J33" s="14" t="s">
        <v>149</v>
      </c>
    </row>
    <row r="34" spans="1:10" ht="36" hidden="1" customHeight="1" x14ac:dyDescent="0.35">
      <c r="A34" s="20" t="s">
        <v>34</v>
      </c>
      <c r="B34" s="11" t="s">
        <v>139</v>
      </c>
      <c r="C34" s="12" t="s">
        <v>70</v>
      </c>
      <c r="D34" s="21" t="s">
        <v>145</v>
      </c>
      <c r="E34" s="14" t="s">
        <v>204</v>
      </c>
      <c r="F34" s="14" t="s">
        <v>73</v>
      </c>
      <c r="G34" s="15" t="s">
        <v>74</v>
      </c>
      <c r="H34" s="22" t="s">
        <v>147</v>
      </c>
      <c r="I34" s="17" t="s">
        <v>158</v>
      </c>
      <c r="J34" s="14" t="s">
        <v>149</v>
      </c>
    </row>
    <row r="35" spans="1:10" ht="36" hidden="1" customHeight="1" x14ac:dyDescent="0.35">
      <c r="A35" s="27" t="s">
        <v>38</v>
      </c>
      <c r="B35" s="11" t="s">
        <v>69</v>
      </c>
      <c r="C35" s="24" t="s">
        <v>186</v>
      </c>
      <c r="D35" s="21" t="s">
        <v>145</v>
      </c>
      <c r="E35" s="14" t="s">
        <v>205</v>
      </c>
      <c r="F35" s="14" t="s">
        <v>73</v>
      </c>
      <c r="G35" s="15" t="s">
        <v>74</v>
      </c>
      <c r="H35" s="16" t="s">
        <v>75</v>
      </c>
      <c r="I35" s="17" t="s">
        <v>206</v>
      </c>
      <c r="J35" s="14" t="s">
        <v>149</v>
      </c>
    </row>
    <row r="36" spans="1:10" ht="30" hidden="1" customHeight="1" x14ac:dyDescent="0.35">
      <c r="A36" s="27" t="s">
        <v>38</v>
      </c>
      <c r="B36" s="11" t="s">
        <v>69</v>
      </c>
      <c r="C36" s="24" t="s">
        <v>186</v>
      </c>
      <c r="D36" s="21" t="s">
        <v>145</v>
      </c>
      <c r="E36" s="14" t="s">
        <v>207</v>
      </c>
      <c r="F36" s="14" t="s">
        <v>73</v>
      </c>
      <c r="G36" s="15" t="s">
        <v>74</v>
      </c>
      <c r="H36" s="19" t="s">
        <v>95</v>
      </c>
      <c r="I36" s="17" t="s">
        <v>206</v>
      </c>
      <c r="J36" s="14" t="s">
        <v>149</v>
      </c>
    </row>
    <row r="37" spans="1:10" ht="36" hidden="1" customHeight="1" x14ac:dyDescent="0.35">
      <c r="A37" s="27" t="s">
        <v>38</v>
      </c>
      <c r="B37" s="11" t="s">
        <v>69</v>
      </c>
      <c r="C37" s="24" t="s">
        <v>186</v>
      </c>
      <c r="D37" s="21" t="s">
        <v>145</v>
      </c>
      <c r="E37" s="14" t="s">
        <v>208</v>
      </c>
      <c r="F37" s="14" t="s">
        <v>73</v>
      </c>
      <c r="G37" s="15" t="s">
        <v>74</v>
      </c>
      <c r="H37" s="25" t="s">
        <v>192</v>
      </c>
      <c r="I37" s="17" t="s">
        <v>206</v>
      </c>
      <c r="J37" s="14" t="s">
        <v>149</v>
      </c>
    </row>
    <row r="38" spans="1:10" ht="36" hidden="1" customHeight="1" x14ac:dyDescent="0.35">
      <c r="A38" s="27" t="s">
        <v>38</v>
      </c>
      <c r="B38" s="11" t="s">
        <v>69</v>
      </c>
      <c r="C38" s="24" t="s">
        <v>186</v>
      </c>
      <c r="D38" s="21" t="s">
        <v>145</v>
      </c>
      <c r="E38" s="14" t="s">
        <v>209</v>
      </c>
      <c r="F38" s="14" t="s">
        <v>73</v>
      </c>
      <c r="G38" s="15" t="s">
        <v>74</v>
      </c>
      <c r="H38" s="16" t="s">
        <v>75</v>
      </c>
      <c r="I38" s="17" t="s">
        <v>206</v>
      </c>
      <c r="J38" s="14" t="s">
        <v>149</v>
      </c>
    </row>
    <row r="39" spans="1:10" ht="36" hidden="1" customHeight="1" x14ac:dyDescent="0.35">
      <c r="A39" s="27" t="s">
        <v>38</v>
      </c>
      <c r="B39" s="11" t="s">
        <v>69</v>
      </c>
      <c r="C39" s="24" t="s">
        <v>186</v>
      </c>
      <c r="D39" s="21" t="s">
        <v>145</v>
      </c>
      <c r="E39" s="14" t="s">
        <v>210</v>
      </c>
      <c r="F39" s="14" t="s">
        <v>73</v>
      </c>
      <c r="G39" s="15" t="s">
        <v>74</v>
      </c>
      <c r="H39" s="16" t="s">
        <v>75</v>
      </c>
      <c r="I39" s="17" t="s">
        <v>206</v>
      </c>
      <c r="J39" s="14" t="s">
        <v>149</v>
      </c>
    </row>
    <row r="40" spans="1:10" ht="48" hidden="1" customHeight="1" x14ac:dyDescent="0.35">
      <c r="A40" s="27" t="s">
        <v>38</v>
      </c>
      <c r="B40" s="11" t="s">
        <v>211</v>
      </c>
      <c r="C40" s="24" t="s">
        <v>186</v>
      </c>
      <c r="D40" s="21" t="s">
        <v>145</v>
      </c>
      <c r="E40" s="14" t="s">
        <v>212</v>
      </c>
      <c r="F40" s="14" t="s">
        <v>213</v>
      </c>
      <c r="G40" s="15" t="s">
        <v>74</v>
      </c>
      <c r="H40" s="25" t="s">
        <v>192</v>
      </c>
      <c r="I40" s="17" t="s">
        <v>206</v>
      </c>
      <c r="J40" s="14" t="s">
        <v>214</v>
      </c>
    </row>
    <row r="41" spans="1:10" ht="79.5" hidden="1" customHeight="1" x14ac:dyDescent="0.35">
      <c r="A41" s="27" t="s">
        <v>38</v>
      </c>
      <c r="B41" s="11" t="s">
        <v>211</v>
      </c>
      <c r="C41" s="24" t="s">
        <v>186</v>
      </c>
      <c r="D41" s="21" t="s">
        <v>145</v>
      </c>
      <c r="E41" s="14" t="s">
        <v>215</v>
      </c>
      <c r="F41" s="14" t="s">
        <v>73</v>
      </c>
      <c r="G41" s="15" t="s">
        <v>74</v>
      </c>
      <c r="H41" s="16" t="s">
        <v>75</v>
      </c>
      <c r="I41" s="17" t="s">
        <v>216</v>
      </c>
      <c r="J41" s="14" t="s">
        <v>214</v>
      </c>
    </row>
    <row r="42" spans="1:10" ht="60" hidden="1" customHeight="1" x14ac:dyDescent="0.35">
      <c r="A42" s="27" t="s">
        <v>38</v>
      </c>
      <c r="B42" s="11" t="s">
        <v>211</v>
      </c>
      <c r="C42" s="24" t="s">
        <v>186</v>
      </c>
      <c r="D42" s="21" t="s">
        <v>145</v>
      </c>
      <c r="E42" s="14" t="s">
        <v>217</v>
      </c>
      <c r="F42" s="14" t="s">
        <v>73</v>
      </c>
      <c r="G42" s="15" t="s">
        <v>74</v>
      </c>
      <c r="H42" s="16" t="s">
        <v>75</v>
      </c>
      <c r="I42" s="17" t="s">
        <v>216</v>
      </c>
      <c r="J42" s="14" t="s">
        <v>214</v>
      </c>
    </row>
    <row r="43" spans="1:10" ht="60" hidden="1" customHeight="1" x14ac:dyDescent="0.35">
      <c r="A43" s="27" t="s">
        <v>38</v>
      </c>
      <c r="B43" s="11" t="s">
        <v>211</v>
      </c>
      <c r="C43" s="24" t="s">
        <v>186</v>
      </c>
      <c r="D43" s="21" t="s">
        <v>145</v>
      </c>
      <c r="E43" s="14" t="s">
        <v>218</v>
      </c>
      <c r="F43" s="14" t="s">
        <v>73</v>
      </c>
      <c r="G43" s="15" t="s">
        <v>74</v>
      </c>
      <c r="H43" s="25" t="s">
        <v>192</v>
      </c>
      <c r="I43" s="17" t="s">
        <v>219</v>
      </c>
      <c r="J43" s="14" t="s">
        <v>214</v>
      </c>
    </row>
    <row r="44" spans="1:10" ht="48" hidden="1" customHeight="1" x14ac:dyDescent="0.35">
      <c r="A44" s="27" t="s">
        <v>38</v>
      </c>
      <c r="B44" s="11" t="s">
        <v>211</v>
      </c>
      <c r="C44" s="24" t="s">
        <v>186</v>
      </c>
      <c r="D44" s="21" t="s">
        <v>145</v>
      </c>
      <c r="E44" s="14" t="s">
        <v>220</v>
      </c>
      <c r="F44" s="14" t="s">
        <v>221</v>
      </c>
      <c r="G44" s="15" t="s">
        <v>74</v>
      </c>
      <c r="H44" s="22" t="s">
        <v>147</v>
      </c>
      <c r="I44" s="17" t="s">
        <v>222</v>
      </c>
      <c r="J44" s="14" t="s">
        <v>223</v>
      </c>
    </row>
    <row r="45" spans="1:10" ht="48" hidden="1" customHeight="1" x14ac:dyDescent="0.35">
      <c r="A45" s="27" t="s">
        <v>38</v>
      </c>
      <c r="B45" s="11" t="s">
        <v>211</v>
      </c>
      <c r="C45" s="24" t="s">
        <v>186</v>
      </c>
      <c r="D45" s="21" t="s">
        <v>145</v>
      </c>
      <c r="E45" s="14" t="s">
        <v>224</v>
      </c>
      <c r="F45" s="14" t="s">
        <v>73</v>
      </c>
      <c r="G45" s="15" t="s">
        <v>74</v>
      </c>
      <c r="H45" s="16" t="s">
        <v>75</v>
      </c>
      <c r="I45" s="17" t="s">
        <v>219</v>
      </c>
      <c r="J45" s="14" t="s">
        <v>214</v>
      </c>
    </row>
    <row r="46" spans="1:10" ht="60" hidden="1" customHeight="1" x14ac:dyDescent="0.35">
      <c r="A46" s="27" t="s">
        <v>38</v>
      </c>
      <c r="B46" s="11" t="s">
        <v>211</v>
      </c>
      <c r="C46" s="24" t="s">
        <v>186</v>
      </c>
      <c r="D46" s="21" t="s">
        <v>145</v>
      </c>
      <c r="E46" s="14" t="s">
        <v>225</v>
      </c>
      <c r="F46" s="14" t="s">
        <v>73</v>
      </c>
      <c r="G46" s="15" t="s">
        <v>74</v>
      </c>
      <c r="H46" s="19" t="s">
        <v>95</v>
      </c>
      <c r="I46" s="17" t="s">
        <v>226</v>
      </c>
      <c r="J46" s="14" t="s">
        <v>227</v>
      </c>
    </row>
    <row r="47" spans="1:10" ht="36" hidden="1" customHeight="1" x14ac:dyDescent="0.35">
      <c r="A47" s="27" t="s">
        <v>38</v>
      </c>
      <c r="B47" s="11" t="s">
        <v>69</v>
      </c>
      <c r="C47" s="12" t="s">
        <v>70</v>
      </c>
      <c r="D47" s="13" t="s">
        <v>178</v>
      </c>
      <c r="E47" s="14" t="s">
        <v>228</v>
      </c>
      <c r="F47" s="14" t="s">
        <v>229</v>
      </c>
      <c r="G47" s="15" t="s">
        <v>74</v>
      </c>
      <c r="H47" s="16" t="s">
        <v>75</v>
      </c>
      <c r="I47" s="17" t="s">
        <v>226</v>
      </c>
      <c r="J47" s="14" t="s">
        <v>230</v>
      </c>
    </row>
    <row r="48" spans="1:10" ht="30" hidden="1" customHeight="1" x14ac:dyDescent="0.35">
      <c r="A48" s="27" t="s">
        <v>38</v>
      </c>
      <c r="B48" s="11" t="s">
        <v>231</v>
      </c>
      <c r="C48" s="24" t="s">
        <v>186</v>
      </c>
      <c r="D48" s="21" t="s">
        <v>145</v>
      </c>
      <c r="E48" s="14" t="s">
        <v>232</v>
      </c>
      <c r="F48" s="14" t="s">
        <v>73</v>
      </c>
      <c r="G48" s="15" t="s">
        <v>74</v>
      </c>
      <c r="H48" s="16" t="s">
        <v>75</v>
      </c>
      <c r="I48" s="17" t="s">
        <v>206</v>
      </c>
      <c r="J48" s="14" t="s">
        <v>149</v>
      </c>
    </row>
    <row r="49" spans="1:10" ht="36" hidden="1" customHeight="1" x14ac:dyDescent="0.35">
      <c r="A49" s="27" t="s">
        <v>38</v>
      </c>
      <c r="B49" s="11" t="s">
        <v>231</v>
      </c>
      <c r="C49" s="24" t="s">
        <v>186</v>
      </c>
      <c r="D49" s="21" t="s">
        <v>145</v>
      </c>
      <c r="E49" s="14" t="s">
        <v>233</v>
      </c>
      <c r="F49" s="14" t="s">
        <v>73</v>
      </c>
      <c r="G49" s="15" t="s">
        <v>74</v>
      </c>
      <c r="H49" s="16" t="s">
        <v>75</v>
      </c>
      <c r="I49" s="17" t="s">
        <v>206</v>
      </c>
      <c r="J49" s="14" t="s">
        <v>149</v>
      </c>
    </row>
    <row r="50" spans="1:10" ht="36" hidden="1" customHeight="1" x14ac:dyDescent="0.35">
      <c r="A50" s="27" t="s">
        <v>38</v>
      </c>
      <c r="B50" s="11" t="s">
        <v>231</v>
      </c>
      <c r="C50" s="24" t="s">
        <v>186</v>
      </c>
      <c r="D50" s="21" t="s">
        <v>145</v>
      </c>
      <c r="E50" s="14" t="s">
        <v>234</v>
      </c>
      <c r="F50" s="14" t="s">
        <v>73</v>
      </c>
      <c r="G50" s="15" t="s">
        <v>74</v>
      </c>
      <c r="H50" s="25" t="s">
        <v>192</v>
      </c>
      <c r="I50" s="17" t="s">
        <v>206</v>
      </c>
      <c r="J50" s="14" t="s">
        <v>149</v>
      </c>
    </row>
    <row r="51" spans="1:10" ht="30" hidden="1" customHeight="1" x14ac:dyDescent="0.35">
      <c r="A51" s="27" t="s">
        <v>38</v>
      </c>
      <c r="B51" s="11" t="s">
        <v>231</v>
      </c>
      <c r="C51" s="24" t="s">
        <v>186</v>
      </c>
      <c r="D51" s="21" t="s">
        <v>145</v>
      </c>
      <c r="E51" s="14" t="s">
        <v>235</v>
      </c>
      <c r="F51" s="14" t="s">
        <v>73</v>
      </c>
      <c r="G51" s="28" t="s">
        <v>236</v>
      </c>
      <c r="H51" s="19" t="s">
        <v>95</v>
      </c>
      <c r="I51" s="17" t="s">
        <v>216</v>
      </c>
      <c r="J51" s="14" t="s">
        <v>237</v>
      </c>
    </row>
    <row r="52" spans="1:10" ht="36" hidden="1" customHeight="1" x14ac:dyDescent="0.35">
      <c r="A52" s="27" t="s">
        <v>38</v>
      </c>
      <c r="B52" s="11" t="s">
        <v>231</v>
      </c>
      <c r="C52" s="24" t="s">
        <v>186</v>
      </c>
      <c r="D52" s="21" t="s">
        <v>145</v>
      </c>
      <c r="E52" s="14" t="s">
        <v>238</v>
      </c>
      <c r="F52" s="14" t="s">
        <v>239</v>
      </c>
      <c r="G52" s="28" t="s">
        <v>236</v>
      </c>
      <c r="H52" s="16" t="s">
        <v>75</v>
      </c>
      <c r="I52" s="17" t="s">
        <v>206</v>
      </c>
      <c r="J52" s="14" t="s">
        <v>240</v>
      </c>
    </row>
    <row r="53" spans="1:10" ht="36" hidden="1" customHeight="1" x14ac:dyDescent="0.35">
      <c r="A53" s="27" t="s">
        <v>38</v>
      </c>
      <c r="B53" s="11" t="s">
        <v>231</v>
      </c>
      <c r="C53" s="24" t="s">
        <v>186</v>
      </c>
      <c r="D53" s="21" t="s">
        <v>145</v>
      </c>
      <c r="E53" s="14" t="s">
        <v>241</v>
      </c>
      <c r="F53" s="14" t="s">
        <v>73</v>
      </c>
      <c r="G53" s="15" t="s">
        <v>74</v>
      </c>
      <c r="H53" s="19" t="s">
        <v>95</v>
      </c>
      <c r="I53" s="17" t="s">
        <v>216</v>
      </c>
      <c r="J53" s="14" t="s">
        <v>149</v>
      </c>
    </row>
    <row r="54" spans="1:10" ht="36" hidden="1" customHeight="1" x14ac:dyDescent="0.35">
      <c r="A54" s="27" t="s">
        <v>38</v>
      </c>
      <c r="B54" s="11" t="s">
        <v>231</v>
      </c>
      <c r="C54" s="24" t="s">
        <v>186</v>
      </c>
      <c r="D54" s="21" t="s">
        <v>145</v>
      </c>
      <c r="E54" s="14" t="s">
        <v>242</v>
      </c>
      <c r="F54" s="14" t="s">
        <v>73</v>
      </c>
      <c r="G54" s="15" t="s">
        <v>74</v>
      </c>
      <c r="H54" s="16" t="s">
        <v>75</v>
      </c>
      <c r="I54" s="17" t="s">
        <v>216</v>
      </c>
      <c r="J54" s="14" t="s">
        <v>149</v>
      </c>
    </row>
    <row r="55" spans="1:10" ht="36" hidden="1" customHeight="1" x14ac:dyDescent="0.35">
      <c r="A55" s="27" t="s">
        <v>38</v>
      </c>
      <c r="B55" s="11" t="s">
        <v>231</v>
      </c>
      <c r="C55" s="24" t="s">
        <v>186</v>
      </c>
      <c r="D55" s="21" t="s">
        <v>145</v>
      </c>
      <c r="E55" s="14" t="s">
        <v>243</v>
      </c>
      <c r="F55" s="14" t="s">
        <v>73</v>
      </c>
      <c r="G55" s="15" t="s">
        <v>74</v>
      </c>
      <c r="H55" s="22" t="s">
        <v>147</v>
      </c>
      <c r="I55" s="17" t="s">
        <v>226</v>
      </c>
      <c r="J55" s="14" t="s">
        <v>149</v>
      </c>
    </row>
    <row r="56" spans="1:10" ht="48" hidden="1" customHeight="1" x14ac:dyDescent="0.35">
      <c r="A56" s="27" t="s">
        <v>38</v>
      </c>
      <c r="B56" s="11" t="s">
        <v>231</v>
      </c>
      <c r="C56" s="24" t="s">
        <v>186</v>
      </c>
      <c r="D56" s="21" t="s">
        <v>145</v>
      </c>
      <c r="E56" s="14" t="s">
        <v>244</v>
      </c>
      <c r="F56" s="14" t="s">
        <v>73</v>
      </c>
      <c r="G56" s="15" t="s">
        <v>74</v>
      </c>
      <c r="H56" s="22" t="s">
        <v>147</v>
      </c>
      <c r="I56" s="17" t="s">
        <v>222</v>
      </c>
      <c r="J56" s="14" t="s">
        <v>245</v>
      </c>
    </row>
    <row r="57" spans="1:10" ht="36" hidden="1" customHeight="1" x14ac:dyDescent="0.35">
      <c r="A57" s="27" t="s">
        <v>38</v>
      </c>
      <c r="B57" s="11" t="s">
        <v>231</v>
      </c>
      <c r="C57" s="12" t="s">
        <v>70</v>
      </c>
      <c r="D57" s="21" t="s">
        <v>145</v>
      </c>
      <c r="E57" s="14" t="s">
        <v>246</v>
      </c>
      <c r="F57" s="14" t="s">
        <v>73</v>
      </c>
      <c r="G57" s="15" t="s">
        <v>74</v>
      </c>
      <c r="H57" s="16" t="s">
        <v>75</v>
      </c>
      <c r="I57" s="17" t="s">
        <v>219</v>
      </c>
      <c r="J57" s="14" t="s">
        <v>149</v>
      </c>
    </row>
    <row r="58" spans="1:10" ht="36" hidden="1" customHeight="1" x14ac:dyDescent="0.35">
      <c r="A58" s="27" t="s">
        <v>38</v>
      </c>
      <c r="B58" s="11" t="s">
        <v>231</v>
      </c>
      <c r="C58" s="12" t="s">
        <v>70</v>
      </c>
      <c r="D58" s="21" t="s">
        <v>145</v>
      </c>
      <c r="E58" s="14" t="s">
        <v>247</v>
      </c>
      <c r="F58" s="14" t="s">
        <v>248</v>
      </c>
      <c r="G58" s="28" t="s">
        <v>236</v>
      </c>
      <c r="H58" s="23" t="s">
        <v>157</v>
      </c>
      <c r="I58" s="17" t="s">
        <v>249</v>
      </c>
      <c r="J58" s="14" t="s">
        <v>250</v>
      </c>
    </row>
    <row r="59" spans="1:10" ht="36" hidden="1" customHeight="1" x14ac:dyDescent="0.35">
      <c r="A59" s="27" t="s">
        <v>38</v>
      </c>
      <c r="B59" s="11" t="s">
        <v>231</v>
      </c>
      <c r="C59" s="12" t="s">
        <v>70</v>
      </c>
      <c r="D59" s="21" t="s">
        <v>145</v>
      </c>
      <c r="E59" s="14" t="s">
        <v>251</v>
      </c>
      <c r="F59" s="14" t="s">
        <v>73</v>
      </c>
      <c r="G59" s="29" t="s">
        <v>252</v>
      </c>
      <c r="H59" s="23" t="s">
        <v>157</v>
      </c>
      <c r="I59" s="17" t="s">
        <v>253</v>
      </c>
      <c r="J59" s="14" t="s">
        <v>254</v>
      </c>
    </row>
    <row r="60" spans="1:10" ht="36" hidden="1" customHeight="1" x14ac:dyDescent="0.35">
      <c r="A60" s="27" t="s">
        <v>38</v>
      </c>
      <c r="B60" s="11" t="s">
        <v>231</v>
      </c>
      <c r="C60" s="12" t="s">
        <v>70</v>
      </c>
      <c r="D60" s="21" t="s">
        <v>145</v>
      </c>
      <c r="E60" s="14" t="s">
        <v>255</v>
      </c>
      <c r="F60" s="14" t="s">
        <v>73</v>
      </c>
      <c r="G60" s="15" t="s">
        <v>74</v>
      </c>
      <c r="H60" s="19" t="s">
        <v>95</v>
      </c>
      <c r="I60" s="17" t="s">
        <v>256</v>
      </c>
      <c r="J60" s="14" t="s">
        <v>149</v>
      </c>
    </row>
    <row r="61" spans="1:10" ht="36" hidden="1" customHeight="1" x14ac:dyDescent="0.35">
      <c r="A61" s="27" t="s">
        <v>38</v>
      </c>
      <c r="B61" s="11" t="s">
        <v>231</v>
      </c>
      <c r="C61" s="12" t="s">
        <v>70</v>
      </c>
      <c r="D61" s="21" t="s">
        <v>145</v>
      </c>
      <c r="E61" s="14" t="s">
        <v>257</v>
      </c>
      <c r="F61" s="14" t="s">
        <v>73</v>
      </c>
      <c r="G61" s="28" t="s">
        <v>236</v>
      </c>
      <c r="H61" s="16" t="s">
        <v>75</v>
      </c>
      <c r="I61" s="17" t="s">
        <v>258</v>
      </c>
      <c r="J61" s="14" t="s">
        <v>259</v>
      </c>
    </row>
    <row r="62" spans="1:10" ht="30" hidden="1" customHeight="1" x14ac:dyDescent="0.35">
      <c r="A62" s="27" t="s">
        <v>38</v>
      </c>
      <c r="B62" s="11" t="s">
        <v>231</v>
      </c>
      <c r="C62" s="12" t="s">
        <v>70</v>
      </c>
      <c r="D62" s="21" t="s">
        <v>145</v>
      </c>
      <c r="E62" s="14" t="s">
        <v>260</v>
      </c>
      <c r="F62" s="14" t="s">
        <v>73</v>
      </c>
      <c r="G62" s="28" t="s">
        <v>236</v>
      </c>
      <c r="H62" s="16" t="s">
        <v>75</v>
      </c>
      <c r="I62" s="17" t="s">
        <v>258</v>
      </c>
      <c r="J62" s="14" t="s">
        <v>261</v>
      </c>
    </row>
    <row r="63" spans="1:10" ht="60" hidden="1" customHeight="1" x14ac:dyDescent="0.35">
      <c r="A63" s="27" t="s">
        <v>38</v>
      </c>
      <c r="B63" s="11" t="s">
        <v>231</v>
      </c>
      <c r="C63" s="24" t="s">
        <v>186</v>
      </c>
      <c r="D63" s="13" t="s">
        <v>262</v>
      </c>
      <c r="E63" s="14" t="s">
        <v>263</v>
      </c>
      <c r="F63" s="14" t="s">
        <v>73</v>
      </c>
      <c r="G63" s="15" t="s">
        <v>74</v>
      </c>
      <c r="H63" s="16" t="s">
        <v>75</v>
      </c>
      <c r="I63" s="17" t="s">
        <v>258</v>
      </c>
      <c r="J63" s="14" t="s">
        <v>264</v>
      </c>
    </row>
    <row r="64" spans="1:10" ht="48" hidden="1" customHeight="1" x14ac:dyDescent="0.35">
      <c r="A64" s="27" t="s">
        <v>38</v>
      </c>
      <c r="B64" s="11" t="s">
        <v>231</v>
      </c>
      <c r="C64" s="24" t="s">
        <v>186</v>
      </c>
      <c r="D64" s="13" t="s">
        <v>262</v>
      </c>
      <c r="E64" s="14" t="s">
        <v>265</v>
      </c>
      <c r="F64" s="14" t="s">
        <v>73</v>
      </c>
      <c r="G64" s="15" t="s">
        <v>74</v>
      </c>
      <c r="H64" s="16" t="s">
        <v>75</v>
      </c>
      <c r="I64" s="17" t="s">
        <v>266</v>
      </c>
      <c r="J64" s="14" t="s">
        <v>264</v>
      </c>
    </row>
    <row r="65" spans="1:10" ht="60" hidden="1" customHeight="1" x14ac:dyDescent="0.35">
      <c r="A65" s="27" t="s">
        <v>38</v>
      </c>
      <c r="B65" s="11" t="s">
        <v>231</v>
      </c>
      <c r="C65" s="24" t="s">
        <v>186</v>
      </c>
      <c r="D65" s="13" t="s">
        <v>262</v>
      </c>
      <c r="E65" s="14" t="s">
        <v>267</v>
      </c>
      <c r="F65" s="14" t="s">
        <v>73</v>
      </c>
      <c r="G65" s="15" t="s">
        <v>74</v>
      </c>
      <c r="H65" s="19" t="s">
        <v>95</v>
      </c>
      <c r="I65" s="17" t="s">
        <v>266</v>
      </c>
      <c r="J65" s="14" t="s">
        <v>268</v>
      </c>
    </row>
    <row r="66" spans="1:10" ht="79.5" hidden="1" customHeight="1" x14ac:dyDescent="0.35">
      <c r="A66" s="27" t="s">
        <v>38</v>
      </c>
      <c r="B66" s="11" t="s">
        <v>231</v>
      </c>
      <c r="C66" s="24" t="s">
        <v>186</v>
      </c>
      <c r="D66" s="13" t="s">
        <v>262</v>
      </c>
      <c r="E66" s="14" t="s">
        <v>269</v>
      </c>
      <c r="F66" s="14" t="s">
        <v>270</v>
      </c>
      <c r="G66" s="15" t="s">
        <v>74</v>
      </c>
      <c r="H66" s="23" t="s">
        <v>157</v>
      </c>
      <c r="I66" s="17" t="s">
        <v>271</v>
      </c>
      <c r="J66" s="14" t="s">
        <v>264</v>
      </c>
    </row>
    <row r="67" spans="1:10" ht="30" hidden="1" customHeight="1" x14ac:dyDescent="0.35">
      <c r="A67" s="27" t="s">
        <v>38</v>
      </c>
      <c r="B67" s="11" t="s">
        <v>231</v>
      </c>
      <c r="C67" s="24" t="s">
        <v>186</v>
      </c>
      <c r="D67" s="13" t="s">
        <v>272</v>
      </c>
      <c r="E67" s="14" t="s">
        <v>273</v>
      </c>
      <c r="F67" s="14" t="s">
        <v>73</v>
      </c>
      <c r="G67" s="28" t="s">
        <v>236</v>
      </c>
      <c r="H67" s="19" t="s">
        <v>95</v>
      </c>
      <c r="I67" s="17" t="s">
        <v>274</v>
      </c>
      <c r="J67" s="14" t="s">
        <v>275</v>
      </c>
    </row>
    <row r="68" spans="1:10" ht="60" hidden="1" customHeight="1" x14ac:dyDescent="0.35">
      <c r="A68" s="27" t="s">
        <v>38</v>
      </c>
      <c r="B68" s="11" t="s">
        <v>231</v>
      </c>
      <c r="C68" s="24" t="s">
        <v>186</v>
      </c>
      <c r="D68" s="13" t="s">
        <v>272</v>
      </c>
      <c r="E68" s="14" t="s">
        <v>276</v>
      </c>
      <c r="F68" s="14" t="s">
        <v>277</v>
      </c>
      <c r="G68" s="15" t="s">
        <v>74</v>
      </c>
      <c r="H68" s="16" t="s">
        <v>75</v>
      </c>
      <c r="I68" s="17" t="s">
        <v>274</v>
      </c>
      <c r="J68" s="14" t="s">
        <v>278</v>
      </c>
    </row>
    <row r="69" spans="1:10" ht="48" hidden="1" customHeight="1" x14ac:dyDescent="0.35">
      <c r="A69" s="27" t="s">
        <v>38</v>
      </c>
      <c r="B69" s="11" t="s">
        <v>231</v>
      </c>
      <c r="C69" s="12" t="s">
        <v>70</v>
      </c>
      <c r="D69" s="13" t="s">
        <v>262</v>
      </c>
      <c r="E69" s="14" t="s">
        <v>279</v>
      </c>
      <c r="F69" s="14" t="s">
        <v>280</v>
      </c>
      <c r="G69" s="15" t="s">
        <v>74</v>
      </c>
      <c r="H69" s="22" t="s">
        <v>147</v>
      </c>
      <c r="I69" s="17" t="s">
        <v>281</v>
      </c>
      <c r="J69" s="14" t="s">
        <v>282</v>
      </c>
    </row>
    <row r="70" spans="1:10" ht="48" hidden="1" customHeight="1" x14ac:dyDescent="0.35">
      <c r="A70" s="27" t="s">
        <v>38</v>
      </c>
      <c r="B70" s="11" t="s">
        <v>231</v>
      </c>
      <c r="C70" s="12" t="s">
        <v>70</v>
      </c>
      <c r="D70" s="13" t="s">
        <v>272</v>
      </c>
      <c r="E70" s="14" t="s">
        <v>283</v>
      </c>
      <c r="F70" s="14" t="s">
        <v>284</v>
      </c>
      <c r="G70" s="15" t="s">
        <v>74</v>
      </c>
      <c r="H70" s="19" t="s">
        <v>95</v>
      </c>
      <c r="I70" s="17" t="s">
        <v>285</v>
      </c>
      <c r="J70" s="14" t="s">
        <v>286</v>
      </c>
    </row>
    <row r="71" spans="1:10" ht="60" hidden="1" customHeight="1" x14ac:dyDescent="0.35">
      <c r="A71" s="27" t="s">
        <v>38</v>
      </c>
      <c r="B71" s="11" t="s">
        <v>231</v>
      </c>
      <c r="C71" s="12" t="s">
        <v>70</v>
      </c>
      <c r="D71" s="13" t="s">
        <v>262</v>
      </c>
      <c r="E71" s="14" t="s">
        <v>287</v>
      </c>
      <c r="F71" s="14" t="s">
        <v>73</v>
      </c>
      <c r="G71" s="15" t="s">
        <v>74</v>
      </c>
      <c r="H71" s="16" t="s">
        <v>75</v>
      </c>
      <c r="I71" s="17" t="s">
        <v>288</v>
      </c>
      <c r="J71" s="14" t="s">
        <v>264</v>
      </c>
    </row>
    <row r="72" spans="1:10" ht="48" hidden="1" customHeight="1" x14ac:dyDescent="0.35">
      <c r="A72" s="27" t="s">
        <v>38</v>
      </c>
      <c r="B72" s="11" t="s">
        <v>231</v>
      </c>
      <c r="C72" s="24" t="s">
        <v>186</v>
      </c>
      <c r="D72" s="13" t="s">
        <v>272</v>
      </c>
      <c r="E72" s="14" t="s">
        <v>289</v>
      </c>
      <c r="F72" s="14" t="s">
        <v>73</v>
      </c>
      <c r="G72" s="15" t="s">
        <v>74</v>
      </c>
      <c r="H72" s="16" t="s">
        <v>75</v>
      </c>
      <c r="I72" s="17" t="s">
        <v>290</v>
      </c>
      <c r="J72" s="14" t="s">
        <v>291</v>
      </c>
    </row>
    <row r="73" spans="1:10" ht="48" hidden="1" customHeight="1" x14ac:dyDescent="0.35">
      <c r="A73" s="27" t="s">
        <v>38</v>
      </c>
      <c r="B73" s="11" t="s">
        <v>231</v>
      </c>
      <c r="C73" s="24" t="s">
        <v>186</v>
      </c>
      <c r="D73" s="13" t="s">
        <v>272</v>
      </c>
      <c r="E73" s="14" t="s">
        <v>292</v>
      </c>
      <c r="F73" s="14" t="s">
        <v>73</v>
      </c>
      <c r="G73" s="15" t="s">
        <v>74</v>
      </c>
      <c r="H73" s="19" t="s">
        <v>95</v>
      </c>
      <c r="I73" s="17" t="s">
        <v>293</v>
      </c>
      <c r="J73" s="14" t="s">
        <v>278</v>
      </c>
    </row>
    <row r="74" spans="1:10" ht="30" customHeight="1" x14ac:dyDescent="0.35">
      <c r="A74" s="27" t="s">
        <v>38</v>
      </c>
      <c r="B74" s="11" t="s">
        <v>82</v>
      </c>
      <c r="C74" s="12" t="s">
        <v>70</v>
      </c>
      <c r="D74" s="21" t="s">
        <v>145</v>
      </c>
      <c r="E74" s="14" t="s">
        <v>294</v>
      </c>
      <c r="F74" s="14" t="s">
        <v>295</v>
      </c>
      <c r="G74" s="28" t="s">
        <v>236</v>
      </c>
      <c r="H74" s="25" t="s">
        <v>192</v>
      </c>
      <c r="I74" s="17" t="s">
        <v>206</v>
      </c>
      <c r="J74" s="14" t="s">
        <v>296</v>
      </c>
    </row>
    <row r="75" spans="1:10" ht="60" customHeight="1" x14ac:dyDescent="0.35">
      <c r="A75" s="27" t="s">
        <v>38</v>
      </c>
      <c r="B75" s="11" t="s">
        <v>82</v>
      </c>
      <c r="C75" s="12" t="s">
        <v>70</v>
      </c>
      <c r="D75" s="21" t="s">
        <v>145</v>
      </c>
      <c r="E75" s="14" t="s">
        <v>297</v>
      </c>
      <c r="F75" s="14" t="s">
        <v>73</v>
      </c>
      <c r="G75" s="28" t="s">
        <v>236</v>
      </c>
      <c r="H75" s="23" t="s">
        <v>157</v>
      </c>
      <c r="I75" s="17" t="s">
        <v>298</v>
      </c>
      <c r="J75" s="14" t="s">
        <v>299</v>
      </c>
    </row>
    <row r="76" spans="1:10" ht="48" customHeight="1" x14ac:dyDescent="0.35">
      <c r="A76" s="27" t="s">
        <v>38</v>
      </c>
      <c r="B76" s="11" t="s">
        <v>82</v>
      </c>
      <c r="C76" s="12" t="s">
        <v>70</v>
      </c>
      <c r="D76" s="13" t="s">
        <v>178</v>
      </c>
      <c r="E76" s="14" t="s">
        <v>300</v>
      </c>
      <c r="F76" s="14" t="s">
        <v>73</v>
      </c>
      <c r="G76" s="15" t="s">
        <v>74</v>
      </c>
      <c r="H76" s="16" t="s">
        <v>75</v>
      </c>
      <c r="I76" s="17" t="s">
        <v>206</v>
      </c>
      <c r="J76" s="14" t="s">
        <v>301</v>
      </c>
    </row>
    <row r="77" spans="1:10" ht="72" customHeight="1" x14ac:dyDescent="0.35">
      <c r="A77" s="27" t="s">
        <v>38</v>
      </c>
      <c r="B77" s="11" t="s">
        <v>82</v>
      </c>
      <c r="C77" s="12" t="s">
        <v>70</v>
      </c>
      <c r="D77" s="13" t="s">
        <v>262</v>
      </c>
      <c r="E77" s="14" t="s">
        <v>302</v>
      </c>
      <c r="F77" s="14" t="s">
        <v>73</v>
      </c>
      <c r="G77" s="15" t="s">
        <v>74</v>
      </c>
      <c r="H77" s="22" t="s">
        <v>147</v>
      </c>
      <c r="I77" s="17" t="s">
        <v>298</v>
      </c>
      <c r="J77" s="14" t="s">
        <v>303</v>
      </c>
    </row>
    <row r="78" spans="1:10" ht="60" customHeight="1" x14ac:dyDescent="0.35">
      <c r="A78" s="27" t="s">
        <v>38</v>
      </c>
      <c r="B78" s="11" t="s">
        <v>82</v>
      </c>
      <c r="C78" s="12" t="s">
        <v>70</v>
      </c>
      <c r="D78" s="13" t="s">
        <v>262</v>
      </c>
      <c r="E78" s="14" t="s">
        <v>304</v>
      </c>
      <c r="F78" s="14" t="s">
        <v>295</v>
      </c>
      <c r="G78" s="15" t="s">
        <v>74</v>
      </c>
      <c r="H78" s="19" t="s">
        <v>95</v>
      </c>
      <c r="I78" s="17" t="s">
        <v>305</v>
      </c>
      <c r="J78" s="14" t="s">
        <v>264</v>
      </c>
    </row>
    <row r="79" spans="1:10" ht="48" customHeight="1" x14ac:dyDescent="0.35">
      <c r="A79" s="27" t="s">
        <v>38</v>
      </c>
      <c r="B79" s="11" t="s">
        <v>82</v>
      </c>
      <c r="C79" s="12" t="s">
        <v>70</v>
      </c>
      <c r="D79" s="13" t="s">
        <v>262</v>
      </c>
      <c r="E79" s="14" t="s">
        <v>306</v>
      </c>
      <c r="F79" s="14" t="s">
        <v>307</v>
      </c>
      <c r="G79" s="15" t="s">
        <v>74</v>
      </c>
      <c r="H79" s="19" t="s">
        <v>95</v>
      </c>
      <c r="I79" s="17" t="s">
        <v>305</v>
      </c>
      <c r="J79" s="14" t="s">
        <v>264</v>
      </c>
    </row>
    <row r="80" spans="1:10" ht="36" customHeight="1" x14ac:dyDescent="0.35">
      <c r="A80" s="27" t="s">
        <v>38</v>
      </c>
      <c r="B80" s="11" t="s">
        <v>82</v>
      </c>
      <c r="C80" s="12" t="s">
        <v>70</v>
      </c>
      <c r="D80" s="13" t="s">
        <v>272</v>
      </c>
      <c r="E80" s="14" t="s">
        <v>308</v>
      </c>
      <c r="F80" s="14" t="s">
        <v>295</v>
      </c>
      <c r="G80" s="29" t="s">
        <v>252</v>
      </c>
      <c r="H80" s="16" t="s">
        <v>75</v>
      </c>
      <c r="I80" s="17" t="s">
        <v>309</v>
      </c>
      <c r="J80" s="14" t="s">
        <v>310</v>
      </c>
    </row>
    <row r="81" spans="1:10" ht="48" customHeight="1" x14ac:dyDescent="0.35">
      <c r="A81" s="27" t="s">
        <v>38</v>
      </c>
      <c r="B81" s="11" t="s">
        <v>82</v>
      </c>
      <c r="C81" s="12" t="s">
        <v>70</v>
      </c>
      <c r="D81" s="13" t="s">
        <v>272</v>
      </c>
      <c r="E81" s="14" t="s">
        <v>311</v>
      </c>
      <c r="F81" s="14" t="s">
        <v>73</v>
      </c>
      <c r="G81" s="29" t="s">
        <v>252</v>
      </c>
      <c r="H81" s="19" t="s">
        <v>95</v>
      </c>
      <c r="I81" s="17" t="s">
        <v>256</v>
      </c>
      <c r="J81" s="14" t="s">
        <v>312</v>
      </c>
    </row>
    <row r="82" spans="1:10" ht="48" customHeight="1" x14ac:dyDescent="0.35">
      <c r="A82" s="27" t="s">
        <v>38</v>
      </c>
      <c r="B82" s="11" t="s">
        <v>82</v>
      </c>
      <c r="C82" s="12" t="s">
        <v>70</v>
      </c>
      <c r="D82" s="13" t="s">
        <v>272</v>
      </c>
      <c r="E82" s="14" t="s">
        <v>313</v>
      </c>
      <c r="F82" s="14" t="s">
        <v>73</v>
      </c>
      <c r="G82" s="29" t="s">
        <v>252</v>
      </c>
      <c r="H82" s="19" t="s">
        <v>95</v>
      </c>
      <c r="I82" s="17" t="s">
        <v>256</v>
      </c>
      <c r="J82" s="14" t="s">
        <v>314</v>
      </c>
    </row>
    <row r="83" spans="1:10" ht="48" customHeight="1" x14ac:dyDescent="0.35">
      <c r="A83" s="27" t="s">
        <v>38</v>
      </c>
      <c r="B83" s="11" t="s">
        <v>82</v>
      </c>
      <c r="C83" s="12" t="s">
        <v>70</v>
      </c>
      <c r="D83" s="13" t="s">
        <v>272</v>
      </c>
      <c r="E83" s="14" t="s">
        <v>315</v>
      </c>
      <c r="F83" s="14" t="s">
        <v>73</v>
      </c>
      <c r="G83" s="28" t="s">
        <v>236</v>
      </c>
      <c r="H83" s="16" t="s">
        <v>75</v>
      </c>
      <c r="I83" s="17" t="s">
        <v>258</v>
      </c>
      <c r="J83" s="14" t="s">
        <v>316</v>
      </c>
    </row>
    <row r="84" spans="1:10" ht="36" hidden="1" customHeight="1" x14ac:dyDescent="0.35">
      <c r="A84" s="27" t="s">
        <v>38</v>
      </c>
      <c r="B84" s="11" t="s">
        <v>139</v>
      </c>
      <c r="C84" s="24" t="s">
        <v>186</v>
      </c>
      <c r="D84" s="21" t="s">
        <v>145</v>
      </c>
      <c r="E84" s="14" t="s">
        <v>317</v>
      </c>
      <c r="F84" s="14" t="s">
        <v>73</v>
      </c>
      <c r="G84" s="15" t="s">
        <v>74</v>
      </c>
      <c r="H84" s="25" t="s">
        <v>192</v>
      </c>
      <c r="I84" s="17" t="s">
        <v>206</v>
      </c>
      <c r="J84" s="14" t="s">
        <v>149</v>
      </c>
    </row>
    <row r="85" spans="1:10" ht="36" hidden="1" customHeight="1" x14ac:dyDescent="0.35">
      <c r="A85" s="27" t="s">
        <v>38</v>
      </c>
      <c r="B85" s="11" t="s">
        <v>139</v>
      </c>
      <c r="C85" s="24" t="s">
        <v>186</v>
      </c>
      <c r="D85" s="21" t="s">
        <v>145</v>
      </c>
      <c r="E85" s="14" t="s">
        <v>318</v>
      </c>
      <c r="F85" s="14" t="s">
        <v>73</v>
      </c>
      <c r="G85" s="15" t="s">
        <v>74</v>
      </c>
      <c r="H85" s="25" t="s">
        <v>192</v>
      </c>
      <c r="I85" s="17" t="s">
        <v>206</v>
      </c>
      <c r="J85" s="14" t="s">
        <v>149</v>
      </c>
    </row>
    <row r="86" spans="1:10" ht="48" hidden="1" customHeight="1" x14ac:dyDescent="0.35">
      <c r="A86" s="27" t="s">
        <v>38</v>
      </c>
      <c r="B86" s="11" t="s">
        <v>188</v>
      </c>
      <c r="C86" s="24" t="s">
        <v>186</v>
      </c>
      <c r="D86" s="21" t="s">
        <v>145</v>
      </c>
      <c r="E86" s="14" t="s">
        <v>319</v>
      </c>
      <c r="F86" s="14" t="s">
        <v>320</v>
      </c>
      <c r="G86" s="15" t="s">
        <v>74</v>
      </c>
      <c r="H86" s="16" t="s">
        <v>75</v>
      </c>
      <c r="I86" s="17" t="s">
        <v>206</v>
      </c>
      <c r="J86" s="14" t="s">
        <v>149</v>
      </c>
    </row>
    <row r="87" spans="1:10" ht="36" hidden="1" customHeight="1" x14ac:dyDescent="0.35">
      <c r="A87" s="27" t="s">
        <v>38</v>
      </c>
      <c r="B87" s="11" t="s">
        <v>188</v>
      </c>
      <c r="C87" s="24" t="s">
        <v>186</v>
      </c>
      <c r="D87" s="21" t="s">
        <v>145</v>
      </c>
      <c r="E87" s="14" t="s">
        <v>321</v>
      </c>
      <c r="F87" s="14" t="s">
        <v>73</v>
      </c>
      <c r="G87" s="28" t="s">
        <v>236</v>
      </c>
      <c r="H87" s="16" t="s">
        <v>75</v>
      </c>
      <c r="I87" s="17" t="s">
        <v>206</v>
      </c>
      <c r="J87" s="14" t="s">
        <v>322</v>
      </c>
    </row>
    <row r="88" spans="1:10" ht="36" hidden="1" customHeight="1" x14ac:dyDescent="0.35">
      <c r="A88" s="27" t="s">
        <v>38</v>
      </c>
      <c r="B88" s="11" t="s">
        <v>139</v>
      </c>
      <c r="C88" s="24" t="s">
        <v>186</v>
      </c>
      <c r="D88" s="21" t="s">
        <v>145</v>
      </c>
      <c r="E88" s="14" t="s">
        <v>323</v>
      </c>
      <c r="F88" s="14" t="s">
        <v>73</v>
      </c>
      <c r="G88" s="28" t="s">
        <v>236</v>
      </c>
      <c r="H88" s="25" t="s">
        <v>192</v>
      </c>
      <c r="I88" s="17" t="s">
        <v>206</v>
      </c>
      <c r="J88" s="14" t="s">
        <v>324</v>
      </c>
    </row>
    <row r="89" spans="1:10" ht="48" hidden="1" customHeight="1" x14ac:dyDescent="0.35">
      <c r="A89" s="27" t="s">
        <v>38</v>
      </c>
      <c r="B89" s="11" t="s">
        <v>139</v>
      </c>
      <c r="C89" s="24" t="s">
        <v>186</v>
      </c>
      <c r="D89" s="21" t="s">
        <v>145</v>
      </c>
      <c r="E89" s="14" t="s">
        <v>325</v>
      </c>
      <c r="F89" s="14" t="s">
        <v>73</v>
      </c>
      <c r="G89" s="15" t="s">
        <v>74</v>
      </c>
      <c r="H89" s="25" t="s">
        <v>192</v>
      </c>
      <c r="I89" s="17" t="s">
        <v>206</v>
      </c>
      <c r="J89" s="14" t="s">
        <v>197</v>
      </c>
    </row>
    <row r="90" spans="1:10" ht="60" hidden="1" customHeight="1" x14ac:dyDescent="0.35">
      <c r="A90" s="27" t="s">
        <v>38</v>
      </c>
      <c r="B90" s="11" t="s">
        <v>139</v>
      </c>
      <c r="C90" s="24" t="s">
        <v>186</v>
      </c>
      <c r="D90" s="21" t="s">
        <v>145</v>
      </c>
      <c r="E90" s="14" t="s">
        <v>326</v>
      </c>
      <c r="F90" s="14" t="s">
        <v>327</v>
      </c>
      <c r="G90" s="15" t="s">
        <v>74</v>
      </c>
      <c r="H90" s="25" t="s">
        <v>192</v>
      </c>
      <c r="I90" s="17" t="s">
        <v>206</v>
      </c>
      <c r="J90" s="14" t="s">
        <v>328</v>
      </c>
    </row>
    <row r="91" spans="1:10" ht="36" hidden="1" customHeight="1" x14ac:dyDescent="0.35">
      <c r="A91" s="27" t="s">
        <v>38</v>
      </c>
      <c r="B91" s="11" t="s">
        <v>139</v>
      </c>
      <c r="C91" s="12" t="s">
        <v>70</v>
      </c>
      <c r="D91" s="21" t="s">
        <v>145</v>
      </c>
      <c r="E91" s="14" t="s">
        <v>329</v>
      </c>
      <c r="F91" s="14" t="s">
        <v>295</v>
      </c>
      <c r="G91" s="29" t="s">
        <v>252</v>
      </c>
      <c r="H91" s="19" t="s">
        <v>95</v>
      </c>
      <c r="I91" s="17" t="s">
        <v>216</v>
      </c>
      <c r="J91" s="14" t="s">
        <v>330</v>
      </c>
    </row>
    <row r="92" spans="1:10" ht="36" hidden="1" customHeight="1" x14ac:dyDescent="0.35">
      <c r="A92" s="27" t="s">
        <v>38</v>
      </c>
      <c r="B92" s="11" t="s">
        <v>139</v>
      </c>
      <c r="C92" s="12" t="s">
        <v>70</v>
      </c>
      <c r="D92" s="21" t="s">
        <v>145</v>
      </c>
      <c r="E92" s="14" t="s">
        <v>331</v>
      </c>
      <c r="F92" s="14" t="s">
        <v>73</v>
      </c>
      <c r="G92" s="15" t="s">
        <v>74</v>
      </c>
      <c r="H92" s="19" t="s">
        <v>95</v>
      </c>
      <c r="I92" s="17" t="s">
        <v>216</v>
      </c>
      <c r="J92" s="14" t="s">
        <v>149</v>
      </c>
    </row>
    <row r="93" spans="1:10" ht="30" hidden="1" customHeight="1" x14ac:dyDescent="0.35">
      <c r="A93" s="27" t="s">
        <v>38</v>
      </c>
      <c r="B93" s="11" t="s">
        <v>139</v>
      </c>
      <c r="C93" s="12" t="s">
        <v>70</v>
      </c>
      <c r="D93" s="21" t="s">
        <v>145</v>
      </c>
      <c r="E93" s="14" t="s">
        <v>332</v>
      </c>
      <c r="F93" s="14" t="s">
        <v>295</v>
      </c>
      <c r="G93" s="28" t="s">
        <v>236</v>
      </c>
      <c r="H93" s="25" t="s">
        <v>192</v>
      </c>
      <c r="I93" s="17" t="s">
        <v>206</v>
      </c>
      <c r="J93" s="14" t="s">
        <v>333</v>
      </c>
    </row>
    <row r="94" spans="1:10" ht="30" hidden="1" customHeight="1" x14ac:dyDescent="0.35">
      <c r="A94" s="27" t="s">
        <v>38</v>
      </c>
      <c r="B94" s="11" t="s">
        <v>139</v>
      </c>
      <c r="C94" s="12" t="s">
        <v>70</v>
      </c>
      <c r="D94" s="21" t="s">
        <v>145</v>
      </c>
      <c r="E94" s="14" t="s">
        <v>334</v>
      </c>
      <c r="F94" s="14" t="s">
        <v>73</v>
      </c>
      <c r="G94" s="15" t="s">
        <v>74</v>
      </c>
      <c r="H94" s="25" t="s">
        <v>192</v>
      </c>
      <c r="I94" s="17" t="s">
        <v>206</v>
      </c>
      <c r="J94" s="14" t="s">
        <v>335</v>
      </c>
    </row>
    <row r="95" spans="1:10" ht="60" hidden="1" customHeight="1" x14ac:dyDescent="0.35">
      <c r="A95" s="27" t="s">
        <v>38</v>
      </c>
      <c r="B95" s="11" t="s">
        <v>139</v>
      </c>
      <c r="C95" s="12" t="s">
        <v>70</v>
      </c>
      <c r="D95" s="21" t="s">
        <v>145</v>
      </c>
      <c r="E95" s="14" t="s">
        <v>336</v>
      </c>
      <c r="F95" s="14" t="s">
        <v>295</v>
      </c>
      <c r="G95" s="15" t="s">
        <v>74</v>
      </c>
      <c r="H95" s="22" t="s">
        <v>147</v>
      </c>
      <c r="I95" s="17" t="s">
        <v>298</v>
      </c>
      <c r="J95" s="14" t="s">
        <v>337</v>
      </c>
    </row>
    <row r="96" spans="1:10" ht="48" hidden="1" customHeight="1" x14ac:dyDescent="0.35">
      <c r="A96" s="27" t="s">
        <v>38</v>
      </c>
      <c r="B96" s="11" t="s">
        <v>139</v>
      </c>
      <c r="C96" s="24" t="s">
        <v>186</v>
      </c>
      <c r="D96" s="13" t="s">
        <v>178</v>
      </c>
      <c r="E96" s="14" t="s">
        <v>338</v>
      </c>
      <c r="F96" s="14" t="s">
        <v>339</v>
      </c>
      <c r="G96" s="29" t="s">
        <v>252</v>
      </c>
      <c r="H96" s="16" t="s">
        <v>75</v>
      </c>
      <c r="I96" s="17" t="s">
        <v>219</v>
      </c>
      <c r="J96" s="14" t="s">
        <v>340</v>
      </c>
    </row>
    <row r="97" spans="1:10" ht="48" hidden="1" customHeight="1" x14ac:dyDescent="0.35">
      <c r="A97" s="27" t="s">
        <v>38</v>
      </c>
      <c r="B97" s="11" t="s">
        <v>139</v>
      </c>
      <c r="C97" s="12" t="s">
        <v>70</v>
      </c>
      <c r="D97" s="13" t="s">
        <v>178</v>
      </c>
      <c r="E97" s="14" t="s">
        <v>341</v>
      </c>
      <c r="F97" s="14" t="s">
        <v>295</v>
      </c>
      <c r="G97" s="15" t="s">
        <v>74</v>
      </c>
      <c r="H97" s="22" t="s">
        <v>147</v>
      </c>
      <c r="I97" s="17" t="s">
        <v>222</v>
      </c>
      <c r="J97" s="14" t="s">
        <v>342</v>
      </c>
    </row>
    <row r="98" spans="1:10" ht="48" hidden="1" customHeight="1" x14ac:dyDescent="0.35">
      <c r="A98" s="27" t="s">
        <v>38</v>
      </c>
      <c r="B98" s="11" t="s">
        <v>139</v>
      </c>
      <c r="C98" s="12" t="s">
        <v>70</v>
      </c>
      <c r="D98" s="13" t="s">
        <v>178</v>
      </c>
      <c r="E98" s="14" t="s">
        <v>343</v>
      </c>
      <c r="F98" s="14" t="s">
        <v>295</v>
      </c>
      <c r="G98" s="28" t="s">
        <v>236</v>
      </c>
      <c r="H98" s="22" t="s">
        <v>147</v>
      </c>
      <c r="I98" s="17" t="s">
        <v>222</v>
      </c>
      <c r="J98" s="14" t="s">
        <v>344</v>
      </c>
    </row>
    <row r="99" spans="1:10" ht="48" hidden="1" customHeight="1" x14ac:dyDescent="0.35">
      <c r="A99" s="27" t="s">
        <v>38</v>
      </c>
      <c r="B99" s="11" t="s">
        <v>139</v>
      </c>
      <c r="C99" s="12" t="s">
        <v>70</v>
      </c>
      <c r="D99" s="13" t="s">
        <v>178</v>
      </c>
      <c r="E99" s="14" t="s">
        <v>345</v>
      </c>
      <c r="F99" s="14" t="s">
        <v>295</v>
      </c>
      <c r="G99" s="28" t="s">
        <v>236</v>
      </c>
      <c r="H99" s="22" t="s">
        <v>147</v>
      </c>
      <c r="I99" s="17" t="s">
        <v>222</v>
      </c>
      <c r="J99" s="14" t="s">
        <v>346</v>
      </c>
    </row>
    <row r="100" spans="1:10" ht="60" hidden="1" customHeight="1" x14ac:dyDescent="0.35">
      <c r="A100" s="27" t="s">
        <v>38</v>
      </c>
      <c r="B100" s="11" t="s">
        <v>139</v>
      </c>
      <c r="C100" s="24" t="s">
        <v>186</v>
      </c>
      <c r="D100" s="13" t="s">
        <v>262</v>
      </c>
      <c r="E100" s="14" t="s">
        <v>347</v>
      </c>
      <c r="F100" s="14" t="s">
        <v>348</v>
      </c>
      <c r="G100" s="15" t="s">
        <v>74</v>
      </c>
      <c r="H100" s="16" t="s">
        <v>75</v>
      </c>
      <c r="I100" s="17" t="s">
        <v>305</v>
      </c>
      <c r="J100" s="14" t="s">
        <v>349</v>
      </c>
    </row>
    <row r="101" spans="1:10" ht="48" hidden="1" customHeight="1" x14ac:dyDescent="0.35">
      <c r="A101" s="27" t="s">
        <v>38</v>
      </c>
      <c r="B101" s="11" t="s">
        <v>139</v>
      </c>
      <c r="C101" s="24" t="s">
        <v>186</v>
      </c>
      <c r="D101" s="13" t="s">
        <v>262</v>
      </c>
      <c r="E101" s="14" t="s">
        <v>350</v>
      </c>
      <c r="F101" s="14" t="s">
        <v>351</v>
      </c>
      <c r="G101" s="15" t="s">
        <v>74</v>
      </c>
      <c r="H101" s="22" t="s">
        <v>147</v>
      </c>
      <c r="I101" s="17" t="s">
        <v>256</v>
      </c>
      <c r="J101" s="14" t="s">
        <v>264</v>
      </c>
    </row>
    <row r="102" spans="1:10" ht="36" hidden="1" customHeight="1" x14ac:dyDescent="0.35">
      <c r="A102" s="27" t="s">
        <v>38</v>
      </c>
      <c r="B102" s="11" t="s">
        <v>139</v>
      </c>
      <c r="C102" s="24" t="s">
        <v>186</v>
      </c>
      <c r="D102" s="13" t="s">
        <v>262</v>
      </c>
      <c r="E102" s="14" t="s">
        <v>352</v>
      </c>
      <c r="F102" s="14" t="s">
        <v>295</v>
      </c>
      <c r="G102" s="15" t="s">
        <v>74</v>
      </c>
      <c r="H102" s="25" t="s">
        <v>192</v>
      </c>
      <c r="I102" s="17" t="s">
        <v>309</v>
      </c>
      <c r="J102" s="14" t="s">
        <v>264</v>
      </c>
    </row>
    <row r="103" spans="1:10" ht="48" hidden="1" customHeight="1" x14ac:dyDescent="0.35">
      <c r="A103" s="27" t="s">
        <v>38</v>
      </c>
      <c r="B103" s="11" t="s">
        <v>139</v>
      </c>
      <c r="C103" s="12" t="s">
        <v>70</v>
      </c>
      <c r="D103" s="13" t="s">
        <v>262</v>
      </c>
      <c r="E103" s="14" t="s">
        <v>353</v>
      </c>
      <c r="F103" s="14" t="s">
        <v>295</v>
      </c>
      <c r="G103" s="15" t="s">
        <v>74</v>
      </c>
      <c r="H103" s="16" t="s">
        <v>75</v>
      </c>
      <c r="I103" s="17" t="s">
        <v>309</v>
      </c>
      <c r="J103" s="14" t="s">
        <v>264</v>
      </c>
    </row>
    <row r="104" spans="1:10" ht="60" hidden="1" customHeight="1" x14ac:dyDescent="0.35">
      <c r="A104" s="27" t="s">
        <v>38</v>
      </c>
      <c r="B104" s="11" t="s">
        <v>139</v>
      </c>
      <c r="C104" s="12" t="s">
        <v>70</v>
      </c>
      <c r="D104" s="13" t="s">
        <v>262</v>
      </c>
      <c r="E104" s="14" t="s">
        <v>354</v>
      </c>
      <c r="F104" s="14" t="s">
        <v>295</v>
      </c>
      <c r="G104" s="15" t="s">
        <v>74</v>
      </c>
      <c r="H104" s="16" t="s">
        <v>75</v>
      </c>
      <c r="I104" s="17" t="s">
        <v>309</v>
      </c>
      <c r="J104" s="14" t="s">
        <v>264</v>
      </c>
    </row>
    <row r="105" spans="1:10" ht="60" hidden="1" customHeight="1" x14ac:dyDescent="0.35">
      <c r="A105" s="27" t="s">
        <v>38</v>
      </c>
      <c r="B105" s="11" t="s">
        <v>139</v>
      </c>
      <c r="C105" s="24" t="s">
        <v>186</v>
      </c>
      <c r="D105" s="13" t="s">
        <v>262</v>
      </c>
      <c r="E105" s="14" t="s">
        <v>355</v>
      </c>
      <c r="F105" s="14" t="s">
        <v>295</v>
      </c>
      <c r="G105" s="15" t="s">
        <v>74</v>
      </c>
      <c r="H105" s="19" t="s">
        <v>95</v>
      </c>
      <c r="I105" s="17" t="s">
        <v>256</v>
      </c>
      <c r="J105" s="14" t="s">
        <v>264</v>
      </c>
    </row>
    <row r="106" spans="1:10" ht="60" hidden="1" customHeight="1" x14ac:dyDescent="0.35">
      <c r="A106" s="27" t="s">
        <v>38</v>
      </c>
      <c r="B106" s="11" t="s">
        <v>139</v>
      </c>
      <c r="C106" s="24" t="s">
        <v>186</v>
      </c>
      <c r="D106" s="13" t="s">
        <v>262</v>
      </c>
      <c r="E106" s="14" t="s">
        <v>356</v>
      </c>
      <c r="F106" s="14" t="s">
        <v>357</v>
      </c>
      <c r="G106" s="15" t="s">
        <v>74</v>
      </c>
      <c r="H106" s="16" t="s">
        <v>75</v>
      </c>
      <c r="I106" s="17" t="s">
        <v>256</v>
      </c>
      <c r="J106" s="14" t="s">
        <v>264</v>
      </c>
    </row>
    <row r="107" spans="1:10" ht="72" hidden="1" customHeight="1" x14ac:dyDescent="0.35">
      <c r="A107" s="27" t="s">
        <v>38</v>
      </c>
      <c r="B107" s="11" t="s">
        <v>139</v>
      </c>
      <c r="C107" s="24" t="s">
        <v>186</v>
      </c>
      <c r="D107" s="13" t="s">
        <v>262</v>
      </c>
      <c r="E107" s="14" t="s">
        <v>358</v>
      </c>
      <c r="F107" s="14" t="s">
        <v>295</v>
      </c>
      <c r="G107" s="15" t="s">
        <v>74</v>
      </c>
      <c r="H107" s="16" t="s">
        <v>75</v>
      </c>
      <c r="I107" s="17" t="s">
        <v>256</v>
      </c>
      <c r="J107" s="14" t="s">
        <v>359</v>
      </c>
    </row>
    <row r="108" spans="1:10" ht="36" hidden="1" customHeight="1" x14ac:dyDescent="0.35">
      <c r="A108" s="27" t="s">
        <v>38</v>
      </c>
      <c r="B108" s="11" t="s">
        <v>139</v>
      </c>
      <c r="C108" s="24" t="s">
        <v>186</v>
      </c>
      <c r="D108" s="13" t="s">
        <v>262</v>
      </c>
      <c r="E108" s="14" t="s">
        <v>360</v>
      </c>
      <c r="F108" s="14" t="s">
        <v>73</v>
      </c>
      <c r="G108" s="15" t="s">
        <v>74</v>
      </c>
      <c r="H108" s="25" t="s">
        <v>192</v>
      </c>
      <c r="I108" s="17" t="s">
        <v>258</v>
      </c>
      <c r="J108" s="14" t="s">
        <v>361</v>
      </c>
    </row>
    <row r="109" spans="1:10" ht="48" hidden="1" customHeight="1" x14ac:dyDescent="0.35">
      <c r="A109" s="27" t="s">
        <v>38</v>
      </c>
      <c r="B109" s="11" t="s">
        <v>139</v>
      </c>
      <c r="C109" s="12" t="s">
        <v>70</v>
      </c>
      <c r="D109" s="13" t="s">
        <v>262</v>
      </c>
      <c r="E109" s="14" t="s">
        <v>362</v>
      </c>
      <c r="F109" s="14" t="s">
        <v>363</v>
      </c>
      <c r="G109" s="28" t="s">
        <v>236</v>
      </c>
      <c r="H109" s="16" t="s">
        <v>75</v>
      </c>
      <c r="I109" s="17" t="s">
        <v>258</v>
      </c>
      <c r="J109" s="14" t="s">
        <v>364</v>
      </c>
    </row>
    <row r="110" spans="1:10" ht="48" hidden="1" customHeight="1" x14ac:dyDescent="0.35">
      <c r="A110" s="27" t="s">
        <v>38</v>
      </c>
      <c r="B110" s="11" t="s">
        <v>139</v>
      </c>
      <c r="C110" s="12" t="s">
        <v>70</v>
      </c>
      <c r="D110" s="13" t="s">
        <v>262</v>
      </c>
      <c r="E110" s="14" t="s">
        <v>365</v>
      </c>
      <c r="F110" s="14" t="s">
        <v>73</v>
      </c>
      <c r="G110" s="29" t="s">
        <v>252</v>
      </c>
      <c r="H110" s="16" t="s">
        <v>75</v>
      </c>
      <c r="I110" s="17" t="s">
        <v>258</v>
      </c>
      <c r="J110" s="14" t="s">
        <v>366</v>
      </c>
    </row>
    <row r="111" spans="1:10" ht="36" hidden="1" customHeight="1" x14ac:dyDescent="0.35">
      <c r="A111" s="27" t="s">
        <v>38</v>
      </c>
      <c r="B111" s="11" t="s">
        <v>139</v>
      </c>
      <c r="C111" s="12" t="s">
        <v>70</v>
      </c>
      <c r="D111" s="13" t="s">
        <v>262</v>
      </c>
      <c r="E111" s="14" t="s">
        <v>367</v>
      </c>
      <c r="F111" s="14" t="s">
        <v>73</v>
      </c>
      <c r="G111" s="28" t="s">
        <v>236</v>
      </c>
      <c r="H111" s="19" t="s">
        <v>95</v>
      </c>
      <c r="I111" s="17" t="s">
        <v>368</v>
      </c>
      <c r="J111" s="14" t="s">
        <v>369</v>
      </c>
    </row>
    <row r="112" spans="1:10" ht="48" hidden="1" customHeight="1" x14ac:dyDescent="0.35">
      <c r="A112" s="27" t="s">
        <v>38</v>
      </c>
      <c r="B112" s="11" t="s">
        <v>139</v>
      </c>
      <c r="C112" s="12" t="s">
        <v>70</v>
      </c>
      <c r="D112" s="13" t="s">
        <v>262</v>
      </c>
      <c r="E112" s="14" t="s">
        <v>370</v>
      </c>
      <c r="F112" s="14" t="s">
        <v>295</v>
      </c>
      <c r="G112" s="15" t="s">
        <v>74</v>
      </c>
      <c r="H112" s="19" t="s">
        <v>95</v>
      </c>
      <c r="I112" s="17" t="s">
        <v>368</v>
      </c>
      <c r="J112" s="14" t="s">
        <v>371</v>
      </c>
    </row>
    <row r="113" spans="1:10" ht="48" hidden="1" customHeight="1" x14ac:dyDescent="0.35">
      <c r="A113" s="30" t="s">
        <v>42</v>
      </c>
      <c r="B113" s="11" t="s">
        <v>372</v>
      </c>
      <c r="C113" s="24" t="s">
        <v>186</v>
      </c>
      <c r="D113" s="21" t="s">
        <v>145</v>
      </c>
      <c r="E113" s="14" t="s">
        <v>373</v>
      </c>
      <c r="F113" s="14" t="s">
        <v>73</v>
      </c>
      <c r="G113" s="28" t="s">
        <v>236</v>
      </c>
      <c r="H113" s="19" t="s">
        <v>95</v>
      </c>
      <c r="I113" s="17" t="s">
        <v>290</v>
      </c>
      <c r="J113" s="14" t="s">
        <v>374</v>
      </c>
    </row>
    <row r="114" spans="1:10" ht="30" hidden="1" customHeight="1" x14ac:dyDescent="0.35">
      <c r="A114" s="30" t="s">
        <v>42</v>
      </c>
      <c r="B114" s="11" t="s">
        <v>372</v>
      </c>
      <c r="C114" s="24" t="s">
        <v>186</v>
      </c>
      <c r="D114" s="21" t="s">
        <v>145</v>
      </c>
      <c r="E114" s="14" t="s">
        <v>375</v>
      </c>
      <c r="F114" s="14" t="s">
        <v>73</v>
      </c>
      <c r="G114" s="28" t="s">
        <v>236</v>
      </c>
      <c r="H114" s="16" t="s">
        <v>75</v>
      </c>
      <c r="I114" s="17" t="s">
        <v>290</v>
      </c>
      <c r="J114" s="14" t="s">
        <v>376</v>
      </c>
    </row>
    <row r="115" spans="1:10" ht="30" hidden="1" customHeight="1" x14ac:dyDescent="0.35">
      <c r="A115" s="30" t="s">
        <v>42</v>
      </c>
      <c r="B115" s="11" t="s">
        <v>372</v>
      </c>
      <c r="C115" s="24" t="s">
        <v>186</v>
      </c>
      <c r="D115" s="21" t="s">
        <v>145</v>
      </c>
      <c r="E115" s="14" t="s">
        <v>377</v>
      </c>
      <c r="F115" s="14" t="s">
        <v>73</v>
      </c>
      <c r="G115" s="28" t="s">
        <v>236</v>
      </c>
      <c r="H115" s="25" t="s">
        <v>192</v>
      </c>
      <c r="I115" s="17" t="s">
        <v>290</v>
      </c>
      <c r="J115" s="14" t="s">
        <v>376</v>
      </c>
    </row>
    <row r="116" spans="1:10" ht="36" hidden="1" customHeight="1" x14ac:dyDescent="0.35">
      <c r="A116" s="30" t="s">
        <v>42</v>
      </c>
      <c r="B116" s="11" t="s">
        <v>372</v>
      </c>
      <c r="C116" s="24" t="s">
        <v>186</v>
      </c>
      <c r="D116" s="21" t="s">
        <v>145</v>
      </c>
      <c r="E116" s="14" t="s">
        <v>378</v>
      </c>
      <c r="F116" s="14" t="s">
        <v>73</v>
      </c>
      <c r="G116" s="28" t="s">
        <v>236</v>
      </c>
      <c r="H116" s="16" t="s">
        <v>75</v>
      </c>
      <c r="I116" s="17" t="s">
        <v>293</v>
      </c>
      <c r="J116" s="14" t="s">
        <v>376</v>
      </c>
    </row>
    <row r="117" spans="1:10" ht="36" hidden="1" customHeight="1" x14ac:dyDescent="0.35">
      <c r="A117" s="30" t="s">
        <v>42</v>
      </c>
      <c r="B117" s="11" t="s">
        <v>372</v>
      </c>
      <c r="C117" s="24" t="s">
        <v>186</v>
      </c>
      <c r="D117" s="21" t="s">
        <v>145</v>
      </c>
      <c r="E117" s="14" t="s">
        <v>379</v>
      </c>
      <c r="F117" s="14" t="s">
        <v>73</v>
      </c>
      <c r="G117" s="28" t="s">
        <v>236</v>
      </c>
      <c r="H117" s="16" t="s">
        <v>75</v>
      </c>
      <c r="I117" s="17" t="s">
        <v>293</v>
      </c>
      <c r="J117" s="14" t="s">
        <v>376</v>
      </c>
    </row>
    <row r="118" spans="1:10" ht="36" hidden="1" customHeight="1" x14ac:dyDescent="0.35">
      <c r="A118" s="30" t="s">
        <v>42</v>
      </c>
      <c r="B118" s="11" t="s">
        <v>372</v>
      </c>
      <c r="C118" s="24" t="s">
        <v>186</v>
      </c>
      <c r="D118" s="21" t="s">
        <v>145</v>
      </c>
      <c r="E118" s="14" t="s">
        <v>380</v>
      </c>
      <c r="F118" s="14" t="s">
        <v>73</v>
      </c>
      <c r="G118" s="28" t="s">
        <v>236</v>
      </c>
      <c r="H118" s="25" t="s">
        <v>192</v>
      </c>
      <c r="I118" s="17" t="s">
        <v>381</v>
      </c>
      <c r="J118" s="14" t="s">
        <v>376</v>
      </c>
    </row>
    <row r="119" spans="1:10" ht="48" hidden="1" customHeight="1" x14ac:dyDescent="0.35">
      <c r="A119" s="30" t="s">
        <v>42</v>
      </c>
      <c r="B119" s="11" t="s">
        <v>372</v>
      </c>
      <c r="C119" s="24" t="s">
        <v>186</v>
      </c>
      <c r="D119" s="21" t="s">
        <v>145</v>
      </c>
      <c r="E119" s="14" t="s">
        <v>382</v>
      </c>
      <c r="F119" s="14" t="s">
        <v>73</v>
      </c>
      <c r="G119" s="15" t="s">
        <v>74</v>
      </c>
      <c r="H119" s="16" t="s">
        <v>75</v>
      </c>
      <c r="I119" s="17" t="s">
        <v>381</v>
      </c>
      <c r="J119" s="14" t="s">
        <v>383</v>
      </c>
    </row>
    <row r="120" spans="1:10" ht="36" hidden="1" customHeight="1" x14ac:dyDescent="0.35">
      <c r="A120" s="30" t="s">
        <v>42</v>
      </c>
      <c r="B120" s="11" t="s">
        <v>384</v>
      </c>
      <c r="C120" s="24" t="s">
        <v>186</v>
      </c>
      <c r="D120" s="21" t="s">
        <v>145</v>
      </c>
      <c r="E120" s="14" t="s">
        <v>385</v>
      </c>
      <c r="F120" s="14" t="s">
        <v>73</v>
      </c>
      <c r="G120" s="15" t="s">
        <v>74</v>
      </c>
      <c r="H120" s="16" t="s">
        <v>75</v>
      </c>
      <c r="I120" s="17" t="s">
        <v>381</v>
      </c>
      <c r="J120" s="14" t="s">
        <v>149</v>
      </c>
    </row>
    <row r="121" spans="1:10" ht="36" hidden="1" customHeight="1" x14ac:dyDescent="0.35">
      <c r="A121" s="30" t="s">
        <v>42</v>
      </c>
      <c r="B121" s="11" t="s">
        <v>384</v>
      </c>
      <c r="C121" s="24" t="s">
        <v>186</v>
      </c>
      <c r="D121" s="21" t="s">
        <v>145</v>
      </c>
      <c r="E121" s="14" t="s">
        <v>386</v>
      </c>
      <c r="F121" s="14" t="s">
        <v>73</v>
      </c>
      <c r="G121" s="15" t="s">
        <v>74</v>
      </c>
      <c r="H121" s="16" t="s">
        <v>75</v>
      </c>
      <c r="I121" s="17" t="s">
        <v>387</v>
      </c>
      <c r="J121" s="14" t="s">
        <v>149</v>
      </c>
    </row>
    <row r="122" spans="1:10" ht="36" hidden="1" customHeight="1" x14ac:dyDescent="0.35">
      <c r="A122" s="30" t="s">
        <v>42</v>
      </c>
      <c r="B122" s="11" t="s">
        <v>384</v>
      </c>
      <c r="C122" s="24" t="s">
        <v>186</v>
      </c>
      <c r="D122" s="21" t="s">
        <v>145</v>
      </c>
      <c r="E122" s="14" t="s">
        <v>388</v>
      </c>
      <c r="F122" s="14" t="s">
        <v>73</v>
      </c>
      <c r="G122" s="15" t="s">
        <v>74</v>
      </c>
      <c r="H122" s="16" t="s">
        <v>75</v>
      </c>
      <c r="I122" s="17" t="s">
        <v>387</v>
      </c>
      <c r="J122" s="14" t="s">
        <v>149</v>
      </c>
    </row>
    <row r="123" spans="1:10" ht="36" hidden="1" customHeight="1" x14ac:dyDescent="0.35">
      <c r="A123" s="30" t="s">
        <v>42</v>
      </c>
      <c r="B123" s="11" t="s">
        <v>384</v>
      </c>
      <c r="C123" s="24" t="s">
        <v>186</v>
      </c>
      <c r="D123" s="21" t="s">
        <v>145</v>
      </c>
      <c r="E123" s="14" t="s">
        <v>389</v>
      </c>
      <c r="F123" s="14" t="s">
        <v>73</v>
      </c>
      <c r="G123" s="15" t="s">
        <v>74</v>
      </c>
      <c r="H123" s="25" t="s">
        <v>192</v>
      </c>
      <c r="I123" s="17" t="s">
        <v>390</v>
      </c>
      <c r="J123" s="14" t="s">
        <v>149</v>
      </c>
    </row>
    <row r="124" spans="1:10" ht="36" hidden="1" customHeight="1" x14ac:dyDescent="0.35">
      <c r="A124" s="30" t="s">
        <v>42</v>
      </c>
      <c r="B124" s="11" t="s">
        <v>384</v>
      </c>
      <c r="C124" s="24" t="s">
        <v>186</v>
      </c>
      <c r="D124" s="21" t="s">
        <v>145</v>
      </c>
      <c r="E124" s="14" t="s">
        <v>391</v>
      </c>
      <c r="F124" s="14" t="s">
        <v>73</v>
      </c>
      <c r="G124" s="15" t="s">
        <v>74</v>
      </c>
      <c r="H124" s="19" t="s">
        <v>95</v>
      </c>
      <c r="I124" s="17" t="s">
        <v>392</v>
      </c>
      <c r="J124" s="14" t="s">
        <v>149</v>
      </c>
    </row>
    <row r="125" spans="1:10" ht="30" hidden="1" customHeight="1" x14ac:dyDescent="0.35">
      <c r="A125" s="30" t="s">
        <v>42</v>
      </c>
      <c r="B125" s="11" t="s">
        <v>384</v>
      </c>
      <c r="C125" s="24" t="s">
        <v>186</v>
      </c>
      <c r="D125" s="21" t="s">
        <v>145</v>
      </c>
      <c r="E125" s="14" t="s">
        <v>393</v>
      </c>
      <c r="F125" s="14" t="s">
        <v>73</v>
      </c>
      <c r="G125" s="15" t="s">
        <v>74</v>
      </c>
      <c r="H125" s="25" t="s">
        <v>192</v>
      </c>
      <c r="I125" s="17" t="s">
        <v>390</v>
      </c>
      <c r="J125" s="14" t="s">
        <v>149</v>
      </c>
    </row>
    <row r="126" spans="1:10" ht="36" hidden="1" customHeight="1" x14ac:dyDescent="0.35">
      <c r="A126" s="30" t="s">
        <v>42</v>
      </c>
      <c r="B126" s="11" t="s">
        <v>384</v>
      </c>
      <c r="C126" s="24" t="s">
        <v>186</v>
      </c>
      <c r="D126" s="21" t="s">
        <v>145</v>
      </c>
      <c r="E126" s="14" t="s">
        <v>394</v>
      </c>
      <c r="F126" s="14" t="s">
        <v>73</v>
      </c>
      <c r="G126" s="15" t="s">
        <v>74</v>
      </c>
      <c r="H126" s="25" t="s">
        <v>192</v>
      </c>
      <c r="I126" s="17" t="s">
        <v>392</v>
      </c>
      <c r="J126" s="14" t="s">
        <v>149</v>
      </c>
    </row>
    <row r="127" spans="1:10" ht="72" hidden="1" customHeight="1" x14ac:dyDescent="0.35">
      <c r="A127" s="30" t="s">
        <v>42</v>
      </c>
      <c r="B127" s="11" t="s">
        <v>395</v>
      </c>
      <c r="C127" s="24" t="s">
        <v>186</v>
      </c>
      <c r="D127" s="21" t="s">
        <v>145</v>
      </c>
      <c r="E127" s="14" t="s">
        <v>396</v>
      </c>
      <c r="F127" s="14" t="s">
        <v>397</v>
      </c>
      <c r="G127" s="15" t="s">
        <v>74</v>
      </c>
      <c r="H127" s="19" t="s">
        <v>95</v>
      </c>
      <c r="I127" s="17" t="s">
        <v>398</v>
      </c>
      <c r="J127" s="14" t="s">
        <v>399</v>
      </c>
    </row>
    <row r="128" spans="1:10" ht="36" hidden="1" customHeight="1" x14ac:dyDescent="0.35">
      <c r="A128" s="30" t="s">
        <v>42</v>
      </c>
      <c r="B128" s="11" t="s">
        <v>384</v>
      </c>
      <c r="C128" s="12" t="s">
        <v>70</v>
      </c>
      <c r="D128" s="21" t="s">
        <v>145</v>
      </c>
      <c r="E128" s="14" t="s">
        <v>400</v>
      </c>
      <c r="F128" s="14" t="s">
        <v>73</v>
      </c>
      <c r="G128" s="15" t="s">
        <v>74</v>
      </c>
      <c r="H128" s="22" t="s">
        <v>147</v>
      </c>
      <c r="I128" s="17" t="s">
        <v>401</v>
      </c>
      <c r="J128" s="14" t="s">
        <v>149</v>
      </c>
    </row>
    <row r="129" spans="1:10" ht="30" hidden="1" customHeight="1" x14ac:dyDescent="0.35">
      <c r="A129" s="30" t="s">
        <v>42</v>
      </c>
      <c r="B129" s="11" t="s">
        <v>384</v>
      </c>
      <c r="C129" s="12" t="s">
        <v>70</v>
      </c>
      <c r="D129" s="21" t="s">
        <v>145</v>
      </c>
      <c r="E129" s="14" t="s">
        <v>402</v>
      </c>
      <c r="F129" s="14" t="s">
        <v>73</v>
      </c>
      <c r="G129" s="15" t="s">
        <v>74</v>
      </c>
      <c r="H129" s="19" t="s">
        <v>95</v>
      </c>
      <c r="I129" s="17" t="s">
        <v>403</v>
      </c>
      <c r="J129" s="14" t="s">
        <v>149</v>
      </c>
    </row>
    <row r="130" spans="1:10" ht="36" hidden="1" customHeight="1" x14ac:dyDescent="0.35">
      <c r="A130" s="30" t="s">
        <v>42</v>
      </c>
      <c r="B130" s="11" t="s">
        <v>384</v>
      </c>
      <c r="C130" s="12" t="s">
        <v>70</v>
      </c>
      <c r="D130" s="21" t="s">
        <v>145</v>
      </c>
      <c r="E130" s="14" t="s">
        <v>404</v>
      </c>
      <c r="F130" s="14" t="s">
        <v>73</v>
      </c>
      <c r="G130" s="15" t="s">
        <v>74</v>
      </c>
      <c r="H130" s="16" t="s">
        <v>75</v>
      </c>
      <c r="I130" s="17" t="s">
        <v>405</v>
      </c>
      <c r="J130" s="14" t="s">
        <v>406</v>
      </c>
    </row>
    <row r="131" spans="1:10" ht="30" hidden="1" customHeight="1" x14ac:dyDescent="0.35">
      <c r="A131" s="30" t="s">
        <v>42</v>
      </c>
      <c r="B131" s="11" t="s">
        <v>384</v>
      </c>
      <c r="C131" s="12" t="s">
        <v>70</v>
      </c>
      <c r="D131" s="21" t="s">
        <v>145</v>
      </c>
      <c r="E131" s="14" t="s">
        <v>407</v>
      </c>
      <c r="F131" s="14" t="s">
        <v>73</v>
      </c>
      <c r="G131" s="15" t="s">
        <v>74</v>
      </c>
      <c r="H131" s="19" t="s">
        <v>95</v>
      </c>
      <c r="I131" s="17" t="s">
        <v>408</v>
      </c>
      <c r="J131" s="14" t="s">
        <v>149</v>
      </c>
    </row>
    <row r="132" spans="1:10" ht="30" hidden="1" customHeight="1" x14ac:dyDescent="0.35">
      <c r="A132" s="30" t="s">
        <v>42</v>
      </c>
      <c r="B132" s="11" t="s">
        <v>384</v>
      </c>
      <c r="C132" s="12" t="s">
        <v>70</v>
      </c>
      <c r="D132" s="21" t="s">
        <v>145</v>
      </c>
      <c r="E132" s="14" t="s">
        <v>409</v>
      </c>
      <c r="F132" s="14" t="s">
        <v>73</v>
      </c>
      <c r="G132" s="15" t="s">
        <v>74</v>
      </c>
      <c r="H132" s="22" t="s">
        <v>147</v>
      </c>
      <c r="I132" s="17" t="s">
        <v>410</v>
      </c>
      <c r="J132" s="14" t="s">
        <v>149</v>
      </c>
    </row>
    <row r="133" spans="1:10" ht="30" hidden="1" customHeight="1" x14ac:dyDescent="0.35">
      <c r="A133" s="30" t="s">
        <v>42</v>
      </c>
      <c r="B133" s="11" t="s">
        <v>384</v>
      </c>
      <c r="C133" s="12" t="s">
        <v>70</v>
      </c>
      <c r="D133" s="21" t="s">
        <v>145</v>
      </c>
      <c r="E133" s="14" t="s">
        <v>411</v>
      </c>
      <c r="F133" s="14" t="s">
        <v>73</v>
      </c>
      <c r="G133" s="29" t="s">
        <v>252</v>
      </c>
      <c r="H133" s="16" t="s">
        <v>75</v>
      </c>
      <c r="I133" s="17" t="s">
        <v>412</v>
      </c>
      <c r="J133" s="14" t="s">
        <v>413</v>
      </c>
    </row>
    <row r="134" spans="1:10" ht="60" hidden="1" customHeight="1" x14ac:dyDescent="0.35">
      <c r="A134" s="30" t="s">
        <v>42</v>
      </c>
      <c r="B134" s="11" t="s">
        <v>384</v>
      </c>
      <c r="C134" s="12" t="s">
        <v>70</v>
      </c>
      <c r="D134" s="21" t="s">
        <v>145</v>
      </c>
      <c r="E134" s="14" t="s">
        <v>414</v>
      </c>
      <c r="F134" s="14" t="s">
        <v>415</v>
      </c>
      <c r="G134" s="28" t="s">
        <v>236</v>
      </c>
      <c r="H134" s="19" t="s">
        <v>95</v>
      </c>
      <c r="I134" s="17" t="s">
        <v>416</v>
      </c>
      <c r="J134" s="14" t="s">
        <v>417</v>
      </c>
    </row>
    <row r="135" spans="1:10" ht="30" hidden="1" customHeight="1" x14ac:dyDescent="0.35">
      <c r="A135" s="30" t="s">
        <v>42</v>
      </c>
      <c r="B135" s="11" t="s">
        <v>418</v>
      </c>
      <c r="C135" s="24" t="s">
        <v>186</v>
      </c>
      <c r="D135" s="21" t="s">
        <v>145</v>
      </c>
      <c r="E135" s="14" t="s">
        <v>419</v>
      </c>
      <c r="F135" s="14" t="s">
        <v>73</v>
      </c>
      <c r="G135" s="29" t="s">
        <v>252</v>
      </c>
      <c r="H135" s="26" t="s">
        <v>194</v>
      </c>
      <c r="I135" s="17" t="s">
        <v>390</v>
      </c>
      <c r="J135" s="14" t="s">
        <v>420</v>
      </c>
    </row>
    <row r="136" spans="1:10" ht="36" hidden="1" customHeight="1" x14ac:dyDescent="0.35">
      <c r="A136" s="30" t="s">
        <v>42</v>
      </c>
      <c r="B136" s="11" t="s">
        <v>418</v>
      </c>
      <c r="C136" s="24" t="s">
        <v>186</v>
      </c>
      <c r="D136" s="21" t="s">
        <v>145</v>
      </c>
      <c r="E136" s="14" t="s">
        <v>421</v>
      </c>
      <c r="F136" s="14" t="s">
        <v>73</v>
      </c>
      <c r="G136" s="29" t="s">
        <v>252</v>
      </c>
      <c r="H136" s="25" t="s">
        <v>192</v>
      </c>
      <c r="I136" s="17" t="s">
        <v>390</v>
      </c>
      <c r="J136" s="14" t="s">
        <v>420</v>
      </c>
    </row>
    <row r="137" spans="1:10" ht="36" hidden="1" customHeight="1" x14ac:dyDescent="0.35">
      <c r="A137" s="30" t="s">
        <v>42</v>
      </c>
      <c r="B137" s="11" t="s">
        <v>418</v>
      </c>
      <c r="C137" s="24" t="s">
        <v>186</v>
      </c>
      <c r="D137" s="21" t="s">
        <v>145</v>
      </c>
      <c r="E137" s="14" t="s">
        <v>422</v>
      </c>
      <c r="F137" s="14" t="s">
        <v>73</v>
      </c>
      <c r="G137" s="29" t="s">
        <v>252</v>
      </c>
      <c r="H137" s="25" t="s">
        <v>192</v>
      </c>
      <c r="I137" s="17" t="s">
        <v>390</v>
      </c>
      <c r="J137" s="14" t="s">
        <v>420</v>
      </c>
    </row>
    <row r="138" spans="1:10" ht="36" hidden="1" customHeight="1" x14ac:dyDescent="0.35">
      <c r="A138" s="30" t="s">
        <v>42</v>
      </c>
      <c r="B138" s="11" t="s">
        <v>418</v>
      </c>
      <c r="C138" s="24" t="s">
        <v>186</v>
      </c>
      <c r="D138" s="21" t="s">
        <v>145</v>
      </c>
      <c r="E138" s="14" t="s">
        <v>423</v>
      </c>
      <c r="F138" s="14" t="s">
        <v>73</v>
      </c>
      <c r="G138" s="29" t="s">
        <v>252</v>
      </c>
      <c r="H138" s="25" t="s">
        <v>192</v>
      </c>
      <c r="I138" s="17" t="s">
        <v>390</v>
      </c>
      <c r="J138" s="14" t="s">
        <v>420</v>
      </c>
    </row>
    <row r="139" spans="1:10" ht="36" hidden="1" customHeight="1" x14ac:dyDescent="0.35">
      <c r="A139" s="30" t="s">
        <v>42</v>
      </c>
      <c r="B139" s="11" t="s">
        <v>418</v>
      </c>
      <c r="C139" s="24" t="s">
        <v>186</v>
      </c>
      <c r="D139" s="21" t="s">
        <v>145</v>
      </c>
      <c r="E139" s="14" t="s">
        <v>424</v>
      </c>
      <c r="F139" s="14" t="s">
        <v>73</v>
      </c>
      <c r="G139" s="29" t="s">
        <v>252</v>
      </c>
      <c r="H139" s="25" t="s">
        <v>192</v>
      </c>
      <c r="I139" s="17" t="s">
        <v>390</v>
      </c>
      <c r="J139" s="14" t="s">
        <v>420</v>
      </c>
    </row>
    <row r="140" spans="1:10" ht="36" hidden="1" customHeight="1" x14ac:dyDescent="0.35">
      <c r="A140" s="30" t="s">
        <v>42</v>
      </c>
      <c r="B140" s="11" t="s">
        <v>418</v>
      </c>
      <c r="C140" s="24" t="s">
        <v>186</v>
      </c>
      <c r="D140" s="21" t="s">
        <v>145</v>
      </c>
      <c r="E140" s="14" t="s">
        <v>425</v>
      </c>
      <c r="F140" s="14" t="s">
        <v>73</v>
      </c>
      <c r="G140" s="29" t="s">
        <v>252</v>
      </c>
      <c r="H140" s="16" t="s">
        <v>75</v>
      </c>
      <c r="I140" s="17" t="s">
        <v>390</v>
      </c>
      <c r="J140" s="14" t="s">
        <v>420</v>
      </c>
    </row>
    <row r="141" spans="1:10" ht="36" hidden="1" customHeight="1" x14ac:dyDescent="0.35">
      <c r="A141" s="30" t="s">
        <v>42</v>
      </c>
      <c r="B141" s="11" t="s">
        <v>418</v>
      </c>
      <c r="C141" s="24" t="s">
        <v>186</v>
      </c>
      <c r="D141" s="21" t="s">
        <v>145</v>
      </c>
      <c r="E141" s="14" t="s">
        <v>426</v>
      </c>
      <c r="F141" s="14" t="s">
        <v>73</v>
      </c>
      <c r="G141" s="15" t="s">
        <v>74</v>
      </c>
      <c r="H141" s="19" t="s">
        <v>95</v>
      </c>
      <c r="I141" s="17" t="s">
        <v>392</v>
      </c>
      <c r="J141" s="14" t="s">
        <v>197</v>
      </c>
    </row>
    <row r="142" spans="1:10" ht="36" hidden="1" customHeight="1" x14ac:dyDescent="0.35">
      <c r="A142" s="30" t="s">
        <v>42</v>
      </c>
      <c r="B142" s="11" t="s">
        <v>418</v>
      </c>
      <c r="C142" s="24" t="s">
        <v>186</v>
      </c>
      <c r="D142" s="21" t="s">
        <v>145</v>
      </c>
      <c r="E142" s="14" t="s">
        <v>427</v>
      </c>
      <c r="F142" s="14" t="s">
        <v>73</v>
      </c>
      <c r="G142" s="15" t="s">
        <v>74</v>
      </c>
      <c r="H142" s="25" t="s">
        <v>192</v>
      </c>
      <c r="I142" s="17" t="s">
        <v>390</v>
      </c>
      <c r="J142" s="14" t="s">
        <v>197</v>
      </c>
    </row>
    <row r="143" spans="1:10" ht="48" hidden="1" customHeight="1" x14ac:dyDescent="0.35">
      <c r="A143" s="30" t="s">
        <v>42</v>
      </c>
      <c r="B143" s="11" t="s">
        <v>418</v>
      </c>
      <c r="C143" s="24" t="s">
        <v>186</v>
      </c>
      <c r="D143" s="21" t="s">
        <v>145</v>
      </c>
      <c r="E143" s="14" t="s">
        <v>428</v>
      </c>
      <c r="F143" s="14" t="s">
        <v>73</v>
      </c>
      <c r="G143" s="15" t="s">
        <v>74</v>
      </c>
      <c r="H143" s="16" t="s">
        <v>75</v>
      </c>
      <c r="I143" s="17" t="s">
        <v>392</v>
      </c>
      <c r="J143" s="14" t="s">
        <v>429</v>
      </c>
    </row>
    <row r="144" spans="1:10" ht="48" hidden="1" customHeight="1" x14ac:dyDescent="0.35">
      <c r="A144" s="30" t="s">
        <v>42</v>
      </c>
      <c r="B144" s="11" t="s">
        <v>418</v>
      </c>
      <c r="C144" s="24" t="s">
        <v>186</v>
      </c>
      <c r="D144" s="21" t="s">
        <v>145</v>
      </c>
      <c r="E144" s="14" t="s">
        <v>430</v>
      </c>
      <c r="F144" s="14" t="s">
        <v>73</v>
      </c>
      <c r="G144" s="15" t="s">
        <v>74</v>
      </c>
      <c r="H144" s="26" t="s">
        <v>194</v>
      </c>
      <c r="I144" s="17" t="s">
        <v>390</v>
      </c>
      <c r="J144" s="14" t="s">
        <v>197</v>
      </c>
    </row>
    <row r="145" spans="1:10" ht="36" hidden="1" customHeight="1" x14ac:dyDescent="0.35">
      <c r="A145" s="30" t="s">
        <v>42</v>
      </c>
      <c r="B145" s="11" t="s">
        <v>418</v>
      </c>
      <c r="C145" s="24" t="s">
        <v>186</v>
      </c>
      <c r="D145" s="21" t="s">
        <v>145</v>
      </c>
      <c r="E145" s="14" t="s">
        <v>431</v>
      </c>
      <c r="F145" s="14" t="s">
        <v>73</v>
      </c>
      <c r="G145" s="15" t="s">
        <v>74</v>
      </c>
      <c r="H145" s="25" t="s">
        <v>192</v>
      </c>
      <c r="I145" s="17" t="s">
        <v>392</v>
      </c>
      <c r="J145" s="14" t="s">
        <v>197</v>
      </c>
    </row>
    <row r="146" spans="1:10" ht="60" hidden="1" customHeight="1" x14ac:dyDescent="0.35">
      <c r="A146" s="30" t="s">
        <v>42</v>
      </c>
      <c r="B146" s="11" t="s">
        <v>418</v>
      </c>
      <c r="C146" s="24" t="s">
        <v>186</v>
      </c>
      <c r="D146" s="21" t="s">
        <v>145</v>
      </c>
      <c r="E146" s="14" t="s">
        <v>432</v>
      </c>
      <c r="F146" s="14" t="s">
        <v>433</v>
      </c>
      <c r="G146" s="15" t="s">
        <v>74</v>
      </c>
      <c r="H146" s="16" t="s">
        <v>75</v>
      </c>
      <c r="I146" s="17" t="s">
        <v>398</v>
      </c>
      <c r="J146" s="14" t="s">
        <v>434</v>
      </c>
    </row>
    <row r="147" spans="1:10" ht="30" hidden="1" customHeight="1" x14ac:dyDescent="0.35">
      <c r="A147" s="30" t="s">
        <v>42</v>
      </c>
      <c r="B147" s="11" t="s">
        <v>418</v>
      </c>
      <c r="C147" s="12" t="s">
        <v>70</v>
      </c>
      <c r="D147" s="21" t="s">
        <v>145</v>
      </c>
      <c r="E147" s="14" t="s">
        <v>435</v>
      </c>
      <c r="F147" s="14" t="s">
        <v>73</v>
      </c>
      <c r="G147" s="15" t="s">
        <v>74</v>
      </c>
      <c r="H147" s="22" t="s">
        <v>147</v>
      </c>
      <c r="I147" s="17" t="s">
        <v>436</v>
      </c>
      <c r="J147" s="14" t="s">
        <v>149</v>
      </c>
    </row>
    <row r="148" spans="1:10" ht="36" hidden="1" customHeight="1" x14ac:dyDescent="0.35">
      <c r="A148" s="30" t="s">
        <v>42</v>
      </c>
      <c r="B148" s="11" t="s">
        <v>418</v>
      </c>
      <c r="C148" s="12" t="s">
        <v>70</v>
      </c>
      <c r="D148" s="21" t="s">
        <v>145</v>
      </c>
      <c r="E148" s="14" t="s">
        <v>437</v>
      </c>
      <c r="F148" s="14" t="s">
        <v>73</v>
      </c>
      <c r="G148" s="15" t="s">
        <v>74</v>
      </c>
      <c r="H148" s="16" t="s">
        <v>75</v>
      </c>
      <c r="I148" s="17" t="s">
        <v>398</v>
      </c>
      <c r="J148" s="14" t="s">
        <v>149</v>
      </c>
    </row>
    <row r="149" spans="1:10" ht="30" hidden="1" customHeight="1" x14ac:dyDescent="0.35">
      <c r="A149" s="30" t="s">
        <v>42</v>
      </c>
      <c r="B149" s="11" t="s">
        <v>418</v>
      </c>
      <c r="C149" s="12" t="s">
        <v>70</v>
      </c>
      <c r="D149" s="21" t="s">
        <v>145</v>
      </c>
      <c r="E149" s="14" t="s">
        <v>438</v>
      </c>
      <c r="F149" s="14" t="s">
        <v>73</v>
      </c>
      <c r="G149" s="28" t="s">
        <v>236</v>
      </c>
      <c r="H149" s="19" t="s">
        <v>95</v>
      </c>
      <c r="I149" s="17" t="s">
        <v>436</v>
      </c>
      <c r="J149" s="14" t="s">
        <v>439</v>
      </c>
    </row>
    <row r="150" spans="1:10" ht="30" hidden="1" customHeight="1" x14ac:dyDescent="0.35">
      <c r="A150" s="30" t="s">
        <v>42</v>
      </c>
      <c r="B150" s="11" t="s">
        <v>418</v>
      </c>
      <c r="C150" s="12" t="s">
        <v>70</v>
      </c>
      <c r="D150" s="21" t="s">
        <v>145</v>
      </c>
      <c r="E150" s="14" t="s">
        <v>440</v>
      </c>
      <c r="F150" s="14" t="s">
        <v>73</v>
      </c>
      <c r="G150" s="15" t="s">
        <v>74</v>
      </c>
      <c r="H150" s="19" t="s">
        <v>95</v>
      </c>
      <c r="I150" s="17" t="s">
        <v>436</v>
      </c>
      <c r="J150" s="14" t="s">
        <v>441</v>
      </c>
    </row>
    <row r="151" spans="1:10" ht="36" hidden="1" customHeight="1" x14ac:dyDescent="0.35">
      <c r="A151" s="30" t="s">
        <v>42</v>
      </c>
      <c r="B151" s="11" t="s">
        <v>418</v>
      </c>
      <c r="C151" s="12" t="s">
        <v>70</v>
      </c>
      <c r="D151" s="21" t="s">
        <v>145</v>
      </c>
      <c r="E151" s="14" t="s">
        <v>442</v>
      </c>
      <c r="F151" s="14" t="s">
        <v>73</v>
      </c>
      <c r="G151" s="28" t="s">
        <v>236</v>
      </c>
      <c r="H151" s="19" t="s">
        <v>95</v>
      </c>
      <c r="I151" s="17" t="s">
        <v>405</v>
      </c>
      <c r="J151" s="14" t="s">
        <v>443</v>
      </c>
    </row>
    <row r="152" spans="1:10" ht="60" hidden="1" customHeight="1" x14ac:dyDescent="0.35">
      <c r="A152" s="30" t="s">
        <v>42</v>
      </c>
      <c r="B152" s="11" t="s">
        <v>418</v>
      </c>
      <c r="C152" s="12" t="s">
        <v>70</v>
      </c>
      <c r="D152" s="21" t="s">
        <v>145</v>
      </c>
      <c r="E152" s="14" t="s">
        <v>444</v>
      </c>
      <c r="F152" s="14" t="s">
        <v>445</v>
      </c>
      <c r="G152" s="29" t="s">
        <v>252</v>
      </c>
      <c r="H152" s="22" t="s">
        <v>147</v>
      </c>
      <c r="I152" s="17" t="s">
        <v>446</v>
      </c>
      <c r="J152" s="14" t="s">
        <v>447</v>
      </c>
    </row>
    <row r="153" spans="1:10" ht="30" hidden="1" customHeight="1" x14ac:dyDescent="0.35">
      <c r="A153" s="30" t="s">
        <v>42</v>
      </c>
      <c r="B153" s="11" t="s">
        <v>418</v>
      </c>
      <c r="C153" s="24" t="s">
        <v>186</v>
      </c>
      <c r="D153" s="13" t="s">
        <v>262</v>
      </c>
      <c r="E153" s="14" t="s">
        <v>448</v>
      </c>
      <c r="F153" s="14" t="s">
        <v>73</v>
      </c>
      <c r="G153" s="15" t="s">
        <v>74</v>
      </c>
      <c r="H153" s="26" t="s">
        <v>194</v>
      </c>
      <c r="I153" s="17" t="s">
        <v>408</v>
      </c>
      <c r="J153" s="14" t="s">
        <v>264</v>
      </c>
    </row>
    <row r="154" spans="1:10" ht="60" hidden="1" customHeight="1" x14ac:dyDescent="0.35">
      <c r="A154" s="30" t="s">
        <v>42</v>
      </c>
      <c r="B154" s="11" t="s">
        <v>418</v>
      </c>
      <c r="C154" s="24" t="s">
        <v>186</v>
      </c>
      <c r="D154" s="13" t="s">
        <v>262</v>
      </c>
      <c r="E154" s="14" t="s">
        <v>449</v>
      </c>
      <c r="F154" s="14" t="s">
        <v>73</v>
      </c>
      <c r="G154" s="15" t="s">
        <v>74</v>
      </c>
      <c r="H154" s="16" t="s">
        <v>75</v>
      </c>
      <c r="I154" s="17" t="s">
        <v>408</v>
      </c>
      <c r="J154" s="14" t="s">
        <v>264</v>
      </c>
    </row>
    <row r="155" spans="1:10" ht="36" hidden="1" customHeight="1" x14ac:dyDescent="0.35">
      <c r="A155" s="30" t="s">
        <v>42</v>
      </c>
      <c r="B155" s="11" t="s">
        <v>418</v>
      </c>
      <c r="C155" s="24" t="s">
        <v>186</v>
      </c>
      <c r="D155" s="13" t="s">
        <v>262</v>
      </c>
      <c r="E155" s="14" t="s">
        <v>450</v>
      </c>
      <c r="F155" s="14" t="s">
        <v>73</v>
      </c>
      <c r="G155" s="15" t="s">
        <v>74</v>
      </c>
      <c r="H155" s="25" t="s">
        <v>192</v>
      </c>
      <c r="I155" s="17" t="s">
        <v>408</v>
      </c>
      <c r="J155" s="14" t="s">
        <v>451</v>
      </c>
    </row>
    <row r="156" spans="1:10" ht="36" hidden="1" customHeight="1" x14ac:dyDescent="0.35">
      <c r="A156" s="30" t="s">
        <v>42</v>
      </c>
      <c r="B156" s="11" t="s">
        <v>418</v>
      </c>
      <c r="C156" s="24" t="s">
        <v>186</v>
      </c>
      <c r="D156" s="13" t="s">
        <v>262</v>
      </c>
      <c r="E156" s="14" t="s">
        <v>452</v>
      </c>
      <c r="F156" s="14" t="s">
        <v>73</v>
      </c>
      <c r="G156" s="29" t="s">
        <v>252</v>
      </c>
      <c r="H156" s="25" t="s">
        <v>192</v>
      </c>
      <c r="I156" s="17" t="s">
        <v>408</v>
      </c>
      <c r="J156" s="14" t="s">
        <v>453</v>
      </c>
    </row>
    <row r="157" spans="1:10" ht="36" hidden="1" customHeight="1" x14ac:dyDescent="0.35">
      <c r="A157" s="30" t="s">
        <v>42</v>
      </c>
      <c r="B157" s="11" t="s">
        <v>418</v>
      </c>
      <c r="C157" s="24" t="s">
        <v>186</v>
      </c>
      <c r="D157" s="13" t="s">
        <v>262</v>
      </c>
      <c r="E157" s="14" t="s">
        <v>454</v>
      </c>
      <c r="F157" s="14" t="s">
        <v>73</v>
      </c>
      <c r="G157" s="28" t="s">
        <v>236</v>
      </c>
      <c r="H157" s="25" t="s">
        <v>192</v>
      </c>
      <c r="I157" s="17" t="s">
        <v>408</v>
      </c>
      <c r="J157" s="14" t="s">
        <v>455</v>
      </c>
    </row>
    <row r="158" spans="1:10" ht="36" hidden="1" customHeight="1" x14ac:dyDescent="0.35">
      <c r="A158" s="30" t="s">
        <v>42</v>
      </c>
      <c r="B158" s="11" t="s">
        <v>418</v>
      </c>
      <c r="C158" s="24" t="s">
        <v>186</v>
      </c>
      <c r="D158" s="13" t="s">
        <v>272</v>
      </c>
      <c r="E158" s="14" t="s">
        <v>456</v>
      </c>
      <c r="F158" s="14" t="s">
        <v>457</v>
      </c>
      <c r="G158" s="15" t="s">
        <v>74</v>
      </c>
      <c r="H158" s="25" t="s">
        <v>192</v>
      </c>
      <c r="I158" s="17" t="s">
        <v>458</v>
      </c>
      <c r="J158" s="14" t="s">
        <v>278</v>
      </c>
    </row>
    <row r="159" spans="1:10" ht="60" hidden="1" customHeight="1" x14ac:dyDescent="0.35">
      <c r="A159" s="30" t="s">
        <v>42</v>
      </c>
      <c r="B159" s="11" t="s">
        <v>418</v>
      </c>
      <c r="C159" s="12" t="s">
        <v>70</v>
      </c>
      <c r="D159" s="13" t="s">
        <v>262</v>
      </c>
      <c r="E159" s="14" t="s">
        <v>459</v>
      </c>
      <c r="F159" s="14" t="s">
        <v>460</v>
      </c>
      <c r="G159" s="15" t="s">
        <v>74</v>
      </c>
      <c r="H159" s="16" t="s">
        <v>75</v>
      </c>
      <c r="I159" s="17" t="s">
        <v>412</v>
      </c>
      <c r="J159" s="14" t="s">
        <v>461</v>
      </c>
    </row>
    <row r="160" spans="1:10" ht="72" hidden="1" customHeight="1" x14ac:dyDescent="0.35">
      <c r="A160" s="30" t="s">
        <v>42</v>
      </c>
      <c r="B160" s="11" t="s">
        <v>418</v>
      </c>
      <c r="C160" s="12" t="s">
        <v>70</v>
      </c>
      <c r="D160" s="13" t="s">
        <v>262</v>
      </c>
      <c r="E160" s="14" t="s">
        <v>462</v>
      </c>
      <c r="F160" s="14" t="s">
        <v>73</v>
      </c>
      <c r="G160" s="15" t="s">
        <v>74</v>
      </c>
      <c r="H160" s="22" t="s">
        <v>147</v>
      </c>
      <c r="I160" s="17" t="s">
        <v>416</v>
      </c>
      <c r="J160" s="14" t="s">
        <v>463</v>
      </c>
    </row>
    <row r="161" spans="1:10" ht="30" hidden="1" customHeight="1" x14ac:dyDescent="0.35">
      <c r="A161" s="30" t="s">
        <v>42</v>
      </c>
      <c r="B161" s="11" t="s">
        <v>418</v>
      </c>
      <c r="C161" s="12" t="s">
        <v>70</v>
      </c>
      <c r="D161" s="13" t="s">
        <v>272</v>
      </c>
      <c r="E161" s="14" t="s">
        <v>464</v>
      </c>
      <c r="F161" s="14" t="s">
        <v>73</v>
      </c>
      <c r="G161" s="15" t="s">
        <v>74</v>
      </c>
      <c r="H161" s="16" t="s">
        <v>75</v>
      </c>
      <c r="I161" s="17" t="s">
        <v>412</v>
      </c>
      <c r="J161" s="14" t="s">
        <v>278</v>
      </c>
    </row>
    <row r="162" spans="1:10" ht="48" hidden="1" customHeight="1" x14ac:dyDescent="0.35">
      <c r="A162" s="30" t="s">
        <v>42</v>
      </c>
      <c r="B162" s="11" t="s">
        <v>418</v>
      </c>
      <c r="C162" s="12" t="s">
        <v>70</v>
      </c>
      <c r="D162" s="13" t="s">
        <v>262</v>
      </c>
      <c r="E162" s="14" t="s">
        <v>465</v>
      </c>
      <c r="F162" s="14" t="s">
        <v>73</v>
      </c>
      <c r="G162" s="15" t="s">
        <v>74</v>
      </c>
      <c r="H162" s="16" t="s">
        <v>75</v>
      </c>
      <c r="I162" s="17" t="s">
        <v>412</v>
      </c>
      <c r="J162" s="14" t="s">
        <v>264</v>
      </c>
    </row>
    <row r="163" spans="1:10" ht="36" hidden="1" customHeight="1" x14ac:dyDescent="0.35">
      <c r="A163" s="30" t="s">
        <v>42</v>
      </c>
      <c r="B163" s="11" t="s">
        <v>418</v>
      </c>
      <c r="C163" s="12" t="s">
        <v>70</v>
      </c>
      <c r="D163" s="13" t="s">
        <v>262</v>
      </c>
      <c r="E163" s="14" t="s">
        <v>466</v>
      </c>
      <c r="F163" s="14" t="s">
        <v>73</v>
      </c>
      <c r="G163" s="28" t="s">
        <v>236</v>
      </c>
      <c r="H163" s="16" t="s">
        <v>75</v>
      </c>
      <c r="I163" s="17" t="s">
        <v>416</v>
      </c>
      <c r="J163" s="14" t="s">
        <v>467</v>
      </c>
    </row>
    <row r="164" spans="1:10" ht="72" hidden="1" customHeight="1" x14ac:dyDescent="0.35">
      <c r="A164" s="30" t="s">
        <v>42</v>
      </c>
      <c r="B164" s="11" t="s">
        <v>418</v>
      </c>
      <c r="C164" s="12" t="s">
        <v>70</v>
      </c>
      <c r="D164" s="13" t="s">
        <v>272</v>
      </c>
      <c r="E164" s="14" t="s">
        <v>468</v>
      </c>
      <c r="F164" s="14" t="s">
        <v>73</v>
      </c>
      <c r="G164" s="15" t="s">
        <v>74</v>
      </c>
      <c r="H164" s="19" t="s">
        <v>95</v>
      </c>
      <c r="I164" s="17" t="s">
        <v>416</v>
      </c>
      <c r="J164" s="14" t="s">
        <v>469</v>
      </c>
    </row>
    <row r="165" spans="1:10" ht="36" hidden="1" customHeight="1" x14ac:dyDescent="0.35">
      <c r="A165" s="31" t="s">
        <v>46</v>
      </c>
      <c r="B165" s="11" t="s">
        <v>470</v>
      </c>
      <c r="C165" s="24" t="s">
        <v>186</v>
      </c>
      <c r="D165" s="21" t="s">
        <v>145</v>
      </c>
      <c r="E165" s="14" t="s">
        <v>471</v>
      </c>
      <c r="F165" s="14" t="s">
        <v>73</v>
      </c>
      <c r="G165" s="32" t="s">
        <v>472</v>
      </c>
      <c r="H165" s="25" t="s">
        <v>192</v>
      </c>
      <c r="I165" s="17" t="s">
        <v>473</v>
      </c>
      <c r="J165" s="14" t="s">
        <v>474</v>
      </c>
    </row>
    <row r="166" spans="1:10" ht="36" hidden="1" customHeight="1" x14ac:dyDescent="0.35">
      <c r="A166" s="31" t="s">
        <v>46</v>
      </c>
      <c r="B166" s="11" t="s">
        <v>470</v>
      </c>
      <c r="C166" s="24" t="s">
        <v>186</v>
      </c>
      <c r="D166" s="21" t="s">
        <v>145</v>
      </c>
      <c r="E166" s="14" t="s">
        <v>475</v>
      </c>
      <c r="F166" s="14" t="s">
        <v>73</v>
      </c>
      <c r="G166" s="32" t="s">
        <v>472</v>
      </c>
      <c r="H166" s="25" t="s">
        <v>192</v>
      </c>
      <c r="I166" s="17" t="s">
        <v>473</v>
      </c>
      <c r="J166" s="14" t="s">
        <v>474</v>
      </c>
    </row>
    <row r="167" spans="1:10" ht="36" hidden="1" customHeight="1" x14ac:dyDescent="0.35">
      <c r="A167" s="31" t="s">
        <v>46</v>
      </c>
      <c r="B167" s="11" t="s">
        <v>470</v>
      </c>
      <c r="C167" s="24" t="s">
        <v>186</v>
      </c>
      <c r="D167" s="21" t="s">
        <v>145</v>
      </c>
      <c r="E167" s="14" t="s">
        <v>476</v>
      </c>
      <c r="F167" s="14" t="s">
        <v>73</v>
      </c>
      <c r="G167" s="32" t="s">
        <v>472</v>
      </c>
      <c r="H167" s="16" t="s">
        <v>75</v>
      </c>
      <c r="I167" s="17" t="s">
        <v>473</v>
      </c>
      <c r="J167" s="14" t="s">
        <v>474</v>
      </c>
    </row>
    <row r="168" spans="1:10" ht="36" hidden="1" customHeight="1" x14ac:dyDescent="0.35">
      <c r="A168" s="31" t="s">
        <v>46</v>
      </c>
      <c r="B168" s="11" t="s">
        <v>470</v>
      </c>
      <c r="C168" s="24" t="s">
        <v>186</v>
      </c>
      <c r="D168" s="21" t="s">
        <v>145</v>
      </c>
      <c r="E168" s="14" t="s">
        <v>477</v>
      </c>
      <c r="F168" s="14" t="s">
        <v>73</v>
      </c>
      <c r="G168" s="32" t="s">
        <v>472</v>
      </c>
      <c r="H168" s="25" t="s">
        <v>192</v>
      </c>
      <c r="I168" s="17" t="s">
        <v>473</v>
      </c>
      <c r="J168" s="14" t="s">
        <v>474</v>
      </c>
    </row>
    <row r="169" spans="1:10" ht="36" hidden="1" customHeight="1" x14ac:dyDescent="0.35">
      <c r="A169" s="31" t="s">
        <v>46</v>
      </c>
      <c r="B169" s="11" t="s">
        <v>470</v>
      </c>
      <c r="C169" s="24" t="s">
        <v>186</v>
      </c>
      <c r="D169" s="21" t="s">
        <v>145</v>
      </c>
      <c r="E169" s="14" t="s">
        <v>478</v>
      </c>
      <c r="F169" s="14" t="s">
        <v>73</v>
      </c>
      <c r="G169" s="32" t="s">
        <v>472</v>
      </c>
      <c r="H169" s="25" t="s">
        <v>192</v>
      </c>
      <c r="I169" s="17" t="s">
        <v>473</v>
      </c>
      <c r="J169" s="14" t="s">
        <v>474</v>
      </c>
    </row>
    <row r="170" spans="1:10" ht="30" hidden="1" customHeight="1" x14ac:dyDescent="0.35">
      <c r="A170" s="31" t="s">
        <v>46</v>
      </c>
      <c r="B170" s="11" t="s">
        <v>470</v>
      </c>
      <c r="C170" s="24" t="s">
        <v>186</v>
      </c>
      <c r="D170" s="21" t="s">
        <v>145</v>
      </c>
      <c r="E170" s="14" t="s">
        <v>479</v>
      </c>
      <c r="F170" s="14" t="s">
        <v>73</v>
      </c>
      <c r="G170" s="32" t="s">
        <v>472</v>
      </c>
      <c r="H170" s="16" t="s">
        <v>75</v>
      </c>
      <c r="I170" s="17" t="s">
        <v>480</v>
      </c>
      <c r="J170" s="14" t="s">
        <v>474</v>
      </c>
    </row>
    <row r="171" spans="1:10" ht="30" hidden="1" customHeight="1" x14ac:dyDescent="0.35">
      <c r="A171" s="31" t="s">
        <v>46</v>
      </c>
      <c r="B171" s="11" t="s">
        <v>470</v>
      </c>
      <c r="C171" s="12" t="s">
        <v>70</v>
      </c>
      <c r="D171" s="21" t="s">
        <v>145</v>
      </c>
      <c r="E171" s="14" t="s">
        <v>481</v>
      </c>
      <c r="F171" s="14" t="s">
        <v>73</v>
      </c>
      <c r="G171" s="32" t="s">
        <v>472</v>
      </c>
      <c r="H171" s="16" t="s">
        <v>75</v>
      </c>
      <c r="I171" s="17" t="s">
        <v>480</v>
      </c>
      <c r="J171" s="14" t="s">
        <v>482</v>
      </c>
    </row>
    <row r="172" spans="1:10" ht="30" hidden="1" customHeight="1" x14ac:dyDescent="0.35">
      <c r="A172" s="31" t="s">
        <v>46</v>
      </c>
      <c r="B172" s="11" t="s">
        <v>470</v>
      </c>
      <c r="C172" s="12" t="s">
        <v>70</v>
      </c>
      <c r="D172" s="21" t="s">
        <v>145</v>
      </c>
      <c r="E172" s="14" t="s">
        <v>483</v>
      </c>
      <c r="F172" s="14" t="s">
        <v>73</v>
      </c>
      <c r="G172" s="32" t="s">
        <v>472</v>
      </c>
      <c r="H172" s="19" t="s">
        <v>95</v>
      </c>
      <c r="I172" s="17" t="s">
        <v>484</v>
      </c>
      <c r="J172" s="14" t="s">
        <v>485</v>
      </c>
    </row>
    <row r="173" spans="1:10" ht="72" hidden="1" customHeight="1" x14ac:dyDescent="0.35">
      <c r="A173" s="31" t="s">
        <v>46</v>
      </c>
      <c r="B173" s="11" t="s">
        <v>470</v>
      </c>
      <c r="C173" s="12" t="s">
        <v>70</v>
      </c>
      <c r="D173" s="13" t="s">
        <v>272</v>
      </c>
      <c r="E173" s="14" t="s">
        <v>486</v>
      </c>
      <c r="F173" s="14" t="s">
        <v>487</v>
      </c>
      <c r="G173" s="32" t="s">
        <v>472</v>
      </c>
      <c r="H173" s="22" t="s">
        <v>147</v>
      </c>
      <c r="I173" s="17" t="s">
        <v>488</v>
      </c>
      <c r="J173" s="14" t="s">
        <v>489</v>
      </c>
    </row>
    <row r="174" spans="1:10" ht="48" hidden="1" customHeight="1" x14ac:dyDescent="0.35">
      <c r="A174" s="31" t="s">
        <v>46</v>
      </c>
      <c r="B174" s="11" t="s">
        <v>470</v>
      </c>
      <c r="C174" s="24" t="s">
        <v>186</v>
      </c>
      <c r="D174" s="13" t="s">
        <v>272</v>
      </c>
      <c r="E174" s="14" t="s">
        <v>490</v>
      </c>
      <c r="F174" s="14" t="s">
        <v>491</v>
      </c>
      <c r="G174" s="32" t="s">
        <v>472</v>
      </c>
      <c r="H174" s="19" t="s">
        <v>95</v>
      </c>
      <c r="I174" s="17" t="s">
        <v>492</v>
      </c>
      <c r="J174" s="14" t="s">
        <v>278</v>
      </c>
    </row>
    <row r="175" spans="1:10" ht="36" hidden="1" customHeight="1" x14ac:dyDescent="0.35">
      <c r="A175" s="31" t="s">
        <v>46</v>
      </c>
      <c r="B175" s="11" t="s">
        <v>493</v>
      </c>
      <c r="C175" s="24" t="s">
        <v>186</v>
      </c>
      <c r="D175" s="21" t="s">
        <v>145</v>
      </c>
      <c r="E175" s="14" t="s">
        <v>494</v>
      </c>
      <c r="F175" s="14" t="s">
        <v>73</v>
      </c>
      <c r="G175" s="32" t="s">
        <v>472</v>
      </c>
      <c r="H175" s="16" t="s">
        <v>75</v>
      </c>
      <c r="I175" s="17" t="s">
        <v>473</v>
      </c>
      <c r="J175" s="14" t="s">
        <v>495</v>
      </c>
    </row>
    <row r="176" spans="1:10" ht="36" hidden="1" customHeight="1" x14ac:dyDescent="0.35">
      <c r="A176" s="31" t="s">
        <v>46</v>
      </c>
      <c r="B176" s="11" t="s">
        <v>493</v>
      </c>
      <c r="C176" s="24" t="s">
        <v>186</v>
      </c>
      <c r="D176" s="21" t="s">
        <v>145</v>
      </c>
      <c r="E176" s="14" t="s">
        <v>496</v>
      </c>
      <c r="F176" s="14" t="s">
        <v>73</v>
      </c>
      <c r="G176" s="32" t="s">
        <v>472</v>
      </c>
      <c r="H176" s="16" t="s">
        <v>75</v>
      </c>
      <c r="I176" s="17" t="s">
        <v>473</v>
      </c>
      <c r="J176" s="14" t="s">
        <v>497</v>
      </c>
    </row>
    <row r="177" spans="1:10" ht="36" hidden="1" customHeight="1" x14ac:dyDescent="0.35">
      <c r="A177" s="31" t="s">
        <v>46</v>
      </c>
      <c r="B177" s="11" t="s">
        <v>493</v>
      </c>
      <c r="C177" s="24" t="s">
        <v>186</v>
      </c>
      <c r="D177" s="21" t="s">
        <v>145</v>
      </c>
      <c r="E177" s="14" t="s">
        <v>498</v>
      </c>
      <c r="F177" s="14" t="s">
        <v>73</v>
      </c>
      <c r="G177" s="32" t="s">
        <v>472</v>
      </c>
      <c r="H177" s="19" t="s">
        <v>95</v>
      </c>
      <c r="I177" s="17" t="s">
        <v>480</v>
      </c>
      <c r="J177" s="14" t="s">
        <v>499</v>
      </c>
    </row>
    <row r="178" spans="1:10" ht="36" hidden="1" customHeight="1" x14ac:dyDescent="0.35">
      <c r="A178" s="31" t="s">
        <v>46</v>
      </c>
      <c r="B178" s="11" t="s">
        <v>493</v>
      </c>
      <c r="C178" s="24" t="s">
        <v>186</v>
      </c>
      <c r="D178" s="21" t="s">
        <v>145</v>
      </c>
      <c r="E178" s="14" t="s">
        <v>500</v>
      </c>
      <c r="F178" s="14" t="s">
        <v>73</v>
      </c>
      <c r="G178" s="32" t="s">
        <v>472</v>
      </c>
      <c r="H178" s="22" t="s">
        <v>147</v>
      </c>
      <c r="I178" s="17" t="s">
        <v>501</v>
      </c>
      <c r="J178" s="14" t="s">
        <v>502</v>
      </c>
    </row>
    <row r="179" spans="1:10" ht="36" hidden="1" customHeight="1" x14ac:dyDescent="0.35">
      <c r="A179" s="31" t="s">
        <v>46</v>
      </c>
      <c r="B179" s="11" t="s">
        <v>493</v>
      </c>
      <c r="C179" s="24" t="s">
        <v>186</v>
      </c>
      <c r="D179" s="21" t="s">
        <v>145</v>
      </c>
      <c r="E179" s="14" t="s">
        <v>503</v>
      </c>
      <c r="F179" s="14" t="s">
        <v>73</v>
      </c>
      <c r="G179" s="32" t="s">
        <v>472</v>
      </c>
      <c r="H179" s="26" t="s">
        <v>194</v>
      </c>
      <c r="I179" s="17" t="s">
        <v>504</v>
      </c>
      <c r="J179" s="14" t="s">
        <v>505</v>
      </c>
    </row>
    <row r="180" spans="1:10" ht="72" hidden="1" customHeight="1" x14ac:dyDescent="0.35">
      <c r="A180" s="31" t="s">
        <v>46</v>
      </c>
      <c r="B180" s="11" t="s">
        <v>493</v>
      </c>
      <c r="C180" s="24" t="s">
        <v>186</v>
      </c>
      <c r="D180" s="21" t="s">
        <v>145</v>
      </c>
      <c r="E180" s="14" t="s">
        <v>506</v>
      </c>
      <c r="F180" s="14" t="s">
        <v>507</v>
      </c>
      <c r="G180" s="32" t="s">
        <v>472</v>
      </c>
      <c r="H180" s="23" t="s">
        <v>157</v>
      </c>
      <c r="I180" s="17" t="s">
        <v>508</v>
      </c>
      <c r="J180" s="14" t="s">
        <v>509</v>
      </c>
    </row>
    <row r="181" spans="1:10" ht="30" hidden="1" customHeight="1" x14ac:dyDescent="0.35">
      <c r="A181" s="31" t="s">
        <v>46</v>
      </c>
      <c r="B181" s="11" t="s">
        <v>493</v>
      </c>
      <c r="C181" s="12" t="s">
        <v>70</v>
      </c>
      <c r="D181" s="21" t="s">
        <v>145</v>
      </c>
      <c r="E181" s="14" t="s">
        <v>510</v>
      </c>
      <c r="F181" s="14" t="s">
        <v>73</v>
      </c>
      <c r="G181" s="32" t="s">
        <v>472</v>
      </c>
      <c r="H181" s="22" t="s">
        <v>147</v>
      </c>
      <c r="I181" s="17" t="s">
        <v>511</v>
      </c>
      <c r="J181" s="14" t="s">
        <v>499</v>
      </c>
    </row>
    <row r="182" spans="1:10" ht="30" hidden="1" customHeight="1" x14ac:dyDescent="0.35">
      <c r="A182" s="31" t="s">
        <v>46</v>
      </c>
      <c r="B182" s="11" t="s">
        <v>493</v>
      </c>
      <c r="C182" s="12" t="s">
        <v>70</v>
      </c>
      <c r="D182" s="21" t="s">
        <v>145</v>
      </c>
      <c r="E182" s="14" t="s">
        <v>512</v>
      </c>
      <c r="F182" s="14" t="s">
        <v>73</v>
      </c>
      <c r="G182" s="32" t="s">
        <v>472</v>
      </c>
      <c r="H182" s="19" t="s">
        <v>95</v>
      </c>
      <c r="I182" s="17" t="s">
        <v>513</v>
      </c>
      <c r="J182" s="14" t="s">
        <v>413</v>
      </c>
    </row>
    <row r="183" spans="1:10" ht="60" hidden="1" customHeight="1" x14ac:dyDescent="0.35">
      <c r="A183" s="31" t="s">
        <v>46</v>
      </c>
      <c r="B183" s="11" t="s">
        <v>493</v>
      </c>
      <c r="C183" s="12" t="s">
        <v>70</v>
      </c>
      <c r="D183" s="21" t="s">
        <v>145</v>
      </c>
      <c r="E183" s="14" t="s">
        <v>514</v>
      </c>
      <c r="F183" s="14" t="s">
        <v>73</v>
      </c>
      <c r="G183" s="32" t="s">
        <v>472</v>
      </c>
      <c r="H183" s="23" t="s">
        <v>157</v>
      </c>
      <c r="I183" s="17" t="s">
        <v>515</v>
      </c>
      <c r="J183" s="14" t="s">
        <v>516</v>
      </c>
    </row>
    <row r="185" spans="1:10" x14ac:dyDescent="0.35">
      <c r="A185" s="5" t="s">
        <v>517</v>
      </c>
      <c r="D185" s="33" t="s">
        <v>518</v>
      </c>
    </row>
    <row r="186" spans="1:10" x14ac:dyDescent="0.35">
      <c r="A186" s="79" t="s">
        <v>519</v>
      </c>
      <c r="B186" s="79"/>
      <c r="D186" s="34" t="s">
        <v>520</v>
      </c>
    </row>
    <row r="187" spans="1:10" x14ac:dyDescent="0.35">
      <c r="A187" s="71" t="s">
        <v>521</v>
      </c>
      <c r="B187" s="71"/>
      <c r="D187" s="35" t="s">
        <v>522</v>
      </c>
    </row>
    <row r="188" spans="1:10" x14ac:dyDescent="0.35">
      <c r="A188" s="72" t="s">
        <v>38</v>
      </c>
      <c r="B188" s="72"/>
      <c r="D188" s="36" t="s">
        <v>523</v>
      </c>
    </row>
    <row r="189" spans="1:10" x14ac:dyDescent="0.35">
      <c r="A189" s="73" t="s">
        <v>42</v>
      </c>
      <c r="B189" s="73"/>
      <c r="D189" s="37" t="s">
        <v>524</v>
      </c>
    </row>
    <row r="190" spans="1:10" x14ac:dyDescent="0.35">
      <c r="A190" s="74" t="s">
        <v>525</v>
      </c>
      <c r="B190" s="74"/>
      <c r="D190" s="38" t="s">
        <v>526</v>
      </c>
    </row>
    <row r="191" spans="1:10" x14ac:dyDescent="0.35">
      <c r="A191" s="75" t="s">
        <v>527</v>
      </c>
      <c r="B191" s="75"/>
      <c r="D191" s="39" t="s">
        <v>528</v>
      </c>
    </row>
  </sheetData>
  <autoFilter ref="A5:P183" xr:uid="{00000000-0001-0000-0100-000000000000}">
    <filterColumn colId="1">
      <filters>
        <filter val="Transversal / Principios generales"/>
      </filters>
    </filterColumn>
  </autoFilter>
  <mergeCells count="10">
    <mergeCell ref="A1:P1"/>
    <mergeCell ref="A2:P2"/>
    <mergeCell ref="A4:J4"/>
    <mergeCell ref="L4:P4"/>
    <mergeCell ref="A186:B186"/>
    <mergeCell ref="A187:B187"/>
    <mergeCell ref="A188:B188"/>
    <mergeCell ref="A189:B189"/>
    <mergeCell ref="A190:B190"/>
    <mergeCell ref="A191:B19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24"/>
  <sheetViews>
    <sheetView showGridLines="0" zoomScale="74" zoomScaleNormal="100" workbookViewId="0">
      <pane xSplit="2" ySplit="5" topLeftCell="C6" activePane="bottomRight" state="frozen"/>
      <selection pane="topRight" activeCell="C1" sqref="C1"/>
      <selection pane="bottomLeft" activeCell="A6" sqref="A6"/>
      <selection pane="bottomRight" activeCell="G9" sqref="G9"/>
    </sheetView>
  </sheetViews>
  <sheetFormatPr baseColWidth="10" defaultColWidth="8.7265625" defaultRowHeight="14.5" x14ac:dyDescent="0.35"/>
  <cols>
    <col min="1" max="1" width="22" customWidth="1"/>
    <col min="3" max="7" width="34" customWidth="1"/>
    <col min="8" max="8" width="1.54296875" customWidth="1"/>
    <col min="9" max="15" width="34" customWidth="1"/>
    <col min="16" max="16" width="1.54296875" customWidth="1"/>
    <col min="17" max="19" width="34" customWidth="1"/>
    <col min="20" max="20" width="1.54296875" customWidth="1"/>
    <col min="21" max="25" width="34" customWidth="1"/>
    <col min="26" max="26" width="1.54296875" customWidth="1"/>
    <col min="27" max="30" width="34" customWidth="1"/>
    <col min="31" max="31" width="1.54296875" customWidth="1"/>
    <col min="32" max="36" width="34" customWidth="1"/>
    <col min="37" max="37" width="1.54296875" customWidth="1"/>
    <col min="38" max="39" width="34" customWidth="1"/>
    <col min="40" max="40" width="1.54296875" customWidth="1"/>
    <col min="41" max="42" width="34" customWidth="1"/>
    <col min="43" max="43" width="1.54296875" customWidth="1"/>
  </cols>
  <sheetData>
    <row r="1" spans="1:43" ht="25.5" customHeight="1" x14ac:dyDescent="0.35">
      <c r="A1" s="76" t="s">
        <v>1299</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row>
    <row r="2" spans="1:43" ht="30" customHeight="1" x14ac:dyDescent="0.35">
      <c r="A2" s="77" t="s">
        <v>830</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row>
    <row r="4" spans="1:43" ht="33.75" customHeight="1" x14ac:dyDescent="0.35">
      <c r="A4" s="44" t="s">
        <v>1300</v>
      </c>
      <c r="C4" s="82" t="s">
        <v>831</v>
      </c>
      <c r="D4" s="82"/>
      <c r="E4" s="82"/>
      <c r="F4" s="82"/>
      <c r="G4" s="82"/>
      <c r="I4" s="82" t="s">
        <v>832</v>
      </c>
      <c r="J4" s="82"/>
      <c r="K4" s="82"/>
      <c r="L4" s="82"/>
      <c r="M4" s="82"/>
      <c r="N4" s="82"/>
      <c r="O4" s="82"/>
      <c r="Q4" s="82" t="s">
        <v>833</v>
      </c>
      <c r="R4" s="82"/>
      <c r="S4" s="82"/>
      <c r="U4" s="82" t="s">
        <v>834</v>
      </c>
      <c r="V4" s="82"/>
      <c r="W4" s="82"/>
      <c r="X4" s="82"/>
      <c r="Y4" s="82"/>
      <c r="AA4" s="82" t="s">
        <v>835</v>
      </c>
      <c r="AB4" s="82"/>
      <c r="AC4" s="82"/>
      <c r="AD4" s="82"/>
      <c r="AF4" s="82" t="s">
        <v>836</v>
      </c>
      <c r="AG4" s="82"/>
      <c r="AH4" s="82"/>
      <c r="AI4" s="82"/>
      <c r="AJ4" s="82"/>
      <c r="AL4" s="82" t="s">
        <v>837</v>
      </c>
      <c r="AM4" s="82"/>
      <c r="AO4" s="82" t="s">
        <v>838</v>
      </c>
      <c r="AP4" s="82"/>
    </row>
    <row r="5" spans="1:43" ht="31.5" customHeight="1" x14ac:dyDescent="0.35">
      <c r="A5" s="45" t="s">
        <v>839</v>
      </c>
      <c r="C5" s="46" t="s">
        <v>840</v>
      </c>
      <c r="D5" s="46" t="s">
        <v>841</v>
      </c>
      <c r="E5" s="46" t="s">
        <v>842</v>
      </c>
      <c r="F5" s="46" t="s">
        <v>843</v>
      </c>
      <c r="G5" s="46" t="s">
        <v>844</v>
      </c>
      <c r="I5" s="46" t="s">
        <v>845</v>
      </c>
      <c r="J5" s="46" t="s">
        <v>846</v>
      </c>
      <c r="K5" s="46" t="s">
        <v>847</v>
      </c>
      <c r="L5" s="46" t="s">
        <v>848</v>
      </c>
      <c r="M5" s="46" t="s">
        <v>849</v>
      </c>
      <c r="N5" s="46" t="s">
        <v>850</v>
      </c>
      <c r="O5" s="46" t="s">
        <v>851</v>
      </c>
      <c r="Q5" s="46" t="s">
        <v>852</v>
      </c>
      <c r="R5" s="46" t="s">
        <v>853</v>
      </c>
      <c r="S5" s="46" t="s">
        <v>854</v>
      </c>
      <c r="U5" s="46" t="s">
        <v>855</v>
      </c>
      <c r="V5" s="46" t="s">
        <v>856</v>
      </c>
      <c r="W5" s="46" t="s">
        <v>857</v>
      </c>
      <c r="X5" s="46" t="s">
        <v>858</v>
      </c>
      <c r="Y5" s="46" t="s">
        <v>859</v>
      </c>
      <c r="AA5" s="46" t="s">
        <v>860</v>
      </c>
      <c r="AB5" s="46" t="s">
        <v>861</v>
      </c>
      <c r="AC5" s="46" t="s">
        <v>862</v>
      </c>
      <c r="AD5" s="46" t="s">
        <v>863</v>
      </c>
      <c r="AF5" s="46" t="s">
        <v>864</v>
      </c>
      <c r="AG5" s="46" t="s">
        <v>865</v>
      </c>
      <c r="AH5" s="46" t="s">
        <v>866</v>
      </c>
      <c r="AI5" s="46" t="s">
        <v>867</v>
      </c>
      <c r="AJ5" s="46" t="s">
        <v>868</v>
      </c>
      <c r="AL5" s="46" t="s">
        <v>869</v>
      </c>
      <c r="AM5" s="46" t="s">
        <v>870</v>
      </c>
      <c r="AO5" s="46" t="s">
        <v>871</v>
      </c>
      <c r="AP5" s="46" t="s">
        <v>872</v>
      </c>
    </row>
    <row r="6" spans="1:43" ht="49.5" customHeight="1" x14ac:dyDescent="0.35">
      <c r="A6" s="47" t="s">
        <v>873</v>
      </c>
      <c r="C6" s="48" t="s">
        <v>874</v>
      </c>
      <c r="D6" s="48" t="s">
        <v>875</v>
      </c>
      <c r="E6" s="48" t="s">
        <v>876</v>
      </c>
      <c r="F6" s="48" t="s">
        <v>877</v>
      </c>
      <c r="G6" s="48" t="s">
        <v>878</v>
      </c>
      <c r="I6" s="48" t="s">
        <v>879</v>
      </c>
      <c r="J6" s="48" t="s">
        <v>880</v>
      </c>
      <c r="K6" s="48" t="s">
        <v>881</v>
      </c>
      <c r="L6" s="48" t="s">
        <v>882</v>
      </c>
      <c r="M6" s="48" t="s">
        <v>883</v>
      </c>
      <c r="N6" s="48" t="s">
        <v>884</v>
      </c>
      <c r="O6" s="48" t="s">
        <v>885</v>
      </c>
      <c r="Q6" s="48" t="s">
        <v>886</v>
      </c>
      <c r="R6" s="48" t="s">
        <v>887</v>
      </c>
      <c r="S6" s="48" t="s">
        <v>888</v>
      </c>
      <c r="U6" s="49" t="s">
        <v>889</v>
      </c>
      <c r="V6" s="49" t="s">
        <v>890</v>
      </c>
      <c r="W6" s="49" t="s">
        <v>891</v>
      </c>
      <c r="X6" s="49" t="s">
        <v>892</v>
      </c>
      <c r="Y6" s="49" t="s">
        <v>893</v>
      </c>
      <c r="AA6" s="50" t="s">
        <v>894</v>
      </c>
      <c r="AB6" s="50" t="s">
        <v>895</v>
      </c>
      <c r="AC6" s="50" t="s">
        <v>896</v>
      </c>
      <c r="AD6" s="50" t="s">
        <v>897</v>
      </c>
      <c r="AF6" s="50" t="s">
        <v>898</v>
      </c>
      <c r="AG6" s="50" t="s">
        <v>899</v>
      </c>
      <c r="AH6" s="50" t="s">
        <v>900</v>
      </c>
      <c r="AI6" s="50" t="s">
        <v>901</v>
      </c>
      <c r="AJ6" s="50" t="s">
        <v>902</v>
      </c>
      <c r="AL6" s="51" t="s">
        <v>903</v>
      </c>
      <c r="AM6" s="51" t="s">
        <v>904</v>
      </c>
      <c r="AO6" s="51" t="s">
        <v>905</v>
      </c>
      <c r="AP6" s="51" t="s">
        <v>906</v>
      </c>
    </row>
    <row r="7" spans="1:43" ht="49.5" customHeight="1" x14ac:dyDescent="0.35">
      <c r="A7" s="47" t="s">
        <v>907</v>
      </c>
      <c r="C7" s="48" t="s">
        <v>908</v>
      </c>
      <c r="D7" s="48" t="s">
        <v>909</v>
      </c>
      <c r="E7" s="48" t="s">
        <v>910</v>
      </c>
      <c r="F7" s="48" t="s">
        <v>911</v>
      </c>
      <c r="G7" s="48" t="s">
        <v>912</v>
      </c>
      <c r="I7" s="48" t="s">
        <v>913</v>
      </c>
      <c r="J7" s="48" t="s">
        <v>914</v>
      </c>
      <c r="K7" s="48" t="s">
        <v>915</v>
      </c>
      <c r="L7" s="48" t="s">
        <v>916</v>
      </c>
      <c r="M7" s="48" t="s">
        <v>917</v>
      </c>
      <c r="N7" s="48" t="s">
        <v>918</v>
      </c>
      <c r="O7" s="48" t="s">
        <v>919</v>
      </c>
      <c r="Q7" s="48" t="s">
        <v>920</v>
      </c>
      <c r="R7" s="48" t="s">
        <v>921</v>
      </c>
      <c r="S7" s="48" t="s">
        <v>922</v>
      </c>
      <c r="U7" s="49" t="s">
        <v>923</v>
      </c>
      <c r="V7" s="49" t="s">
        <v>924</v>
      </c>
      <c r="W7" s="49" t="s">
        <v>925</v>
      </c>
      <c r="X7" s="49" t="s">
        <v>926</v>
      </c>
      <c r="Y7" s="49" t="s">
        <v>927</v>
      </c>
      <c r="AA7" s="50" t="s">
        <v>928</v>
      </c>
      <c r="AB7" s="50" t="s">
        <v>929</v>
      </c>
      <c r="AC7" s="50" t="s">
        <v>930</v>
      </c>
      <c r="AD7" s="50" t="s">
        <v>931</v>
      </c>
      <c r="AF7" s="50" t="s">
        <v>932</v>
      </c>
      <c r="AG7" s="50" t="s">
        <v>933</v>
      </c>
      <c r="AH7" s="50" t="s">
        <v>934</v>
      </c>
      <c r="AI7" s="50" t="s">
        <v>935</v>
      </c>
      <c r="AJ7" s="50" t="s">
        <v>936</v>
      </c>
      <c r="AL7" s="51" t="s">
        <v>937</v>
      </c>
      <c r="AM7" s="51" t="s">
        <v>938</v>
      </c>
      <c r="AO7" s="51" t="s">
        <v>939</v>
      </c>
      <c r="AP7" s="51" t="s">
        <v>940</v>
      </c>
    </row>
    <row r="8" spans="1:43" ht="49.5" customHeight="1" x14ac:dyDescent="0.35">
      <c r="A8" s="47" t="s">
        <v>941</v>
      </c>
      <c r="C8" s="48" t="s">
        <v>942</v>
      </c>
      <c r="D8" s="48" t="s">
        <v>943</v>
      </c>
      <c r="E8" s="48" t="s">
        <v>944</v>
      </c>
      <c r="F8" s="48" t="s">
        <v>945</v>
      </c>
      <c r="G8" s="48" t="s">
        <v>946</v>
      </c>
      <c r="I8" s="48" t="s">
        <v>947</v>
      </c>
      <c r="J8" s="48" t="s">
        <v>948</v>
      </c>
      <c r="K8" s="48" t="s">
        <v>949</v>
      </c>
      <c r="L8" s="48" t="s">
        <v>950</v>
      </c>
      <c r="M8" s="48" t="s">
        <v>951</v>
      </c>
      <c r="N8" s="48" t="s">
        <v>952</v>
      </c>
      <c r="O8" s="48" t="s">
        <v>953</v>
      </c>
      <c r="Q8" s="48" t="s">
        <v>954</v>
      </c>
      <c r="R8" s="48" t="s">
        <v>955</v>
      </c>
      <c r="U8" s="49" t="s">
        <v>956</v>
      </c>
      <c r="V8" s="49" t="s">
        <v>957</v>
      </c>
      <c r="W8" s="49" t="s">
        <v>958</v>
      </c>
      <c r="X8" s="49" t="s">
        <v>959</v>
      </c>
      <c r="AA8" s="50" t="s">
        <v>960</v>
      </c>
      <c r="AB8" s="50" t="s">
        <v>961</v>
      </c>
      <c r="AC8" s="50" t="s">
        <v>962</v>
      </c>
      <c r="AD8" s="50" t="s">
        <v>963</v>
      </c>
      <c r="AF8" s="50" t="s">
        <v>964</v>
      </c>
      <c r="AG8" s="50" t="s">
        <v>965</v>
      </c>
      <c r="AH8" s="50" t="s">
        <v>966</v>
      </c>
      <c r="AI8" s="50" t="s">
        <v>967</v>
      </c>
      <c r="AJ8" s="50" t="s">
        <v>968</v>
      </c>
      <c r="AL8" s="51" t="s">
        <v>969</v>
      </c>
      <c r="AM8" s="51" t="s">
        <v>970</v>
      </c>
      <c r="AO8" s="51" t="s">
        <v>971</v>
      </c>
      <c r="AP8" s="51" t="s">
        <v>972</v>
      </c>
    </row>
    <row r="9" spans="1:43" ht="49.5" customHeight="1" x14ac:dyDescent="0.35">
      <c r="A9" s="47" t="s">
        <v>973</v>
      </c>
      <c r="C9" s="48" t="s">
        <v>974</v>
      </c>
      <c r="D9" s="48" t="s">
        <v>975</v>
      </c>
      <c r="E9" s="48" t="s">
        <v>976</v>
      </c>
      <c r="F9" s="48" t="s">
        <v>977</v>
      </c>
      <c r="I9" s="48" t="s">
        <v>978</v>
      </c>
      <c r="J9" s="48" t="s">
        <v>979</v>
      </c>
      <c r="K9" s="48" t="s">
        <v>980</v>
      </c>
      <c r="L9" s="48" t="s">
        <v>981</v>
      </c>
      <c r="M9" s="48" t="s">
        <v>982</v>
      </c>
      <c r="N9" s="48" t="s">
        <v>983</v>
      </c>
      <c r="O9" s="48" t="s">
        <v>984</v>
      </c>
      <c r="Q9" s="48" t="s">
        <v>985</v>
      </c>
      <c r="R9" s="48" t="s">
        <v>986</v>
      </c>
      <c r="U9" s="49" t="s">
        <v>987</v>
      </c>
      <c r="V9" s="49" t="s">
        <v>988</v>
      </c>
      <c r="W9" s="49" t="s">
        <v>989</v>
      </c>
      <c r="X9" s="49" t="s">
        <v>990</v>
      </c>
      <c r="AA9" s="50" t="s">
        <v>991</v>
      </c>
      <c r="AB9" s="50" t="s">
        <v>992</v>
      </c>
      <c r="AC9" s="50" t="s">
        <v>993</v>
      </c>
      <c r="AD9" s="50" t="s">
        <v>994</v>
      </c>
      <c r="AF9" s="50" t="s">
        <v>995</v>
      </c>
      <c r="AG9" s="50" t="s">
        <v>996</v>
      </c>
      <c r="AH9" s="50" t="s">
        <v>997</v>
      </c>
      <c r="AI9" s="50" t="s">
        <v>998</v>
      </c>
      <c r="AJ9" s="50" t="s">
        <v>999</v>
      </c>
      <c r="AL9" s="51" t="s">
        <v>1000</v>
      </c>
      <c r="AO9" s="51" t="s">
        <v>1001</v>
      </c>
      <c r="AP9" s="51" t="s">
        <v>1002</v>
      </c>
    </row>
    <row r="10" spans="1:43" ht="49.5" customHeight="1" x14ac:dyDescent="0.35">
      <c r="A10" s="47" t="s">
        <v>1003</v>
      </c>
      <c r="C10" s="48" t="s">
        <v>1004</v>
      </c>
      <c r="D10" s="48" t="s">
        <v>1005</v>
      </c>
      <c r="E10" s="48" t="s">
        <v>1006</v>
      </c>
      <c r="F10" s="48" t="s">
        <v>1007</v>
      </c>
      <c r="I10" s="48" t="s">
        <v>1008</v>
      </c>
      <c r="J10" s="48" t="s">
        <v>1009</v>
      </c>
      <c r="K10" s="48" t="s">
        <v>1010</v>
      </c>
      <c r="L10" s="48" t="s">
        <v>1011</v>
      </c>
      <c r="M10" s="48" t="s">
        <v>1012</v>
      </c>
      <c r="N10" s="48" t="s">
        <v>1013</v>
      </c>
      <c r="O10" s="48" t="s">
        <v>1014</v>
      </c>
      <c r="Q10" s="48" t="s">
        <v>1015</v>
      </c>
      <c r="R10" s="48" t="s">
        <v>1016</v>
      </c>
      <c r="U10" s="49" t="s">
        <v>1017</v>
      </c>
      <c r="V10" s="49" t="s">
        <v>1018</v>
      </c>
      <c r="W10" s="49" t="s">
        <v>1019</v>
      </c>
      <c r="X10" s="49" t="s">
        <v>1020</v>
      </c>
      <c r="AA10" s="50" t="s">
        <v>1021</v>
      </c>
      <c r="AB10" s="50" t="s">
        <v>1022</v>
      </c>
      <c r="AC10" s="50" t="s">
        <v>1023</v>
      </c>
      <c r="AF10" s="50" t="s">
        <v>1024</v>
      </c>
      <c r="AG10" s="50" t="s">
        <v>1025</v>
      </c>
      <c r="AH10" s="50" t="s">
        <v>1026</v>
      </c>
      <c r="AI10" s="50" t="s">
        <v>1027</v>
      </c>
      <c r="AJ10" s="50" t="s">
        <v>1028</v>
      </c>
      <c r="AL10" s="51" t="s">
        <v>1029</v>
      </c>
      <c r="AO10" s="51" t="s">
        <v>1030</v>
      </c>
    </row>
    <row r="11" spans="1:43" ht="49.5" customHeight="1" x14ac:dyDescent="0.35">
      <c r="A11" s="47" t="s">
        <v>1031</v>
      </c>
      <c r="C11" s="48" t="s">
        <v>1032</v>
      </c>
      <c r="D11" s="48" t="s">
        <v>1033</v>
      </c>
      <c r="E11" s="48" t="s">
        <v>1034</v>
      </c>
      <c r="F11" s="48" t="s">
        <v>1035</v>
      </c>
      <c r="I11" s="48" t="s">
        <v>1036</v>
      </c>
      <c r="J11" s="48" t="s">
        <v>1037</v>
      </c>
      <c r="K11" s="48" t="s">
        <v>1038</v>
      </c>
      <c r="L11" s="48" t="s">
        <v>1039</v>
      </c>
      <c r="M11" s="48" t="s">
        <v>1040</v>
      </c>
      <c r="N11" s="48" t="s">
        <v>1041</v>
      </c>
      <c r="O11" s="48" t="s">
        <v>1042</v>
      </c>
      <c r="Q11" s="48" t="s">
        <v>1043</v>
      </c>
      <c r="R11" s="48" t="s">
        <v>1044</v>
      </c>
      <c r="U11" s="49" t="s">
        <v>1045</v>
      </c>
      <c r="V11" s="49" t="s">
        <v>1046</v>
      </c>
      <c r="W11" s="49" t="s">
        <v>1047</v>
      </c>
      <c r="X11" s="49" t="s">
        <v>1048</v>
      </c>
      <c r="AA11" s="50" t="s">
        <v>1049</v>
      </c>
      <c r="AB11" s="50" t="s">
        <v>1050</v>
      </c>
      <c r="AC11" s="50" t="s">
        <v>1051</v>
      </c>
      <c r="AF11" s="50" t="s">
        <v>1052</v>
      </c>
      <c r="AG11" s="50" t="s">
        <v>1053</v>
      </c>
      <c r="AH11" s="50" t="s">
        <v>1054</v>
      </c>
      <c r="AI11" s="50" t="s">
        <v>1055</v>
      </c>
      <c r="AJ11" s="50" t="s">
        <v>1056</v>
      </c>
      <c r="AL11" s="51" t="s">
        <v>1057</v>
      </c>
      <c r="AO11" s="51" t="s">
        <v>1058</v>
      </c>
    </row>
    <row r="14" spans="1:43" x14ac:dyDescent="0.35">
      <c r="A14" s="5" t="s">
        <v>1059</v>
      </c>
      <c r="D14" s="81" t="s">
        <v>1060</v>
      </c>
      <c r="E14" s="81"/>
      <c r="F14" s="81"/>
    </row>
    <row r="15" spans="1:43" ht="15" customHeight="1" x14ac:dyDescent="0.35">
      <c r="A15" s="79" t="s">
        <v>30</v>
      </c>
      <c r="B15" s="79"/>
      <c r="D15" s="80" t="s">
        <v>1061</v>
      </c>
      <c r="E15" s="80"/>
      <c r="F15" s="14" t="s">
        <v>1062</v>
      </c>
    </row>
    <row r="16" spans="1:43" ht="15" customHeight="1" x14ac:dyDescent="0.35">
      <c r="A16" s="71" t="s">
        <v>34</v>
      </c>
      <c r="B16" s="71"/>
      <c r="D16" s="80" t="s">
        <v>1063</v>
      </c>
      <c r="E16" s="80"/>
      <c r="F16" s="18" t="s">
        <v>87</v>
      </c>
    </row>
    <row r="17" spans="1:6" ht="15" customHeight="1" x14ac:dyDescent="0.35">
      <c r="A17" s="72" t="s">
        <v>38</v>
      </c>
      <c r="B17" s="72"/>
      <c r="D17" s="80" t="s">
        <v>1064</v>
      </c>
      <c r="E17" s="80"/>
      <c r="F17" s="18" t="s">
        <v>87</v>
      </c>
    </row>
    <row r="18" spans="1:6" ht="15" customHeight="1" x14ac:dyDescent="0.35">
      <c r="A18" s="73" t="s">
        <v>42</v>
      </c>
      <c r="B18" s="73"/>
      <c r="D18" s="80" t="s">
        <v>1065</v>
      </c>
      <c r="E18" s="80"/>
      <c r="F18" s="14">
        <f>COUNTA(Estimación!A6:A243)</f>
        <v>173</v>
      </c>
    </row>
    <row r="19" spans="1:6" ht="15" customHeight="1" x14ac:dyDescent="0.35">
      <c r="A19" s="74" t="s">
        <v>46</v>
      </c>
      <c r="B19" s="74"/>
      <c r="D19" s="80" t="s">
        <v>1066</v>
      </c>
      <c r="E19" s="80"/>
      <c r="F19" s="14">
        <f>COUNTIF(Estimación!D6:D243,"Sprint 0")</f>
        <v>11</v>
      </c>
    </row>
    <row r="20" spans="1:6" ht="15" customHeight="1" x14ac:dyDescent="0.35">
      <c r="D20" s="80" t="s">
        <v>1067</v>
      </c>
      <c r="E20" s="80"/>
      <c r="F20" s="14">
        <f>COUNTIF(Estimación!D6:D243,"Release 1")</f>
        <v>13</v>
      </c>
    </row>
    <row r="21" spans="1:6" ht="15" customHeight="1" x14ac:dyDescent="0.35">
      <c r="D21" s="80" t="s">
        <v>1068</v>
      </c>
      <c r="E21" s="80"/>
      <c r="F21" s="14">
        <f>COUNTIF(Estimación!D6:D243,"Release 2")</f>
        <v>78</v>
      </c>
    </row>
    <row r="22" spans="1:6" ht="15" customHeight="1" x14ac:dyDescent="0.35">
      <c r="D22" s="80" t="s">
        <v>1069</v>
      </c>
      <c r="E22" s="80"/>
      <c r="F22" s="14">
        <f>COUNTIF(Estimación!D6:D243,"Release 3")</f>
        <v>52</v>
      </c>
    </row>
    <row r="23" spans="1:6" ht="15" customHeight="1" x14ac:dyDescent="0.35">
      <c r="D23" s="80" t="s">
        <v>1070</v>
      </c>
      <c r="E23" s="80"/>
      <c r="F23" s="14">
        <f>COUNTIF(Estimación!H6:H243,"XL")+COUNTIF(Estimación!H6:H243,"XXL")</f>
        <v>26</v>
      </c>
    </row>
    <row r="24" spans="1:6" ht="15" customHeight="1" x14ac:dyDescent="0.35">
      <c r="D24" s="80" t="s">
        <v>1071</v>
      </c>
      <c r="E24" s="80"/>
      <c r="F24" s="14">
        <f>SUM(Estimación!I6:I243)</f>
        <v>1442</v>
      </c>
    </row>
  </sheetData>
  <mergeCells count="26">
    <mergeCell ref="A1:AQ1"/>
    <mergeCell ref="A2:AQ2"/>
    <mergeCell ref="C4:G4"/>
    <mergeCell ref="I4:O4"/>
    <mergeCell ref="Q4:S4"/>
    <mergeCell ref="U4:Y4"/>
    <mergeCell ref="AA4:AD4"/>
    <mergeCell ref="AF4:AJ4"/>
    <mergeCell ref="AL4:AM4"/>
    <mergeCell ref="AO4:AP4"/>
    <mergeCell ref="D14:F14"/>
    <mergeCell ref="A15:B15"/>
    <mergeCell ref="D15:E15"/>
    <mergeCell ref="A16:B16"/>
    <mergeCell ref="D16:E16"/>
    <mergeCell ref="A17:B17"/>
    <mergeCell ref="D17:E17"/>
    <mergeCell ref="A18:B18"/>
    <mergeCell ref="D18:E18"/>
    <mergeCell ref="A19:B19"/>
    <mergeCell ref="D19:E19"/>
    <mergeCell ref="D20:E20"/>
    <mergeCell ref="D21:E21"/>
    <mergeCell ref="D22:E22"/>
    <mergeCell ref="D23:E23"/>
    <mergeCell ref="D24:E24"/>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O194"/>
  <sheetViews>
    <sheetView showGridLines="0" tabSelected="1" zoomScale="71" zoomScaleNormal="100" workbookViewId="0">
      <pane xSplit="4" ySplit="5" topLeftCell="E17" activePane="bottomRight" state="frozen"/>
      <selection pane="topRight" activeCell="G1" sqref="G1"/>
      <selection pane="bottomLeft" activeCell="A6" sqref="A6"/>
      <selection pane="bottomRight" activeCell="M18" sqref="M18"/>
    </sheetView>
  </sheetViews>
  <sheetFormatPr baseColWidth="10" defaultColWidth="8.7265625" defaultRowHeight="14.5" x14ac:dyDescent="0.35"/>
  <cols>
    <col min="1" max="1" width="9" customWidth="1"/>
    <col min="2" max="2" width="28" customWidth="1"/>
    <col min="3" max="3" width="15" customWidth="1"/>
    <col min="4" max="4" width="13" customWidth="1"/>
    <col min="5" max="5" width="56" customWidth="1"/>
    <col min="6" max="6" width="24.90625" customWidth="1"/>
    <col min="7" max="7" width="15" customWidth="1"/>
    <col min="8" max="8" width="8" customWidth="1"/>
    <col min="9" max="9" width="10" customWidth="1"/>
    <col min="10" max="10" width="11" customWidth="1"/>
    <col min="11" max="12" width="12" customWidth="1"/>
    <col min="13" max="14" width="32" customWidth="1"/>
    <col min="15" max="15" width="16" customWidth="1"/>
  </cols>
  <sheetData>
    <row r="1" spans="1:15" ht="25.5" customHeight="1" x14ac:dyDescent="0.35">
      <c r="A1" s="76" t="s">
        <v>529</v>
      </c>
      <c r="B1" s="76"/>
      <c r="C1" s="76"/>
      <c r="D1" s="76"/>
      <c r="E1" s="76"/>
      <c r="F1" s="76"/>
      <c r="G1" s="76"/>
      <c r="H1" s="76"/>
      <c r="I1" s="76"/>
      <c r="J1" s="76"/>
      <c r="K1" s="76"/>
      <c r="L1" s="76"/>
      <c r="M1" s="76"/>
      <c r="N1" s="76"/>
      <c r="O1" s="76"/>
    </row>
    <row r="2" spans="1:15" ht="30" customHeight="1" x14ac:dyDescent="0.35">
      <c r="A2" s="77" t="s">
        <v>530</v>
      </c>
      <c r="B2" s="77"/>
      <c r="C2" s="77"/>
      <c r="D2" s="77"/>
      <c r="E2" s="77"/>
      <c r="F2" s="77"/>
      <c r="G2" s="77"/>
      <c r="H2" s="77"/>
      <c r="I2" s="77"/>
      <c r="J2" s="77"/>
      <c r="K2" s="77"/>
      <c r="L2" s="77"/>
      <c r="M2" s="77"/>
      <c r="N2" s="77"/>
      <c r="O2" s="77"/>
    </row>
    <row r="5" spans="1:15" ht="33.75" customHeight="1" x14ac:dyDescent="0.35">
      <c r="A5" s="6" t="s">
        <v>531</v>
      </c>
      <c r="B5" s="6" t="s">
        <v>532</v>
      </c>
      <c r="C5" s="6" t="s">
        <v>1304</v>
      </c>
      <c r="D5" s="6" t="s">
        <v>27</v>
      </c>
      <c r="E5" s="6" t="s">
        <v>534</v>
      </c>
      <c r="F5" s="6" t="s">
        <v>1282</v>
      </c>
      <c r="G5" s="6" t="s">
        <v>1301</v>
      </c>
      <c r="H5" s="6" t="s">
        <v>61</v>
      </c>
      <c r="I5" s="6" t="s">
        <v>535</v>
      </c>
      <c r="J5" s="6" t="s">
        <v>536</v>
      </c>
      <c r="K5" s="6" t="s">
        <v>28</v>
      </c>
      <c r="L5" s="6" t="s">
        <v>29</v>
      </c>
      <c r="M5" s="6" t="s">
        <v>1302</v>
      </c>
      <c r="N5" s="6" t="s">
        <v>1303</v>
      </c>
      <c r="O5" s="6" t="s">
        <v>538</v>
      </c>
    </row>
    <row r="6" spans="1:15" ht="27.75" hidden="1" customHeight="1" x14ac:dyDescent="0.35">
      <c r="A6" s="14" t="s">
        <v>539</v>
      </c>
      <c r="B6" s="14" t="s">
        <v>69</v>
      </c>
      <c r="C6" s="17" t="s">
        <v>540</v>
      </c>
      <c r="D6" s="12" t="s">
        <v>30</v>
      </c>
      <c r="E6" s="14" t="s">
        <v>72</v>
      </c>
      <c r="F6" s="14"/>
      <c r="G6" s="17" t="s">
        <v>74</v>
      </c>
      <c r="H6" s="16" t="s">
        <v>75</v>
      </c>
      <c r="I6" s="17">
        <v>5</v>
      </c>
      <c r="J6" s="17" t="s">
        <v>30</v>
      </c>
      <c r="K6" s="40">
        <v>46266</v>
      </c>
      <c r="L6" s="40">
        <v>46272</v>
      </c>
      <c r="M6" s="14" t="s">
        <v>541</v>
      </c>
      <c r="N6" s="14" t="s">
        <v>543</v>
      </c>
      <c r="O6" s="17" t="s">
        <v>544</v>
      </c>
    </row>
    <row r="7" spans="1:15" ht="27.75" hidden="1" customHeight="1" x14ac:dyDescent="0.35">
      <c r="A7" s="14" t="s">
        <v>545</v>
      </c>
      <c r="B7" s="14" t="s">
        <v>82</v>
      </c>
      <c r="C7" s="17" t="s">
        <v>546</v>
      </c>
      <c r="D7" s="12" t="s">
        <v>30</v>
      </c>
      <c r="E7" s="14" t="s">
        <v>83</v>
      </c>
      <c r="F7" s="14"/>
      <c r="G7" s="17" t="s">
        <v>74</v>
      </c>
      <c r="H7" s="16" t="s">
        <v>75</v>
      </c>
      <c r="I7" s="17">
        <v>5</v>
      </c>
      <c r="J7" s="17" t="s">
        <v>30</v>
      </c>
      <c r="K7" s="40">
        <v>46266</v>
      </c>
      <c r="L7" s="40">
        <v>46272</v>
      </c>
      <c r="M7" s="14" t="s">
        <v>547</v>
      </c>
      <c r="N7" s="14" t="s">
        <v>84</v>
      </c>
      <c r="O7" s="17" t="s">
        <v>544</v>
      </c>
    </row>
    <row r="8" spans="1:15" ht="27.75" hidden="1" customHeight="1" x14ac:dyDescent="0.35">
      <c r="A8" s="14" t="s">
        <v>548</v>
      </c>
      <c r="B8" s="14" t="s">
        <v>82</v>
      </c>
      <c r="C8" s="17" t="s">
        <v>546</v>
      </c>
      <c r="D8" s="12" t="s">
        <v>30</v>
      </c>
      <c r="E8" s="14" t="s">
        <v>89</v>
      </c>
      <c r="F8" s="14"/>
      <c r="G8" s="17" t="s">
        <v>74</v>
      </c>
      <c r="H8" s="16" t="s">
        <v>75</v>
      </c>
      <c r="I8" s="17">
        <v>5</v>
      </c>
      <c r="J8" s="17" t="s">
        <v>30</v>
      </c>
      <c r="K8" s="40">
        <v>46266</v>
      </c>
      <c r="L8" s="40">
        <v>46272</v>
      </c>
      <c r="M8" s="14" t="s">
        <v>543</v>
      </c>
      <c r="N8" s="14" t="s">
        <v>543</v>
      </c>
      <c r="O8" s="17" t="s">
        <v>544</v>
      </c>
    </row>
    <row r="9" spans="1:15" ht="27.75" hidden="1" customHeight="1" x14ac:dyDescent="0.35">
      <c r="A9" s="14" t="s">
        <v>549</v>
      </c>
      <c r="B9" s="14" t="s">
        <v>82</v>
      </c>
      <c r="C9" s="17" t="s">
        <v>546</v>
      </c>
      <c r="D9" s="12" t="s">
        <v>30</v>
      </c>
      <c r="E9" s="14" t="s">
        <v>94</v>
      </c>
      <c r="F9" s="14"/>
      <c r="G9" s="17" t="s">
        <v>74</v>
      </c>
      <c r="H9" s="19" t="s">
        <v>95</v>
      </c>
      <c r="I9" s="17">
        <v>10</v>
      </c>
      <c r="J9" s="17" t="s">
        <v>30</v>
      </c>
      <c r="K9" s="40">
        <v>46266</v>
      </c>
      <c r="L9" s="40">
        <v>46279</v>
      </c>
      <c r="M9" s="14" t="s">
        <v>550</v>
      </c>
      <c r="N9" s="14" t="s">
        <v>543</v>
      </c>
      <c r="O9" s="17" t="s">
        <v>544</v>
      </c>
    </row>
    <row r="10" spans="1:15" ht="27.75" hidden="1" customHeight="1" x14ac:dyDescent="0.35">
      <c r="A10" s="14" t="s">
        <v>551</v>
      </c>
      <c r="B10" s="14" t="s">
        <v>82</v>
      </c>
      <c r="C10" s="17" t="s">
        <v>546</v>
      </c>
      <c r="D10" s="12" t="s">
        <v>30</v>
      </c>
      <c r="E10" s="14" t="s">
        <v>102</v>
      </c>
      <c r="F10" s="14"/>
      <c r="G10" s="17" t="s">
        <v>74</v>
      </c>
      <c r="H10" s="19" t="s">
        <v>95</v>
      </c>
      <c r="I10" s="17">
        <v>10</v>
      </c>
      <c r="J10" s="17" t="s">
        <v>30</v>
      </c>
      <c r="K10" s="40">
        <v>46266</v>
      </c>
      <c r="L10" s="40">
        <v>46279</v>
      </c>
      <c r="M10" s="14" t="s">
        <v>543</v>
      </c>
      <c r="N10" s="14" t="s">
        <v>103</v>
      </c>
      <c r="O10" s="17" t="s">
        <v>544</v>
      </c>
    </row>
    <row r="11" spans="1:15" ht="27.75" hidden="1" customHeight="1" x14ac:dyDescent="0.35">
      <c r="A11" s="14" t="s">
        <v>552</v>
      </c>
      <c r="B11" s="14" t="s">
        <v>82</v>
      </c>
      <c r="C11" s="17" t="s">
        <v>546</v>
      </c>
      <c r="D11" s="12" t="s">
        <v>30</v>
      </c>
      <c r="E11" s="14" t="s">
        <v>109</v>
      </c>
      <c r="F11" s="14"/>
      <c r="G11" s="17" t="s">
        <v>74</v>
      </c>
      <c r="H11" s="19" t="s">
        <v>95</v>
      </c>
      <c r="I11" s="17">
        <v>10</v>
      </c>
      <c r="J11" s="17" t="s">
        <v>30</v>
      </c>
      <c r="K11" s="40">
        <v>46273</v>
      </c>
      <c r="L11" s="40">
        <v>46286</v>
      </c>
      <c r="M11" s="14" t="s">
        <v>553</v>
      </c>
      <c r="N11" s="14" t="s">
        <v>110</v>
      </c>
      <c r="O11" s="17" t="s">
        <v>544</v>
      </c>
    </row>
    <row r="12" spans="1:15" ht="27.75" hidden="1" customHeight="1" x14ac:dyDescent="0.35">
      <c r="A12" s="14" t="s">
        <v>554</v>
      </c>
      <c r="B12" s="14" t="s">
        <v>82</v>
      </c>
      <c r="C12" s="17" t="s">
        <v>546</v>
      </c>
      <c r="D12" s="12" t="s">
        <v>30</v>
      </c>
      <c r="E12" s="14" t="s">
        <v>116</v>
      </c>
      <c r="F12" s="14"/>
      <c r="G12" s="17" t="s">
        <v>74</v>
      </c>
      <c r="H12" s="19" t="s">
        <v>95</v>
      </c>
      <c r="I12" s="17">
        <v>10</v>
      </c>
      <c r="J12" s="17" t="s">
        <v>30</v>
      </c>
      <c r="K12" s="40">
        <v>46273</v>
      </c>
      <c r="L12" s="40">
        <v>46286</v>
      </c>
      <c r="M12" s="14" t="s">
        <v>543</v>
      </c>
      <c r="N12" s="14" t="s">
        <v>543</v>
      </c>
      <c r="O12" s="17" t="s">
        <v>544</v>
      </c>
    </row>
    <row r="13" spans="1:15" ht="27.75" hidden="1" customHeight="1" x14ac:dyDescent="0.35">
      <c r="A13" s="14" t="s">
        <v>555</v>
      </c>
      <c r="B13" s="14" t="s">
        <v>82</v>
      </c>
      <c r="C13" s="17" t="s">
        <v>546</v>
      </c>
      <c r="D13" s="12" t="s">
        <v>30</v>
      </c>
      <c r="E13" s="14" t="s">
        <v>120</v>
      </c>
      <c r="F13" s="14"/>
      <c r="G13" s="17" t="s">
        <v>74</v>
      </c>
      <c r="H13" s="16" t="s">
        <v>75</v>
      </c>
      <c r="I13" s="17">
        <v>5</v>
      </c>
      <c r="J13" s="17" t="s">
        <v>30</v>
      </c>
      <c r="K13" s="40">
        <v>46280</v>
      </c>
      <c r="L13" s="40">
        <v>46286</v>
      </c>
      <c r="M13" s="14" t="s">
        <v>556</v>
      </c>
      <c r="N13" s="14" t="s">
        <v>121</v>
      </c>
      <c r="O13" s="17" t="s">
        <v>544</v>
      </c>
    </row>
    <row r="14" spans="1:15" ht="27.75" hidden="1" customHeight="1" x14ac:dyDescent="0.35">
      <c r="A14" s="14" t="s">
        <v>557</v>
      </c>
      <c r="B14" s="14" t="s">
        <v>82</v>
      </c>
      <c r="C14" s="17" t="s">
        <v>546</v>
      </c>
      <c r="D14" s="12" t="s">
        <v>30</v>
      </c>
      <c r="E14" s="14" t="s">
        <v>126</v>
      </c>
      <c r="F14" s="14"/>
      <c r="G14" s="17" t="s">
        <v>74</v>
      </c>
      <c r="H14" s="16" t="s">
        <v>75</v>
      </c>
      <c r="I14" s="17">
        <v>5</v>
      </c>
      <c r="J14" s="17" t="s">
        <v>30</v>
      </c>
      <c r="K14" s="40">
        <v>46280</v>
      </c>
      <c r="L14" s="40">
        <v>46286</v>
      </c>
      <c r="M14" s="14" t="s">
        <v>558</v>
      </c>
      <c r="N14" s="14" t="s">
        <v>543</v>
      </c>
      <c r="O14" s="17" t="s">
        <v>544</v>
      </c>
    </row>
    <row r="15" spans="1:15" ht="27.75" hidden="1" customHeight="1" x14ac:dyDescent="0.35">
      <c r="A15" s="14" t="s">
        <v>559</v>
      </c>
      <c r="B15" s="14" t="s">
        <v>82</v>
      </c>
      <c r="C15" s="17" t="s">
        <v>546</v>
      </c>
      <c r="D15" s="12" t="s">
        <v>30</v>
      </c>
      <c r="E15" s="14" t="s">
        <v>133</v>
      </c>
      <c r="F15" s="14"/>
      <c r="G15" s="17" t="s">
        <v>74</v>
      </c>
      <c r="H15" s="16" t="s">
        <v>75</v>
      </c>
      <c r="I15" s="17">
        <v>5</v>
      </c>
      <c r="J15" s="17" t="s">
        <v>30</v>
      </c>
      <c r="K15" s="40">
        <v>46287</v>
      </c>
      <c r="L15" s="40">
        <v>46293</v>
      </c>
      <c r="M15" s="14" t="s">
        <v>543</v>
      </c>
      <c r="N15" s="14" t="s">
        <v>543</v>
      </c>
      <c r="O15" s="17" t="s">
        <v>544</v>
      </c>
    </row>
    <row r="16" spans="1:15" ht="27.75" hidden="1" customHeight="1" x14ac:dyDescent="0.35">
      <c r="A16" s="14" t="s">
        <v>560</v>
      </c>
      <c r="B16" s="14" t="s">
        <v>139</v>
      </c>
      <c r="C16" s="17" t="s">
        <v>561</v>
      </c>
      <c r="D16" s="12" t="s">
        <v>30</v>
      </c>
      <c r="E16" s="14" t="s">
        <v>140</v>
      </c>
      <c r="F16" s="14"/>
      <c r="G16" s="17" t="s">
        <v>74</v>
      </c>
      <c r="H16" s="19" t="s">
        <v>95</v>
      </c>
      <c r="I16" s="17">
        <v>10</v>
      </c>
      <c r="J16" s="17" t="s">
        <v>30</v>
      </c>
      <c r="K16" s="40">
        <v>46266</v>
      </c>
      <c r="L16" s="40">
        <v>46279</v>
      </c>
      <c r="M16" s="14" t="s">
        <v>562</v>
      </c>
      <c r="N16" s="14" t="s">
        <v>543</v>
      </c>
      <c r="O16" s="17" t="s">
        <v>544</v>
      </c>
    </row>
    <row r="17" spans="1:15" ht="27.75" customHeight="1" x14ac:dyDescent="0.35">
      <c r="A17" s="14" t="s">
        <v>563</v>
      </c>
      <c r="B17" s="14" t="s">
        <v>82</v>
      </c>
      <c r="C17" s="17" t="s">
        <v>546</v>
      </c>
      <c r="D17" s="24" t="s">
        <v>34</v>
      </c>
      <c r="E17" s="88" t="s">
        <v>146</v>
      </c>
      <c r="F17" s="88" t="s">
        <v>1283</v>
      </c>
      <c r="G17" s="17" t="s">
        <v>74</v>
      </c>
      <c r="H17" s="22" t="s">
        <v>147</v>
      </c>
      <c r="I17" s="17">
        <v>20</v>
      </c>
      <c r="J17" s="17" t="s">
        <v>148</v>
      </c>
      <c r="K17" s="40">
        <v>46296</v>
      </c>
      <c r="L17" s="40">
        <v>46324</v>
      </c>
      <c r="M17" s="14" t="s">
        <v>543</v>
      </c>
      <c r="N17" s="14" t="s">
        <v>543</v>
      </c>
      <c r="O17" s="17" t="s">
        <v>1273</v>
      </c>
    </row>
    <row r="18" spans="1:15" ht="27.75" customHeight="1" x14ac:dyDescent="0.35">
      <c r="A18" s="14" t="s">
        <v>565</v>
      </c>
      <c r="B18" s="14" t="s">
        <v>82</v>
      </c>
      <c r="C18" s="17" t="s">
        <v>546</v>
      </c>
      <c r="D18" s="24" t="s">
        <v>34</v>
      </c>
      <c r="E18" s="88" t="s">
        <v>1280</v>
      </c>
      <c r="F18" s="88" t="s">
        <v>1284</v>
      </c>
      <c r="G18" s="17" t="s">
        <v>74</v>
      </c>
      <c r="H18" s="16" t="s">
        <v>95</v>
      </c>
      <c r="I18" s="17">
        <v>10</v>
      </c>
      <c r="J18" s="17" t="s">
        <v>155</v>
      </c>
      <c r="K18" s="40">
        <v>46303</v>
      </c>
      <c r="L18" s="40">
        <v>46310</v>
      </c>
      <c r="M18" s="14" t="s">
        <v>1305</v>
      </c>
      <c r="N18" s="14" t="s">
        <v>543</v>
      </c>
      <c r="O18" s="17" t="s">
        <v>1273</v>
      </c>
    </row>
    <row r="19" spans="1:15" ht="27.75" customHeight="1" x14ac:dyDescent="0.35">
      <c r="A19" s="14" t="s">
        <v>567</v>
      </c>
      <c r="B19" s="14" t="s">
        <v>82</v>
      </c>
      <c r="C19" s="17" t="s">
        <v>546</v>
      </c>
      <c r="D19" s="24" t="s">
        <v>34</v>
      </c>
      <c r="E19" s="88" t="s">
        <v>1281</v>
      </c>
      <c r="F19" s="88" t="s">
        <v>1285</v>
      </c>
      <c r="G19" s="17" t="s">
        <v>74</v>
      </c>
      <c r="H19" s="16" t="s">
        <v>95</v>
      </c>
      <c r="I19" s="17">
        <v>10</v>
      </c>
      <c r="J19" s="17" t="s">
        <v>168</v>
      </c>
      <c r="K19" s="40">
        <v>46325</v>
      </c>
      <c r="L19" s="40">
        <v>46332</v>
      </c>
      <c r="M19" s="14" t="s">
        <v>543</v>
      </c>
      <c r="N19" s="14" t="s">
        <v>543</v>
      </c>
      <c r="O19" s="17" t="s">
        <v>1273</v>
      </c>
    </row>
    <row r="20" spans="1:15" ht="27.75" customHeight="1" x14ac:dyDescent="0.35">
      <c r="A20" s="14" t="s">
        <v>569</v>
      </c>
      <c r="B20" s="14" t="s">
        <v>188</v>
      </c>
      <c r="C20" s="17" t="s">
        <v>561</v>
      </c>
      <c r="D20" s="24" t="s">
        <v>34</v>
      </c>
      <c r="E20" s="87" t="s">
        <v>189</v>
      </c>
      <c r="F20" s="14"/>
      <c r="G20" s="17" t="s">
        <v>74</v>
      </c>
      <c r="H20" s="16" t="s">
        <v>75</v>
      </c>
      <c r="I20" s="17">
        <v>5</v>
      </c>
      <c r="J20" s="17" t="s">
        <v>155</v>
      </c>
      <c r="K20" s="40">
        <v>46296</v>
      </c>
      <c r="L20" s="40">
        <v>46302</v>
      </c>
      <c r="M20" s="14" t="s">
        <v>543</v>
      </c>
      <c r="N20" s="14" t="s">
        <v>543</v>
      </c>
      <c r="O20" s="17" t="s">
        <v>1273</v>
      </c>
    </row>
    <row r="21" spans="1:15" ht="27.75" customHeight="1" x14ac:dyDescent="0.35">
      <c r="A21" s="14" t="s">
        <v>570</v>
      </c>
      <c r="B21" s="14" t="s">
        <v>139</v>
      </c>
      <c r="C21" s="17" t="s">
        <v>561</v>
      </c>
      <c r="D21" s="24" t="s">
        <v>34</v>
      </c>
      <c r="E21" s="88" t="s">
        <v>1286</v>
      </c>
      <c r="F21" s="88" t="s">
        <v>1287</v>
      </c>
      <c r="G21" s="89" t="s">
        <v>74</v>
      </c>
      <c r="H21" s="19" t="s">
        <v>95</v>
      </c>
      <c r="I21" s="17">
        <v>10</v>
      </c>
      <c r="J21" s="17" t="s">
        <v>155</v>
      </c>
      <c r="K21" s="40">
        <v>46296</v>
      </c>
      <c r="L21" s="40">
        <v>46310</v>
      </c>
      <c r="M21" s="14" t="s">
        <v>543</v>
      </c>
      <c r="N21" s="14" t="s">
        <v>543</v>
      </c>
      <c r="O21" s="17" t="s">
        <v>1273</v>
      </c>
    </row>
    <row r="22" spans="1:15" ht="27.75" customHeight="1" x14ac:dyDescent="0.35">
      <c r="A22" s="14" t="s">
        <v>571</v>
      </c>
      <c r="B22" s="14" t="s">
        <v>188</v>
      </c>
      <c r="C22" s="17" t="s">
        <v>561</v>
      </c>
      <c r="D22" s="24" t="s">
        <v>34</v>
      </c>
      <c r="E22" s="87" t="s">
        <v>191</v>
      </c>
      <c r="F22" s="14"/>
      <c r="G22" s="17" t="s">
        <v>74</v>
      </c>
      <c r="H22" s="25" t="s">
        <v>192</v>
      </c>
      <c r="I22" s="17">
        <v>3</v>
      </c>
      <c r="J22" s="17" t="s">
        <v>155</v>
      </c>
      <c r="K22" s="40">
        <v>46296</v>
      </c>
      <c r="L22" s="40">
        <v>46300</v>
      </c>
      <c r="M22" s="14" t="s">
        <v>543</v>
      </c>
      <c r="N22" s="14" t="s">
        <v>543</v>
      </c>
      <c r="O22" s="17" t="s">
        <v>1273</v>
      </c>
    </row>
    <row r="23" spans="1:15" ht="27.75" customHeight="1" x14ac:dyDescent="0.35">
      <c r="A23" s="14" t="s">
        <v>572</v>
      </c>
      <c r="B23" s="14" t="s">
        <v>188</v>
      </c>
      <c r="C23" s="17" t="s">
        <v>561</v>
      </c>
      <c r="D23" s="24" t="s">
        <v>34</v>
      </c>
      <c r="E23" s="87" t="s">
        <v>193</v>
      </c>
      <c r="F23" s="14"/>
      <c r="G23" s="17" t="s">
        <v>74</v>
      </c>
      <c r="H23" s="26" t="s">
        <v>194</v>
      </c>
      <c r="I23" s="17">
        <v>1</v>
      </c>
      <c r="J23" s="17" t="s">
        <v>155</v>
      </c>
      <c r="K23" s="40">
        <v>46296</v>
      </c>
      <c r="L23" s="40">
        <v>46296</v>
      </c>
      <c r="M23" s="14" t="s">
        <v>543</v>
      </c>
      <c r="N23" s="14" t="s">
        <v>543</v>
      </c>
      <c r="O23" s="17" t="s">
        <v>1273</v>
      </c>
    </row>
    <row r="24" spans="1:15" ht="27.75" customHeight="1" x14ac:dyDescent="0.35">
      <c r="A24" s="14" t="s">
        <v>573</v>
      </c>
      <c r="B24" s="14" t="s">
        <v>188</v>
      </c>
      <c r="C24" s="17" t="s">
        <v>561</v>
      </c>
      <c r="D24" s="24" t="s">
        <v>34</v>
      </c>
      <c r="E24" s="87" t="s">
        <v>195</v>
      </c>
      <c r="F24" s="14"/>
      <c r="G24" s="17" t="s">
        <v>74</v>
      </c>
      <c r="H24" s="16" t="s">
        <v>75</v>
      </c>
      <c r="I24" s="17">
        <v>5</v>
      </c>
      <c r="J24" s="17" t="s">
        <v>155</v>
      </c>
      <c r="K24" s="40">
        <v>46297</v>
      </c>
      <c r="L24" s="40">
        <v>46303</v>
      </c>
      <c r="M24" s="14" t="s">
        <v>543</v>
      </c>
      <c r="N24" s="14" t="s">
        <v>543</v>
      </c>
      <c r="O24" s="17" t="s">
        <v>1273</v>
      </c>
    </row>
    <row r="25" spans="1:15" ht="27.75" customHeight="1" x14ac:dyDescent="0.35">
      <c r="A25" s="14" t="s">
        <v>574</v>
      </c>
      <c r="B25" s="14" t="s">
        <v>139</v>
      </c>
      <c r="C25" s="17" t="s">
        <v>561</v>
      </c>
      <c r="D25" s="24" t="s">
        <v>34</v>
      </c>
      <c r="E25" s="88" t="s">
        <v>1288</v>
      </c>
      <c r="F25" s="88" t="s">
        <v>1289</v>
      </c>
      <c r="G25" s="89" t="s">
        <v>74</v>
      </c>
      <c r="H25" s="23" t="s">
        <v>147</v>
      </c>
      <c r="I25" s="17">
        <v>20</v>
      </c>
      <c r="J25" s="17" t="s">
        <v>158</v>
      </c>
      <c r="K25" s="40">
        <v>46301</v>
      </c>
      <c r="L25" s="40">
        <v>46345</v>
      </c>
      <c r="M25" s="14" t="s">
        <v>543</v>
      </c>
      <c r="N25" s="14" t="s">
        <v>543</v>
      </c>
      <c r="O25" s="17" t="s">
        <v>1273</v>
      </c>
    </row>
    <row r="26" spans="1:15" ht="27.75" customHeight="1" x14ac:dyDescent="0.35">
      <c r="A26" s="14" t="s">
        <v>576</v>
      </c>
      <c r="B26" s="14" t="s">
        <v>139</v>
      </c>
      <c r="C26" s="17" t="s">
        <v>561</v>
      </c>
      <c r="D26" s="24" t="s">
        <v>34</v>
      </c>
      <c r="E26" s="88" t="s">
        <v>1292</v>
      </c>
      <c r="F26" s="88" t="s">
        <v>1290</v>
      </c>
      <c r="G26" s="89" t="s">
        <v>74</v>
      </c>
      <c r="H26" s="19" t="s">
        <v>95</v>
      </c>
      <c r="I26" s="17">
        <v>10</v>
      </c>
      <c r="J26" s="17" t="s">
        <v>148</v>
      </c>
      <c r="K26" s="40">
        <v>46303</v>
      </c>
      <c r="L26" s="40">
        <v>46317</v>
      </c>
      <c r="M26" s="14"/>
      <c r="N26" s="14"/>
      <c r="O26" s="17" t="s">
        <v>1273</v>
      </c>
    </row>
    <row r="27" spans="1:15" ht="27.75" customHeight="1" x14ac:dyDescent="0.35">
      <c r="A27" s="14" t="s">
        <v>579</v>
      </c>
      <c r="B27" s="14" t="s">
        <v>139</v>
      </c>
      <c r="C27" s="17" t="s">
        <v>561</v>
      </c>
      <c r="D27" s="24" t="s">
        <v>34</v>
      </c>
      <c r="E27" s="88" t="s">
        <v>1291</v>
      </c>
      <c r="F27" s="88" t="s">
        <v>1293</v>
      </c>
      <c r="G27" s="89" t="s">
        <v>74</v>
      </c>
      <c r="H27" s="16" t="s">
        <v>75</v>
      </c>
      <c r="I27" s="17">
        <v>5</v>
      </c>
      <c r="J27" s="17" t="s">
        <v>155</v>
      </c>
      <c r="K27" s="40">
        <v>46303</v>
      </c>
      <c r="L27" s="40">
        <v>46310</v>
      </c>
      <c r="M27" s="14" t="s">
        <v>543</v>
      </c>
      <c r="N27" s="14" t="s">
        <v>543</v>
      </c>
      <c r="O27" s="17" t="s">
        <v>1273</v>
      </c>
    </row>
    <row r="28" spans="1:15" ht="27.75" customHeight="1" x14ac:dyDescent="0.35">
      <c r="A28" s="14" t="s">
        <v>580</v>
      </c>
      <c r="B28" s="14" t="s">
        <v>139</v>
      </c>
      <c r="C28" s="17" t="s">
        <v>561</v>
      </c>
      <c r="D28" s="24" t="s">
        <v>34</v>
      </c>
      <c r="E28" s="88" t="s">
        <v>1294</v>
      </c>
      <c r="F28" s="88" t="s">
        <v>1295</v>
      </c>
      <c r="G28" s="89" t="s">
        <v>74</v>
      </c>
      <c r="H28" s="16" t="s">
        <v>75</v>
      </c>
      <c r="I28" s="17">
        <v>5</v>
      </c>
      <c r="J28" s="17" t="s">
        <v>155</v>
      </c>
      <c r="K28" s="40">
        <v>46304</v>
      </c>
      <c r="L28" s="40">
        <v>46311</v>
      </c>
      <c r="M28" s="14" t="s">
        <v>543</v>
      </c>
      <c r="N28" s="14" t="s">
        <v>543</v>
      </c>
      <c r="O28" s="17" t="s">
        <v>1273</v>
      </c>
    </row>
    <row r="29" spans="1:15" ht="27.75" customHeight="1" x14ac:dyDescent="0.35">
      <c r="A29" s="14" t="s">
        <v>581</v>
      </c>
      <c r="B29" s="14" t="s">
        <v>139</v>
      </c>
      <c r="C29" s="17" t="s">
        <v>561</v>
      </c>
      <c r="D29" s="24" t="s">
        <v>34</v>
      </c>
      <c r="E29" s="88" t="s">
        <v>1296</v>
      </c>
      <c r="F29" s="88" t="s">
        <v>1297</v>
      </c>
      <c r="G29" s="89" t="s">
        <v>74</v>
      </c>
      <c r="H29" s="19" t="s">
        <v>95</v>
      </c>
      <c r="I29" s="17">
        <v>10</v>
      </c>
      <c r="J29" s="17" t="s">
        <v>148</v>
      </c>
      <c r="K29" s="40">
        <v>46311</v>
      </c>
      <c r="L29" s="40">
        <v>46324</v>
      </c>
      <c r="M29" s="14" t="s">
        <v>543</v>
      </c>
      <c r="N29" s="14" t="s">
        <v>543</v>
      </c>
      <c r="O29" s="17" t="s">
        <v>1273</v>
      </c>
    </row>
    <row r="30" spans="1:15" ht="27.75" hidden="1" customHeight="1" x14ac:dyDescent="0.35">
      <c r="A30" s="14" t="s">
        <v>582</v>
      </c>
      <c r="B30" s="14" t="s">
        <v>69</v>
      </c>
      <c r="C30" s="17" t="s">
        <v>540</v>
      </c>
      <c r="D30" s="41" t="s">
        <v>38</v>
      </c>
      <c r="E30" s="14" t="s">
        <v>205</v>
      </c>
      <c r="F30" s="14"/>
      <c r="G30" s="17" t="s">
        <v>74</v>
      </c>
      <c r="H30" s="16" t="s">
        <v>75</v>
      </c>
      <c r="I30" s="17">
        <v>5</v>
      </c>
      <c r="J30" s="17" t="s">
        <v>206</v>
      </c>
      <c r="K30" s="40">
        <v>46399</v>
      </c>
      <c r="L30" s="40">
        <v>46405</v>
      </c>
      <c r="M30" s="14" t="s">
        <v>543</v>
      </c>
      <c r="N30" s="14" t="s">
        <v>543</v>
      </c>
      <c r="O30" s="17" t="s">
        <v>544</v>
      </c>
    </row>
    <row r="31" spans="1:15" ht="27.75" hidden="1" customHeight="1" x14ac:dyDescent="0.35">
      <c r="A31" s="14" t="s">
        <v>583</v>
      </c>
      <c r="B31" s="14" t="s">
        <v>69</v>
      </c>
      <c r="C31" s="17" t="s">
        <v>540</v>
      </c>
      <c r="D31" s="41" t="s">
        <v>38</v>
      </c>
      <c r="E31" s="14" t="s">
        <v>207</v>
      </c>
      <c r="F31" s="14"/>
      <c r="G31" s="17" t="s">
        <v>74</v>
      </c>
      <c r="H31" s="19" t="s">
        <v>95</v>
      </c>
      <c r="I31" s="17">
        <v>10</v>
      </c>
      <c r="J31" s="17" t="s">
        <v>206</v>
      </c>
      <c r="K31" s="40">
        <v>46399</v>
      </c>
      <c r="L31" s="40">
        <v>46412</v>
      </c>
      <c r="M31" s="14" t="s">
        <v>543</v>
      </c>
      <c r="N31" s="14" t="s">
        <v>543</v>
      </c>
      <c r="O31" s="17" t="s">
        <v>544</v>
      </c>
    </row>
    <row r="32" spans="1:15" ht="27.75" hidden="1" customHeight="1" x14ac:dyDescent="0.35">
      <c r="A32" s="14" t="s">
        <v>584</v>
      </c>
      <c r="B32" s="14" t="s">
        <v>69</v>
      </c>
      <c r="C32" s="17" t="s">
        <v>540</v>
      </c>
      <c r="D32" s="41" t="s">
        <v>38</v>
      </c>
      <c r="E32" s="14" t="s">
        <v>208</v>
      </c>
      <c r="F32" s="14"/>
      <c r="G32" s="17" t="s">
        <v>74</v>
      </c>
      <c r="H32" s="25" t="s">
        <v>192</v>
      </c>
      <c r="I32" s="17">
        <v>3</v>
      </c>
      <c r="J32" s="17" t="s">
        <v>206</v>
      </c>
      <c r="K32" s="40">
        <v>46399</v>
      </c>
      <c r="L32" s="40">
        <v>46401</v>
      </c>
      <c r="M32" s="14" t="s">
        <v>543</v>
      </c>
      <c r="N32" s="14" t="s">
        <v>543</v>
      </c>
      <c r="O32" s="17" t="s">
        <v>544</v>
      </c>
    </row>
    <row r="33" spans="1:15" ht="27.75" hidden="1" customHeight="1" x14ac:dyDescent="0.35">
      <c r="A33" s="14" t="s">
        <v>585</v>
      </c>
      <c r="B33" s="14" t="s">
        <v>69</v>
      </c>
      <c r="C33" s="17" t="s">
        <v>540</v>
      </c>
      <c r="D33" s="41" t="s">
        <v>38</v>
      </c>
      <c r="E33" s="14" t="s">
        <v>209</v>
      </c>
      <c r="F33" s="14"/>
      <c r="G33" s="17" t="s">
        <v>74</v>
      </c>
      <c r="H33" s="16" t="s">
        <v>75</v>
      </c>
      <c r="I33" s="17">
        <v>5</v>
      </c>
      <c r="J33" s="17" t="s">
        <v>206</v>
      </c>
      <c r="K33" s="40">
        <v>46402</v>
      </c>
      <c r="L33" s="40">
        <v>46408</v>
      </c>
      <c r="M33" s="14" t="s">
        <v>543</v>
      </c>
      <c r="N33" s="14" t="s">
        <v>543</v>
      </c>
      <c r="O33" s="17" t="s">
        <v>544</v>
      </c>
    </row>
    <row r="34" spans="1:15" ht="27.75" hidden="1" customHeight="1" x14ac:dyDescent="0.35">
      <c r="A34" s="14" t="s">
        <v>586</v>
      </c>
      <c r="B34" s="14" t="s">
        <v>69</v>
      </c>
      <c r="C34" s="17" t="s">
        <v>540</v>
      </c>
      <c r="D34" s="41" t="s">
        <v>38</v>
      </c>
      <c r="E34" s="14" t="s">
        <v>210</v>
      </c>
      <c r="F34" s="14"/>
      <c r="G34" s="17" t="s">
        <v>74</v>
      </c>
      <c r="H34" s="16" t="s">
        <v>75</v>
      </c>
      <c r="I34" s="17">
        <v>5</v>
      </c>
      <c r="J34" s="17" t="s">
        <v>206</v>
      </c>
      <c r="K34" s="40">
        <v>46406</v>
      </c>
      <c r="L34" s="40">
        <v>46412</v>
      </c>
      <c r="M34" s="14" t="s">
        <v>543</v>
      </c>
      <c r="N34" s="14" t="s">
        <v>543</v>
      </c>
      <c r="O34" s="17" t="s">
        <v>544</v>
      </c>
    </row>
    <row r="35" spans="1:15" ht="27.75" hidden="1" customHeight="1" x14ac:dyDescent="0.35">
      <c r="A35" s="14" t="s">
        <v>587</v>
      </c>
      <c r="B35" s="14" t="s">
        <v>211</v>
      </c>
      <c r="C35" s="17" t="s">
        <v>540</v>
      </c>
      <c r="D35" s="41" t="s">
        <v>38</v>
      </c>
      <c r="E35" s="14" t="s">
        <v>212</v>
      </c>
      <c r="F35" s="14"/>
      <c r="G35" s="17" t="s">
        <v>74</v>
      </c>
      <c r="H35" s="25" t="s">
        <v>192</v>
      </c>
      <c r="I35" s="17">
        <v>3</v>
      </c>
      <c r="J35" s="17" t="s">
        <v>206</v>
      </c>
      <c r="K35" s="40">
        <v>46409</v>
      </c>
      <c r="L35" s="40">
        <v>46413</v>
      </c>
      <c r="M35" s="14" t="s">
        <v>543</v>
      </c>
      <c r="N35" s="14" t="s">
        <v>213</v>
      </c>
      <c r="O35" s="17" t="s">
        <v>544</v>
      </c>
    </row>
    <row r="36" spans="1:15" ht="27.75" hidden="1" customHeight="1" x14ac:dyDescent="0.35">
      <c r="A36" s="14" t="s">
        <v>589</v>
      </c>
      <c r="B36" s="14" t="s">
        <v>211</v>
      </c>
      <c r="C36" s="17" t="s">
        <v>540</v>
      </c>
      <c r="D36" s="41" t="s">
        <v>38</v>
      </c>
      <c r="E36" s="14" t="s">
        <v>215</v>
      </c>
      <c r="F36" s="14"/>
      <c r="G36" s="17" t="s">
        <v>74</v>
      </c>
      <c r="H36" s="16" t="s">
        <v>75</v>
      </c>
      <c r="I36" s="17">
        <v>5</v>
      </c>
      <c r="J36" s="17" t="s">
        <v>216</v>
      </c>
      <c r="K36" s="40">
        <v>46413</v>
      </c>
      <c r="L36" s="40">
        <v>46419</v>
      </c>
      <c r="M36" s="14" t="s">
        <v>543</v>
      </c>
      <c r="N36" s="14" t="s">
        <v>543</v>
      </c>
      <c r="O36" s="17" t="s">
        <v>544</v>
      </c>
    </row>
    <row r="37" spans="1:15" ht="27.75" hidden="1" customHeight="1" x14ac:dyDescent="0.35">
      <c r="A37" s="14" t="s">
        <v>590</v>
      </c>
      <c r="B37" s="14" t="s">
        <v>211</v>
      </c>
      <c r="C37" s="17" t="s">
        <v>540</v>
      </c>
      <c r="D37" s="41" t="s">
        <v>38</v>
      </c>
      <c r="E37" s="14" t="s">
        <v>217</v>
      </c>
      <c r="F37" s="14"/>
      <c r="G37" s="17" t="s">
        <v>74</v>
      </c>
      <c r="H37" s="16" t="s">
        <v>75</v>
      </c>
      <c r="I37" s="17">
        <v>5</v>
      </c>
      <c r="J37" s="17" t="s">
        <v>216</v>
      </c>
      <c r="K37" s="40">
        <v>46413</v>
      </c>
      <c r="L37" s="40">
        <v>46419</v>
      </c>
      <c r="M37" s="14" t="s">
        <v>543</v>
      </c>
      <c r="N37" s="14" t="s">
        <v>543</v>
      </c>
      <c r="O37" s="17" t="s">
        <v>544</v>
      </c>
    </row>
    <row r="38" spans="1:15" ht="27.75" hidden="1" customHeight="1" x14ac:dyDescent="0.35">
      <c r="A38" s="14" t="s">
        <v>591</v>
      </c>
      <c r="B38" s="14" t="s">
        <v>211</v>
      </c>
      <c r="C38" s="17" t="s">
        <v>540</v>
      </c>
      <c r="D38" s="41" t="s">
        <v>38</v>
      </c>
      <c r="E38" s="14" t="s">
        <v>218</v>
      </c>
      <c r="F38" s="14"/>
      <c r="G38" s="17" t="s">
        <v>74</v>
      </c>
      <c r="H38" s="25" t="s">
        <v>192</v>
      </c>
      <c r="I38" s="17">
        <v>3</v>
      </c>
      <c r="J38" s="17" t="s">
        <v>219</v>
      </c>
      <c r="K38" s="40">
        <v>46414</v>
      </c>
      <c r="L38" s="40">
        <v>46416</v>
      </c>
      <c r="M38" s="14" t="s">
        <v>543</v>
      </c>
      <c r="N38" s="14" t="s">
        <v>543</v>
      </c>
      <c r="O38" s="17" t="s">
        <v>544</v>
      </c>
    </row>
    <row r="39" spans="1:15" ht="27.75" hidden="1" customHeight="1" x14ac:dyDescent="0.35">
      <c r="A39" s="14" t="s">
        <v>592</v>
      </c>
      <c r="B39" s="14" t="s">
        <v>211</v>
      </c>
      <c r="C39" s="17" t="s">
        <v>540</v>
      </c>
      <c r="D39" s="41" t="s">
        <v>38</v>
      </c>
      <c r="E39" s="14" t="s">
        <v>220</v>
      </c>
      <c r="F39" s="14"/>
      <c r="G39" s="17" t="s">
        <v>74</v>
      </c>
      <c r="H39" s="22" t="s">
        <v>147</v>
      </c>
      <c r="I39" s="17">
        <v>20</v>
      </c>
      <c r="J39" s="17" t="s">
        <v>222</v>
      </c>
      <c r="K39" s="40">
        <v>46419</v>
      </c>
      <c r="L39" s="40">
        <v>46444</v>
      </c>
      <c r="M39" s="14" t="s">
        <v>593</v>
      </c>
      <c r="N39" s="14" t="s">
        <v>221</v>
      </c>
      <c r="O39" s="17" t="s">
        <v>544</v>
      </c>
    </row>
    <row r="40" spans="1:15" ht="27.75" hidden="1" customHeight="1" x14ac:dyDescent="0.35">
      <c r="A40" s="14" t="s">
        <v>594</v>
      </c>
      <c r="B40" s="14" t="s">
        <v>211</v>
      </c>
      <c r="C40" s="17" t="s">
        <v>540</v>
      </c>
      <c r="D40" s="41" t="s">
        <v>38</v>
      </c>
      <c r="E40" s="14" t="s">
        <v>224</v>
      </c>
      <c r="F40" s="14"/>
      <c r="G40" s="17" t="s">
        <v>74</v>
      </c>
      <c r="H40" s="16" t="s">
        <v>75</v>
      </c>
      <c r="I40" s="17">
        <v>5</v>
      </c>
      <c r="J40" s="17" t="s">
        <v>219</v>
      </c>
      <c r="K40" s="40">
        <v>46420</v>
      </c>
      <c r="L40" s="40">
        <v>46426</v>
      </c>
      <c r="M40" s="14" t="s">
        <v>543</v>
      </c>
      <c r="N40" s="14" t="s">
        <v>543</v>
      </c>
      <c r="O40" s="17" t="s">
        <v>544</v>
      </c>
    </row>
    <row r="41" spans="1:15" ht="27.75" hidden="1" customHeight="1" x14ac:dyDescent="0.35">
      <c r="A41" s="14" t="s">
        <v>595</v>
      </c>
      <c r="B41" s="14" t="s">
        <v>211</v>
      </c>
      <c r="C41" s="17" t="s">
        <v>540</v>
      </c>
      <c r="D41" s="41" t="s">
        <v>38</v>
      </c>
      <c r="E41" s="14" t="s">
        <v>225</v>
      </c>
      <c r="F41" s="14"/>
      <c r="G41" s="17" t="s">
        <v>74</v>
      </c>
      <c r="H41" s="19" t="s">
        <v>95</v>
      </c>
      <c r="I41" s="17">
        <v>10</v>
      </c>
      <c r="J41" s="17" t="s">
        <v>226</v>
      </c>
      <c r="K41" s="40">
        <v>46420</v>
      </c>
      <c r="L41" s="40">
        <v>46433</v>
      </c>
      <c r="M41" s="14" t="s">
        <v>596</v>
      </c>
      <c r="N41" s="14" t="s">
        <v>543</v>
      </c>
      <c r="O41" s="17" t="s">
        <v>544</v>
      </c>
    </row>
    <row r="42" spans="1:15" ht="27.75" hidden="1" customHeight="1" x14ac:dyDescent="0.35">
      <c r="A42" s="14" t="s">
        <v>597</v>
      </c>
      <c r="B42" s="14" t="s">
        <v>69</v>
      </c>
      <c r="C42" s="17" t="s">
        <v>540</v>
      </c>
      <c r="D42" s="41" t="s">
        <v>38</v>
      </c>
      <c r="E42" s="14" t="s">
        <v>228</v>
      </c>
      <c r="F42" s="14"/>
      <c r="G42" s="17" t="s">
        <v>74</v>
      </c>
      <c r="H42" s="16" t="s">
        <v>75</v>
      </c>
      <c r="I42" s="17">
        <v>5</v>
      </c>
      <c r="J42" s="17" t="s">
        <v>226</v>
      </c>
      <c r="K42" s="40">
        <v>46427</v>
      </c>
      <c r="L42" s="40">
        <v>46433</v>
      </c>
      <c r="M42" s="14" t="s">
        <v>598</v>
      </c>
      <c r="N42" s="14" t="s">
        <v>229</v>
      </c>
      <c r="O42" s="17" t="s">
        <v>544</v>
      </c>
    </row>
    <row r="43" spans="1:15" ht="27.75" hidden="1" customHeight="1" x14ac:dyDescent="0.35">
      <c r="A43" s="14" t="s">
        <v>599</v>
      </c>
      <c r="B43" s="14" t="s">
        <v>231</v>
      </c>
      <c r="C43" s="17" t="s">
        <v>600</v>
      </c>
      <c r="D43" s="41" t="s">
        <v>38</v>
      </c>
      <c r="E43" s="14" t="s">
        <v>232</v>
      </c>
      <c r="F43" s="14"/>
      <c r="G43" s="17" t="s">
        <v>74</v>
      </c>
      <c r="H43" s="16" t="s">
        <v>75</v>
      </c>
      <c r="I43" s="17">
        <v>5</v>
      </c>
      <c r="J43" s="17" t="s">
        <v>206</v>
      </c>
      <c r="K43" s="40">
        <v>46399</v>
      </c>
      <c r="L43" s="40">
        <v>46405</v>
      </c>
      <c r="M43" s="14" t="s">
        <v>543</v>
      </c>
      <c r="N43" s="14" t="s">
        <v>543</v>
      </c>
      <c r="O43" s="17" t="s">
        <v>544</v>
      </c>
    </row>
    <row r="44" spans="1:15" ht="27.75" hidden="1" customHeight="1" x14ac:dyDescent="0.35">
      <c r="A44" s="14" t="s">
        <v>601</v>
      </c>
      <c r="B44" s="14" t="s">
        <v>231</v>
      </c>
      <c r="C44" s="17" t="s">
        <v>600</v>
      </c>
      <c r="D44" s="41" t="s">
        <v>38</v>
      </c>
      <c r="E44" s="14" t="s">
        <v>233</v>
      </c>
      <c r="F44" s="14"/>
      <c r="G44" s="17" t="s">
        <v>74</v>
      </c>
      <c r="H44" s="16" t="s">
        <v>75</v>
      </c>
      <c r="I44" s="17">
        <v>5</v>
      </c>
      <c r="J44" s="17" t="s">
        <v>206</v>
      </c>
      <c r="K44" s="40">
        <v>46399</v>
      </c>
      <c r="L44" s="40">
        <v>46405</v>
      </c>
      <c r="M44" s="14" t="s">
        <v>543</v>
      </c>
      <c r="N44" s="14" t="s">
        <v>543</v>
      </c>
      <c r="O44" s="17" t="s">
        <v>544</v>
      </c>
    </row>
    <row r="45" spans="1:15" ht="27.75" hidden="1" customHeight="1" x14ac:dyDescent="0.35">
      <c r="A45" s="14" t="s">
        <v>602</v>
      </c>
      <c r="B45" s="14" t="s">
        <v>231</v>
      </c>
      <c r="C45" s="17" t="s">
        <v>600</v>
      </c>
      <c r="D45" s="41" t="s">
        <v>38</v>
      </c>
      <c r="E45" s="14" t="s">
        <v>234</v>
      </c>
      <c r="F45" s="14"/>
      <c r="G45" s="17" t="s">
        <v>74</v>
      </c>
      <c r="H45" s="25" t="s">
        <v>192</v>
      </c>
      <c r="I45" s="17">
        <v>3</v>
      </c>
      <c r="J45" s="17" t="s">
        <v>206</v>
      </c>
      <c r="K45" s="40">
        <v>46399</v>
      </c>
      <c r="L45" s="40">
        <v>46401</v>
      </c>
      <c r="M45" s="14" t="s">
        <v>543</v>
      </c>
      <c r="N45" s="14" t="s">
        <v>543</v>
      </c>
      <c r="O45" s="17" t="s">
        <v>544</v>
      </c>
    </row>
    <row r="46" spans="1:15" ht="27.75" hidden="1" customHeight="1" x14ac:dyDescent="0.35">
      <c r="A46" s="14" t="s">
        <v>603</v>
      </c>
      <c r="B46" s="14" t="s">
        <v>231</v>
      </c>
      <c r="C46" s="17" t="s">
        <v>600</v>
      </c>
      <c r="D46" s="41" t="s">
        <v>38</v>
      </c>
      <c r="E46" s="14" t="s">
        <v>235</v>
      </c>
      <c r="F46" s="14"/>
      <c r="G46" s="17" t="s">
        <v>236</v>
      </c>
      <c r="H46" s="19" t="s">
        <v>95</v>
      </c>
      <c r="I46" s="17">
        <v>10</v>
      </c>
      <c r="J46" s="17" t="s">
        <v>216</v>
      </c>
      <c r="K46" s="40">
        <v>46402</v>
      </c>
      <c r="L46" s="40">
        <v>46415</v>
      </c>
      <c r="M46" s="14" t="s">
        <v>543</v>
      </c>
      <c r="N46" s="14" t="s">
        <v>543</v>
      </c>
      <c r="O46" s="17" t="s">
        <v>544</v>
      </c>
    </row>
    <row r="47" spans="1:15" ht="27.75" hidden="1" customHeight="1" x14ac:dyDescent="0.35">
      <c r="A47" s="14" t="s">
        <v>605</v>
      </c>
      <c r="B47" s="14" t="s">
        <v>231</v>
      </c>
      <c r="C47" s="17" t="s">
        <v>600</v>
      </c>
      <c r="D47" s="41" t="s">
        <v>38</v>
      </c>
      <c r="E47" s="14" t="s">
        <v>238</v>
      </c>
      <c r="F47" s="14"/>
      <c r="G47" s="17" t="s">
        <v>236</v>
      </c>
      <c r="H47" s="16" t="s">
        <v>75</v>
      </c>
      <c r="I47" s="17">
        <v>5</v>
      </c>
      <c r="J47" s="17" t="s">
        <v>206</v>
      </c>
      <c r="K47" s="40">
        <v>46406</v>
      </c>
      <c r="L47" s="40">
        <v>46412</v>
      </c>
      <c r="M47" s="14" t="s">
        <v>606</v>
      </c>
      <c r="N47" s="14" t="s">
        <v>239</v>
      </c>
      <c r="O47" s="17" t="s">
        <v>544</v>
      </c>
    </row>
    <row r="48" spans="1:15" ht="27.75" hidden="1" customHeight="1" x14ac:dyDescent="0.35">
      <c r="A48" s="14" t="s">
        <v>607</v>
      </c>
      <c r="B48" s="14" t="s">
        <v>231</v>
      </c>
      <c r="C48" s="17" t="s">
        <v>600</v>
      </c>
      <c r="D48" s="41" t="s">
        <v>38</v>
      </c>
      <c r="E48" s="14" t="s">
        <v>241</v>
      </c>
      <c r="F48" s="14"/>
      <c r="G48" s="17" t="s">
        <v>74</v>
      </c>
      <c r="H48" s="19" t="s">
        <v>95</v>
      </c>
      <c r="I48" s="17">
        <v>10</v>
      </c>
      <c r="J48" s="17" t="s">
        <v>216</v>
      </c>
      <c r="K48" s="40">
        <v>46406</v>
      </c>
      <c r="L48" s="40">
        <v>46419</v>
      </c>
      <c r="M48" s="14" t="s">
        <v>543</v>
      </c>
      <c r="N48" s="14" t="s">
        <v>543</v>
      </c>
      <c r="O48" s="17" t="s">
        <v>544</v>
      </c>
    </row>
    <row r="49" spans="1:15" ht="27.75" hidden="1" customHeight="1" x14ac:dyDescent="0.35">
      <c r="A49" s="14" t="s">
        <v>608</v>
      </c>
      <c r="B49" s="14" t="s">
        <v>231</v>
      </c>
      <c r="C49" s="17" t="s">
        <v>600</v>
      </c>
      <c r="D49" s="41" t="s">
        <v>38</v>
      </c>
      <c r="E49" s="14" t="s">
        <v>242</v>
      </c>
      <c r="F49" s="14"/>
      <c r="G49" s="17" t="s">
        <v>74</v>
      </c>
      <c r="H49" s="16" t="s">
        <v>75</v>
      </c>
      <c r="I49" s="17">
        <v>5</v>
      </c>
      <c r="J49" s="17" t="s">
        <v>216</v>
      </c>
      <c r="K49" s="40">
        <v>46413</v>
      </c>
      <c r="L49" s="40">
        <v>46419</v>
      </c>
      <c r="M49" s="14" t="s">
        <v>543</v>
      </c>
      <c r="N49" s="14" t="s">
        <v>543</v>
      </c>
      <c r="O49" s="17" t="s">
        <v>544</v>
      </c>
    </row>
    <row r="50" spans="1:15" ht="27.75" hidden="1" customHeight="1" x14ac:dyDescent="0.35">
      <c r="A50" s="14" t="s">
        <v>609</v>
      </c>
      <c r="B50" s="14" t="s">
        <v>231</v>
      </c>
      <c r="C50" s="17" t="s">
        <v>600</v>
      </c>
      <c r="D50" s="41" t="s">
        <v>38</v>
      </c>
      <c r="E50" s="14" t="s">
        <v>243</v>
      </c>
      <c r="F50" s="14"/>
      <c r="G50" s="17" t="s">
        <v>74</v>
      </c>
      <c r="H50" s="22" t="s">
        <v>147</v>
      </c>
      <c r="I50" s="17">
        <v>20</v>
      </c>
      <c r="J50" s="17" t="s">
        <v>226</v>
      </c>
      <c r="K50" s="40">
        <v>46416</v>
      </c>
      <c r="L50" s="40">
        <v>46443</v>
      </c>
      <c r="M50" s="14" t="s">
        <v>543</v>
      </c>
      <c r="N50" s="14" t="s">
        <v>543</v>
      </c>
      <c r="O50" s="17" t="s">
        <v>544</v>
      </c>
    </row>
    <row r="51" spans="1:15" ht="27.75" hidden="1" customHeight="1" x14ac:dyDescent="0.35">
      <c r="A51" s="14" t="s">
        <v>610</v>
      </c>
      <c r="B51" s="14" t="s">
        <v>231</v>
      </c>
      <c r="C51" s="17" t="s">
        <v>600</v>
      </c>
      <c r="D51" s="41" t="s">
        <v>38</v>
      </c>
      <c r="E51" s="14" t="s">
        <v>244</v>
      </c>
      <c r="F51" s="14"/>
      <c r="G51" s="17" t="s">
        <v>74</v>
      </c>
      <c r="H51" s="22" t="s">
        <v>147</v>
      </c>
      <c r="I51" s="17">
        <v>20</v>
      </c>
      <c r="J51" s="17" t="s">
        <v>222</v>
      </c>
      <c r="K51" s="40">
        <v>46420</v>
      </c>
      <c r="L51" s="40">
        <v>46447</v>
      </c>
      <c r="M51" s="14" t="s">
        <v>611</v>
      </c>
      <c r="N51" s="14" t="s">
        <v>543</v>
      </c>
      <c r="O51" s="17" t="s">
        <v>544</v>
      </c>
    </row>
    <row r="52" spans="1:15" ht="27.75" hidden="1" customHeight="1" x14ac:dyDescent="0.35">
      <c r="A52" s="14" t="s">
        <v>612</v>
      </c>
      <c r="B52" s="14" t="s">
        <v>231</v>
      </c>
      <c r="C52" s="17" t="s">
        <v>600</v>
      </c>
      <c r="D52" s="41" t="s">
        <v>38</v>
      </c>
      <c r="E52" s="14" t="s">
        <v>246</v>
      </c>
      <c r="F52" s="14"/>
      <c r="G52" s="17" t="s">
        <v>74</v>
      </c>
      <c r="H52" s="16" t="s">
        <v>75</v>
      </c>
      <c r="I52" s="17">
        <v>5</v>
      </c>
      <c r="J52" s="17" t="s">
        <v>219</v>
      </c>
      <c r="K52" s="40">
        <v>46420</v>
      </c>
      <c r="L52" s="40">
        <v>46426</v>
      </c>
      <c r="M52" s="14" t="s">
        <v>543</v>
      </c>
      <c r="N52" s="14" t="s">
        <v>543</v>
      </c>
      <c r="O52" s="17" t="s">
        <v>544</v>
      </c>
    </row>
    <row r="53" spans="1:15" ht="27.75" hidden="1" customHeight="1" x14ac:dyDescent="0.35">
      <c r="A53" s="14" t="s">
        <v>613</v>
      </c>
      <c r="B53" s="14" t="s">
        <v>231</v>
      </c>
      <c r="C53" s="17" t="s">
        <v>600</v>
      </c>
      <c r="D53" s="41" t="s">
        <v>38</v>
      </c>
      <c r="E53" s="14" t="s">
        <v>247</v>
      </c>
      <c r="F53" s="14"/>
      <c r="G53" s="17" t="s">
        <v>236</v>
      </c>
      <c r="H53" s="23" t="s">
        <v>157</v>
      </c>
      <c r="I53" s="17">
        <v>30</v>
      </c>
      <c r="J53" s="17" t="s">
        <v>249</v>
      </c>
      <c r="K53" s="40">
        <v>46427</v>
      </c>
      <c r="L53" s="40">
        <v>46469</v>
      </c>
      <c r="M53" s="14" t="s">
        <v>614</v>
      </c>
      <c r="N53" s="14" t="s">
        <v>248</v>
      </c>
      <c r="O53" s="17" t="s">
        <v>544</v>
      </c>
    </row>
    <row r="54" spans="1:15" ht="27.75" hidden="1" customHeight="1" x14ac:dyDescent="0.35">
      <c r="A54" s="14" t="s">
        <v>616</v>
      </c>
      <c r="B54" s="14" t="s">
        <v>231</v>
      </c>
      <c r="C54" s="17" t="s">
        <v>600</v>
      </c>
      <c r="D54" s="41" t="s">
        <v>38</v>
      </c>
      <c r="E54" s="14" t="s">
        <v>251</v>
      </c>
      <c r="F54" s="14"/>
      <c r="G54" s="17" t="s">
        <v>252</v>
      </c>
      <c r="H54" s="23" t="s">
        <v>157</v>
      </c>
      <c r="I54" s="17">
        <v>30</v>
      </c>
      <c r="J54" s="17" t="s">
        <v>253</v>
      </c>
      <c r="K54" s="40">
        <v>46444</v>
      </c>
      <c r="L54" s="40">
        <v>46490</v>
      </c>
      <c r="M54" s="14" t="s">
        <v>543</v>
      </c>
      <c r="N54" s="14" t="s">
        <v>543</v>
      </c>
      <c r="O54" s="17" t="s">
        <v>544</v>
      </c>
    </row>
    <row r="55" spans="1:15" ht="27.75" hidden="1" customHeight="1" x14ac:dyDescent="0.35">
      <c r="A55" s="14" t="s">
        <v>618</v>
      </c>
      <c r="B55" s="14" t="s">
        <v>231</v>
      </c>
      <c r="C55" s="17" t="s">
        <v>600</v>
      </c>
      <c r="D55" s="41" t="s">
        <v>38</v>
      </c>
      <c r="E55" s="14" t="s">
        <v>255</v>
      </c>
      <c r="F55" s="14"/>
      <c r="G55" s="17" t="s">
        <v>74</v>
      </c>
      <c r="H55" s="19" t="s">
        <v>95</v>
      </c>
      <c r="I55" s="17">
        <v>10</v>
      </c>
      <c r="J55" s="17" t="s">
        <v>256</v>
      </c>
      <c r="K55" s="40">
        <v>46448</v>
      </c>
      <c r="L55" s="40">
        <v>46461</v>
      </c>
      <c r="M55" s="14" t="s">
        <v>543</v>
      </c>
      <c r="N55" s="14" t="s">
        <v>543</v>
      </c>
      <c r="O55" s="17" t="s">
        <v>544</v>
      </c>
    </row>
    <row r="56" spans="1:15" ht="27.75" hidden="1" customHeight="1" x14ac:dyDescent="0.35">
      <c r="A56" s="14" t="s">
        <v>619</v>
      </c>
      <c r="B56" s="14" t="s">
        <v>231</v>
      </c>
      <c r="C56" s="17" t="s">
        <v>600</v>
      </c>
      <c r="D56" s="41" t="s">
        <v>38</v>
      </c>
      <c r="E56" s="14" t="s">
        <v>257</v>
      </c>
      <c r="F56" s="14"/>
      <c r="G56" s="17" t="s">
        <v>236</v>
      </c>
      <c r="H56" s="16" t="s">
        <v>75</v>
      </c>
      <c r="I56" s="17">
        <v>5</v>
      </c>
      <c r="J56" s="17" t="s">
        <v>258</v>
      </c>
      <c r="K56" s="40">
        <v>46462</v>
      </c>
      <c r="L56" s="40">
        <v>46469</v>
      </c>
      <c r="M56" s="14" t="s">
        <v>543</v>
      </c>
      <c r="N56" s="14" t="s">
        <v>543</v>
      </c>
      <c r="O56" s="17" t="s">
        <v>544</v>
      </c>
    </row>
    <row r="57" spans="1:15" ht="27.75" hidden="1" customHeight="1" x14ac:dyDescent="0.35">
      <c r="A57" s="14" t="s">
        <v>621</v>
      </c>
      <c r="B57" s="14" t="s">
        <v>231</v>
      </c>
      <c r="C57" s="17" t="s">
        <v>600</v>
      </c>
      <c r="D57" s="41" t="s">
        <v>38</v>
      </c>
      <c r="E57" s="14" t="s">
        <v>260</v>
      </c>
      <c r="F57" s="14"/>
      <c r="G57" s="17" t="s">
        <v>236</v>
      </c>
      <c r="H57" s="16" t="s">
        <v>75</v>
      </c>
      <c r="I57" s="17">
        <v>5</v>
      </c>
      <c r="J57" s="17" t="s">
        <v>258</v>
      </c>
      <c r="K57" s="40">
        <v>46470</v>
      </c>
      <c r="L57" s="40">
        <v>46478</v>
      </c>
      <c r="M57" s="14" t="s">
        <v>543</v>
      </c>
      <c r="N57" s="14" t="s">
        <v>543</v>
      </c>
      <c r="O57" s="17" t="s">
        <v>544</v>
      </c>
    </row>
    <row r="58" spans="1:15" ht="27.75" hidden="1" customHeight="1" x14ac:dyDescent="0.35">
      <c r="A58" s="14" t="s">
        <v>623</v>
      </c>
      <c r="B58" s="14" t="s">
        <v>231</v>
      </c>
      <c r="C58" s="17" t="s">
        <v>600</v>
      </c>
      <c r="D58" s="41" t="s">
        <v>38</v>
      </c>
      <c r="E58" s="14" t="s">
        <v>263</v>
      </c>
      <c r="F58" s="14"/>
      <c r="G58" s="17" t="s">
        <v>74</v>
      </c>
      <c r="H58" s="16" t="s">
        <v>75</v>
      </c>
      <c r="I58" s="17">
        <v>5</v>
      </c>
      <c r="J58" s="17" t="s">
        <v>258</v>
      </c>
      <c r="K58" s="40">
        <v>46470</v>
      </c>
      <c r="L58" s="40">
        <v>46478</v>
      </c>
      <c r="M58" s="14" t="s">
        <v>543</v>
      </c>
      <c r="N58" s="14" t="s">
        <v>543</v>
      </c>
      <c r="O58" s="17" t="s">
        <v>544</v>
      </c>
    </row>
    <row r="59" spans="1:15" ht="27.75" hidden="1" customHeight="1" x14ac:dyDescent="0.35">
      <c r="A59" s="14" t="s">
        <v>625</v>
      </c>
      <c r="B59" s="14" t="s">
        <v>231</v>
      </c>
      <c r="C59" s="17" t="s">
        <v>600</v>
      </c>
      <c r="D59" s="41" t="s">
        <v>38</v>
      </c>
      <c r="E59" s="14" t="s">
        <v>265</v>
      </c>
      <c r="F59" s="14"/>
      <c r="G59" s="17" t="s">
        <v>74</v>
      </c>
      <c r="H59" s="16" t="s">
        <v>75</v>
      </c>
      <c r="I59" s="17">
        <v>5</v>
      </c>
      <c r="J59" s="17" t="s">
        <v>266</v>
      </c>
      <c r="K59" s="40">
        <v>46479</v>
      </c>
      <c r="L59" s="40">
        <v>46485</v>
      </c>
      <c r="M59" s="14" t="s">
        <v>543</v>
      </c>
      <c r="N59" s="14" t="s">
        <v>543</v>
      </c>
      <c r="O59" s="17" t="s">
        <v>544</v>
      </c>
    </row>
    <row r="60" spans="1:15" ht="27.75" hidden="1" customHeight="1" x14ac:dyDescent="0.35">
      <c r="A60" s="14" t="s">
        <v>626</v>
      </c>
      <c r="B60" s="14" t="s">
        <v>231</v>
      </c>
      <c r="C60" s="17" t="s">
        <v>600</v>
      </c>
      <c r="D60" s="41" t="s">
        <v>38</v>
      </c>
      <c r="E60" s="14" t="s">
        <v>267</v>
      </c>
      <c r="F60" s="14"/>
      <c r="G60" s="17" t="s">
        <v>74</v>
      </c>
      <c r="H60" s="19" t="s">
        <v>95</v>
      </c>
      <c r="I60" s="17">
        <v>10</v>
      </c>
      <c r="J60" s="17" t="s">
        <v>266</v>
      </c>
      <c r="K60" s="40">
        <v>46479</v>
      </c>
      <c r="L60" s="40">
        <v>46492</v>
      </c>
      <c r="M60" s="14" t="s">
        <v>627</v>
      </c>
      <c r="N60" s="14" t="s">
        <v>543</v>
      </c>
      <c r="O60" s="17" t="s">
        <v>544</v>
      </c>
    </row>
    <row r="61" spans="1:15" ht="27.75" hidden="1" customHeight="1" x14ac:dyDescent="0.35">
      <c r="A61" s="14" t="s">
        <v>628</v>
      </c>
      <c r="B61" s="14" t="s">
        <v>231</v>
      </c>
      <c r="C61" s="17" t="s">
        <v>600</v>
      </c>
      <c r="D61" s="41" t="s">
        <v>38</v>
      </c>
      <c r="E61" s="14" t="s">
        <v>269</v>
      </c>
      <c r="F61" s="14"/>
      <c r="G61" s="17" t="s">
        <v>74</v>
      </c>
      <c r="H61" s="23" t="s">
        <v>157</v>
      </c>
      <c r="I61" s="17">
        <v>30</v>
      </c>
      <c r="J61" s="17" t="s">
        <v>271</v>
      </c>
      <c r="K61" s="40">
        <v>46486</v>
      </c>
      <c r="L61" s="40">
        <v>46528</v>
      </c>
      <c r="M61" s="14" t="s">
        <v>543</v>
      </c>
      <c r="N61" s="14" t="s">
        <v>270</v>
      </c>
      <c r="O61" s="17" t="s">
        <v>544</v>
      </c>
    </row>
    <row r="62" spans="1:15" ht="27.75" hidden="1" customHeight="1" x14ac:dyDescent="0.35">
      <c r="A62" s="14" t="s">
        <v>629</v>
      </c>
      <c r="B62" s="14" t="s">
        <v>231</v>
      </c>
      <c r="C62" s="17" t="s">
        <v>600</v>
      </c>
      <c r="D62" s="41" t="s">
        <v>38</v>
      </c>
      <c r="E62" s="14" t="s">
        <v>273</v>
      </c>
      <c r="F62" s="14"/>
      <c r="G62" s="17" t="s">
        <v>236</v>
      </c>
      <c r="H62" s="19" t="s">
        <v>95</v>
      </c>
      <c r="I62" s="17">
        <v>10</v>
      </c>
      <c r="J62" s="17" t="s">
        <v>274</v>
      </c>
      <c r="K62" s="40">
        <v>46491</v>
      </c>
      <c r="L62" s="40">
        <v>46504</v>
      </c>
      <c r="M62" s="14" t="s">
        <v>543</v>
      </c>
      <c r="N62" s="14" t="s">
        <v>543</v>
      </c>
      <c r="O62" s="17" t="s">
        <v>544</v>
      </c>
    </row>
    <row r="63" spans="1:15" ht="27.75" hidden="1" customHeight="1" x14ac:dyDescent="0.35">
      <c r="A63" s="14" t="s">
        <v>631</v>
      </c>
      <c r="B63" s="14" t="s">
        <v>231</v>
      </c>
      <c r="C63" s="17" t="s">
        <v>600</v>
      </c>
      <c r="D63" s="41" t="s">
        <v>38</v>
      </c>
      <c r="E63" s="14" t="s">
        <v>276</v>
      </c>
      <c r="F63" s="14"/>
      <c r="G63" s="17" t="s">
        <v>74</v>
      </c>
      <c r="H63" s="16" t="s">
        <v>75</v>
      </c>
      <c r="I63" s="17">
        <v>5</v>
      </c>
      <c r="J63" s="17" t="s">
        <v>274</v>
      </c>
      <c r="K63" s="40">
        <v>46493</v>
      </c>
      <c r="L63" s="40">
        <v>46499</v>
      </c>
      <c r="M63" s="14" t="s">
        <v>543</v>
      </c>
      <c r="N63" s="14" t="s">
        <v>277</v>
      </c>
      <c r="O63" s="17" t="s">
        <v>544</v>
      </c>
    </row>
    <row r="64" spans="1:15" ht="27.75" hidden="1" customHeight="1" x14ac:dyDescent="0.35">
      <c r="A64" s="14" t="s">
        <v>633</v>
      </c>
      <c r="B64" s="14" t="s">
        <v>231</v>
      </c>
      <c r="C64" s="17" t="s">
        <v>600</v>
      </c>
      <c r="D64" s="41" t="s">
        <v>38</v>
      </c>
      <c r="E64" s="14" t="s">
        <v>279</v>
      </c>
      <c r="F64" s="14"/>
      <c r="G64" s="17" t="s">
        <v>74</v>
      </c>
      <c r="H64" s="22" t="s">
        <v>147</v>
      </c>
      <c r="I64" s="17">
        <v>20</v>
      </c>
      <c r="J64" s="17" t="s">
        <v>281</v>
      </c>
      <c r="K64" s="40">
        <v>46500</v>
      </c>
      <c r="L64" s="40">
        <v>46528</v>
      </c>
      <c r="M64" s="14" t="s">
        <v>634</v>
      </c>
      <c r="N64" s="14" t="s">
        <v>280</v>
      </c>
      <c r="O64" s="17" t="s">
        <v>544</v>
      </c>
    </row>
    <row r="65" spans="1:15" ht="27.75" hidden="1" customHeight="1" x14ac:dyDescent="0.35">
      <c r="A65" s="14" t="s">
        <v>635</v>
      </c>
      <c r="B65" s="14" t="s">
        <v>231</v>
      </c>
      <c r="C65" s="17" t="s">
        <v>600</v>
      </c>
      <c r="D65" s="41" t="s">
        <v>38</v>
      </c>
      <c r="E65" s="14" t="s">
        <v>283</v>
      </c>
      <c r="F65" s="14"/>
      <c r="G65" s="17" t="s">
        <v>74</v>
      </c>
      <c r="H65" s="19" t="s">
        <v>95</v>
      </c>
      <c r="I65" s="17">
        <v>10</v>
      </c>
      <c r="J65" s="17" t="s">
        <v>285</v>
      </c>
      <c r="K65" s="40">
        <v>46505</v>
      </c>
      <c r="L65" s="40">
        <v>46519</v>
      </c>
      <c r="M65" s="14" t="s">
        <v>636</v>
      </c>
      <c r="N65" s="14" t="s">
        <v>284</v>
      </c>
      <c r="O65" s="17" t="s">
        <v>544</v>
      </c>
    </row>
    <row r="66" spans="1:15" ht="27.75" hidden="1" customHeight="1" x14ac:dyDescent="0.35">
      <c r="A66" s="14" t="s">
        <v>638</v>
      </c>
      <c r="B66" s="14" t="s">
        <v>231</v>
      </c>
      <c r="C66" s="17" t="s">
        <v>600</v>
      </c>
      <c r="D66" s="41" t="s">
        <v>38</v>
      </c>
      <c r="E66" s="14" t="s">
        <v>287</v>
      </c>
      <c r="F66" s="14"/>
      <c r="G66" s="17" t="s">
        <v>74</v>
      </c>
      <c r="H66" s="16" t="s">
        <v>75</v>
      </c>
      <c r="I66" s="17">
        <v>5</v>
      </c>
      <c r="J66" s="17" t="s">
        <v>288</v>
      </c>
      <c r="K66" s="40">
        <v>46520</v>
      </c>
      <c r="L66" s="40">
        <v>46526</v>
      </c>
      <c r="M66" s="14" t="s">
        <v>543</v>
      </c>
      <c r="N66" s="14" t="s">
        <v>543</v>
      </c>
      <c r="O66" s="17" t="s">
        <v>544</v>
      </c>
    </row>
    <row r="67" spans="1:15" ht="27.75" hidden="1" customHeight="1" x14ac:dyDescent="0.35">
      <c r="A67" s="14" t="s">
        <v>639</v>
      </c>
      <c r="B67" s="14" t="s">
        <v>231</v>
      </c>
      <c r="C67" s="17" t="s">
        <v>600</v>
      </c>
      <c r="D67" s="41" t="s">
        <v>38</v>
      </c>
      <c r="E67" s="14" t="s">
        <v>289</v>
      </c>
      <c r="F67" s="14"/>
      <c r="G67" s="17" t="s">
        <v>74</v>
      </c>
      <c r="H67" s="16" t="s">
        <v>75</v>
      </c>
      <c r="I67" s="17">
        <v>5</v>
      </c>
      <c r="J67" s="17" t="s">
        <v>290</v>
      </c>
      <c r="K67" s="40">
        <v>46527</v>
      </c>
      <c r="L67" s="40">
        <v>46533</v>
      </c>
      <c r="M67" s="14" t="s">
        <v>640</v>
      </c>
      <c r="N67" s="14" t="s">
        <v>543</v>
      </c>
      <c r="O67" s="17" t="s">
        <v>544</v>
      </c>
    </row>
    <row r="68" spans="1:15" ht="27.75" hidden="1" customHeight="1" x14ac:dyDescent="0.35">
      <c r="A68" s="14" t="s">
        <v>641</v>
      </c>
      <c r="B68" s="14" t="s">
        <v>231</v>
      </c>
      <c r="C68" s="17" t="s">
        <v>600</v>
      </c>
      <c r="D68" s="41" t="s">
        <v>38</v>
      </c>
      <c r="E68" s="14" t="s">
        <v>292</v>
      </c>
      <c r="F68" s="14"/>
      <c r="G68" s="17" t="s">
        <v>74</v>
      </c>
      <c r="H68" s="19" t="s">
        <v>95</v>
      </c>
      <c r="I68" s="17">
        <v>10</v>
      </c>
      <c r="J68" s="17" t="s">
        <v>293</v>
      </c>
      <c r="K68" s="40">
        <v>46531</v>
      </c>
      <c r="L68" s="40">
        <v>46546</v>
      </c>
      <c r="M68" s="14" t="s">
        <v>543</v>
      </c>
      <c r="N68" s="14" t="s">
        <v>543</v>
      </c>
      <c r="O68" s="17" t="s">
        <v>544</v>
      </c>
    </row>
    <row r="69" spans="1:15" ht="27.75" hidden="1" customHeight="1" x14ac:dyDescent="0.35">
      <c r="A69" s="14" t="s">
        <v>642</v>
      </c>
      <c r="B69" s="14" t="s">
        <v>82</v>
      </c>
      <c r="C69" s="17" t="s">
        <v>546</v>
      </c>
      <c r="D69" s="41" t="s">
        <v>38</v>
      </c>
      <c r="E69" s="14" t="s">
        <v>294</v>
      </c>
      <c r="F69" s="14"/>
      <c r="G69" s="17" t="s">
        <v>236</v>
      </c>
      <c r="H69" s="25" t="s">
        <v>192</v>
      </c>
      <c r="I69" s="17">
        <v>3</v>
      </c>
      <c r="J69" s="17" t="s">
        <v>206</v>
      </c>
      <c r="K69" s="40">
        <v>46399</v>
      </c>
      <c r="L69" s="40">
        <v>46401</v>
      </c>
      <c r="M69" s="14" t="s">
        <v>643</v>
      </c>
      <c r="N69" s="14" t="s">
        <v>295</v>
      </c>
      <c r="O69" s="17" t="s">
        <v>544</v>
      </c>
    </row>
    <row r="70" spans="1:15" ht="27.75" hidden="1" customHeight="1" x14ac:dyDescent="0.35">
      <c r="A70" s="14" t="s">
        <v>644</v>
      </c>
      <c r="B70" s="14" t="s">
        <v>82</v>
      </c>
      <c r="C70" s="17" t="s">
        <v>546</v>
      </c>
      <c r="D70" s="41" t="s">
        <v>38</v>
      </c>
      <c r="E70" s="14" t="s">
        <v>297</v>
      </c>
      <c r="F70" s="14"/>
      <c r="G70" s="17" t="s">
        <v>236</v>
      </c>
      <c r="H70" s="23" t="s">
        <v>157</v>
      </c>
      <c r="I70" s="17">
        <v>30</v>
      </c>
      <c r="J70" s="17" t="s">
        <v>298</v>
      </c>
      <c r="K70" s="40">
        <v>46399</v>
      </c>
      <c r="L70" s="40">
        <v>46440</v>
      </c>
      <c r="M70" s="14" t="s">
        <v>543</v>
      </c>
      <c r="N70" s="14" t="s">
        <v>543</v>
      </c>
      <c r="O70" s="17" t="s">
        <v>544</v>
      </c>
    </row>
    <row r="71" spans="1:15" ht="27.75" hidden="1" customHeight="1" x14ac:dyDescent="0.35">
      <c r="A71" s="14" t="s">
        <v>646</v>
      </c>
      <c r="B71" s="14" t="s">
        <v>82</v>
      </c>
      <c r="C71" s="17" t="s">
        <v>546</v>
      </c>
      <c r="D71" s="41" t="s">
        <v>38</v>
      </c>
      <c r="E71" s="14" t="s">
        <v>300</v>
      </c>
      <c r="F71" s="14"/>
      <c r="G71" s="17" t="s">
        <v>74</v>
      </c>
      <c r="H71" s="16" t="s">
        <v>75</v>
      </c>
      <c r="I71" s="17">
        <v>5</v>
      </c>
      <c r="J71" s="17" t="s">
        <v>206</v>
      </c>
      <c r="K71" s="40">
        <v>46402</v>
      </c>
      <c r="L71" s="40">
        <v>46408</v>
      </c>
      <c r="M71" s="14" t="s">
        <v>647</v>
      </c>
      <c r="N71" s="14" t="s">
        <v>543</v>
      </c>
      <c r="O71" s="17" t="s">
        <v>544</v>
      </c>
    </row>
    <row r="72" spans="1:15" ht="27.75" hidden="1" customHeight="1" x14ac:dyDescent="0.35">
      <c r="A72" s="14" t="s">
        <v>648</v>
      </c>
      <c r="B72" s="14" t="s">
        <v>82</v>
      </c>
      <c r="C72" s="17" t="s">
        <v>546</v>
      </c>
      <c r="D72" s="41" t="s">
        <v>38</v>
      </c>
      <c r="E72" s="14" t="s">
        <v>302</v>
      </c>
      <c r="F72" s="14"/>
      <c r="G72" s="17" t="s">
        <v>74</v>
      </c>
      <c r="H72" s="22" t="s">
        <v>147</v>
      </c>
      <c r="I72" s="17">
        <v>20</v>
      </c>
      <c r="J72" s="17" t="s">
        <v>298</v>
      </c>
      <c r="K72" s="40">
        <v>46409</v>
      </c>
      <c r="L72" s="40">
        <v>46436</v>
      </c>
      <c r="M72" s="14" t="s">
        <v>649</v>
      </c>
      <c r="N72" s="14" t="s">
        <v>543</v>
      </c>
      <c r="O72" s="17" t="s">
        <v>544</v>
      </c>
    </row>
    <row r="73" spans="1:15" ht="27.75" hidden="1" customHeight="1" x14ac:dyDescent="0.35">
      <c r="A73" s="14" t="s">
        <v>650</v>
      </c>
      <c r="B73" s="14" t="s">
        <v>82</v>
      </c>
      <c r="C73" s="17" t="s">
        <v>546</v>
      </c>
      <c r="D73" s="41" t="s">
        <v>38</v>
      </c>
      <c r="E73" s="14" t="s">
        <v>304</v>
      </c>
      <c r="F73" s="14"/>
      <c r="G73" s="17" t="s">
        <v>74</v>
      </c>
      <c r="H73" s="19" t="s">
        <v>95</v>
      </c>
      <c r="I73" s="17">
        <v>10</v>
      </c>
      <c r="J73" s="17" t="s">
        <v>305</v>
      </c>
      <c r="K73" s="40">
        <v>46437</v>
      </c>
      <c r="L73" s="40">
        <v>46450</v>
      </c>
      <c r="M73" s="14" t="s">
        <v>543</v>
      </c>
      <c r="N73" s="14" t="s">
        <v>295</v>
      </c>
      <c r="O73" s="17" t="s">
        <v>544</v>
      </c>
    </row>
    <row r="74" spans="1:15" ht="27.75" hidden="1" customHeight="1" x14ac:dyDescent="0.35">
      <c r="A74" s="14" t="s">
        <v>651</v>
      </c>
      <c r="B74" s="14" t="s">
        <v>82</v>
      </c>
      <c r="C74" s="17" t="s">
        <v>546</v>
      </c>
      <c r="D74" s="41" t="s">
        <v>38</v>
      </c>
      <c r="E74" s="14" t="s">
        <v>306</v>
      </c>
      <c r="F74" s="14"/>
      <c r="G74" s="17" t="s">
        <v>74</v>
      </c>
      <c r="H74" s="19" t="s">
        <v>95</v>
      </c>
      <c r="I74" s="17">
        <v>10</v>
      </c>
      <c r="J74" s="17" t="s">
        <v>305</v>
      </c>
      <c r="K74" s="40">
        <v>46441</v>
      </c>
      <c r="L74" s="40">
        <v>46454</v>
      </c>
      <c r="M74" s="14" t="s">
        <v>543</v>
      </c>
      <c r="N74" s="14" t="s">
        <v>307</v>
      </c>
      <c r="O74" s="17" t="s">
        <v>544</v>
      </c>
    </row>
    <row r="75" spans="1:15" ht="27.75" hidden="1" customHeight="1" x14ac:dyDescent="0.35">
      <c r="A75" s="14" t="s">
        <v>652</v>
      </c>
      <c r="B75" s="14" t="s">
        <v>82</v>
      </c>
      <c r="C75" s="17" t="s">
        <v>546</v>
      </c>
      <c r="D75" s="41" t="s">
        <v>38</v>
      </c>
      <c r="E75" s="14" t="s">
        <v>308</v>
      </c>
      <c r="F75" s="14"/>
      <c r="G75" s="17" t="s">
        <v>252</v>
      </c>
      <c r="H75" s="16" t="s">
        <v>75</v>
      </c>
      <c r="I75" s="17">
        <v>5</v>
      </c>
      <c r="J75" s="17" t="s">
        <v>309</v>
      </c>
      <c r="K75" s="40">
        <v>46451</v>
      </c>
      <c r="L75" s="40">
        <v>46457</v>
      </c>
      <c r="M75" s="14" t="s">
        <v>653</v>
      </c>
      <c r="N75" s="14" t="s">
        <v>295</v>
      </c>
      <c r="O75" s="17" t="s">
        <v>544</v>
      </c>
    </row>
    <row r="76" spans="1:15" ht="27.75" hidden="1" customHeight="1" x14ac:dyDescent="0.35">
      <c r="A76" s="14" t="s">
        <v>655</v>
      </c>
      <c r="B76" s="14" t="s">
        <v>82</v>
      </c>
      <c r="C76" s="17" t="s">
        <v>546</v>
      </c>
      <c r="D76" s="41" t="s">
        <v>38</v>
      </c>
      <c r="E76" s="14" t="s">
        <v>311</v>
      </c>
      <c r="F76" s="14"/>
      <c r="G76" s="17" t="s">
        <v>252</v>
      </c>
      <c r="H76" s="19" t="s">
        <v>95</v>
      </c>
      <c r="I76" s="17">
        <v>10</v>
      </c>
      <c r="J76" s="17" t="s">
        <v>256</v>
      </c>
      <c r="K76" s="40">
        <v>46455</v>
      </c>
      <c r="L76" s="40">
        <v>46469</v>
      </c>
      <c r="M76" s="14" t="s">
        <v>656</v>
      </c>
      <c r="N76" s="14" t="s">
        <v>543</v>
      </c>
      <c r="O76" s="17" t="s">
        <v>544</v>
      </c>
    </row>
    <row r="77" spans="1:15" ht="27.75" hidden="1" customHeight="1" x14ac:dyDescent="0.35">
      <c r="A77" s="14" t="s">
        <v>657</v>
      </c>
      <c r="B77" s="14" t="s">
        <v>82</v>
      </c>
      <c r="C77" s="17" t="s">
        <v>546</v>
      </c>
      <c r="D77" s="41" t="s">
        <v>38</v>
      </c>
      <c r="E77" s="14" t="s">
        <v>313</v>
      </c>
      <c r="F77" s="14"/>
      <c r="G77" s="17" t="s">
        <v>252</v>
      </c>
      <c r="H77" s="19" t="s">
        <v>95</v>
      </c>
      <c r="I77" s="17">
        <v>10</v>
      </c>
      <c r="J77" s="17" t="s">
        <v>256</v>
      </c>
      <c r="K77" s="40">
        <v>46458</v>
      </c>
      <c r="L77" s="40">
        <v>46476</v>
      </c>
      <c r="M77" s="14" t="s">
        <v>543</v>
      </c>
      <c r="N77" s="14" t="s">
        <v>543</v>
      </c>
      <c r="O77" s="17" t="s">
        <v>544</v>
      </c>
    </row>
    <row r="78" spans="1:15" ht="27.75" hidden="1" customHeight="1" x14ac:dyDescent="0.35">
      <c r="A78" s="14" t="s">
        <v>658</v>
      </c>
      <c r="B78" s="14" t="s">
        <v>82</v>
      </c>
      <c r="C78" s="17" t="s">
        <v>546</v>
      </c>
      <c r="D78" s="41" t="s">
        <v>38</v>
      </c>
      <c r="E78" s="14" t="s">
        <v>315</v>
      </c>
      <c r="F78" s="14"/>
      <c r="G78" s="17" t="s">
        <v>236</v>
      </c>
      <c r="H78" s="16" t="s">
        <v>75</v>
      </c>
      <c r="I78" s="17">
        <v>5</v>
      </c>
      <c r="J78" s="17" t="s">
        <v>258</v>
      </c>
      <c r="K78" s="40">
        <v>46470</v>
      </c>
      <c r="L78" s="40">
        <v>46478</v>
      </c>
      <c r="M78" s="14" t="s">
        <v>659</v>
      </c>
      <c r="N78" s="14" t="s">
        <v>543</v>
      </c>
      <c r="O78" s="17" t="s">
        <v>544</v>
      </c>
    </row>
    <row r="79" spans="1:15" ht="27.75" hidden="1" customHeight="1" x14ac:dyDescent="0.35">
      <c r="A79" s="14" t="s">
        <v>661</v>
      </c>
      <c r="B79" s="14" t="s">
        <v>139</v>
      </c>
      <c r="C79" s="17" t="s">
        <v>561</v>
      </c>
      <c r="D79" s="41" t="s">
        <v>38</v>
      </c>
      <c r="E79" s="14" t="s">
        <v>317</v>
      </c>
      <c r="F79" s="14"/>
      <c r="G79" s="17" t="s">
        <v>74</v>
      </c>
      <c r="H79" s="25" t="s">
        <v>192</v>
      </c>
      <c r="I79" s="17">
        <v>3</v>
      </c>
      <c r="J79" s="17" t="s">
        <v>206</v>
      </c>
      <c r="K79" s="40">
        <v>46399</v>
      </c>
      <c r="L79" s="40">
        <v>46401</v>
      </c>
      <c r="M79" s="14" t="s">
        <v>543</v>
      </c>
      <c r="N79" s="14" t="s">
        <v>543</v>
      </c>
      <c r="O79" s="17" t="s">
        <v>544</v>
      </c>
    </row>
    <row r="80" spans="1:15" ht="27.75" hidden="1" customHeight="1" x14ac:dyDescent="0.35">
      <c r="A80" s="14" t="s">
        <v>662</v>
      </c>
      <c r="B80" s="14" t="s">
        <v>139</v>
      </c>
      <c r="C80" s="17" t="s">
        <v>561</v>
      </c>
      <c r="D80" s="41" t="s">
        <v>38</v>
      </c>
      <c r="E80" s="14" t="s">
        <v>318</v>
      </c>
      <c r="F80" s="14"/>
      <c r="G80" s="17" t="s">
        <v>74</v>
      </c>
      <c r="H80" s="25" t="s">
        <v>192</v>
      </c>
      <c r="I80" s="17">
        <v>3</v>
      </c>
      <c r="J80" s="17" t="s">
        <v>206</v>
      </c>
      <c r="K80" s="40">
        <v>46399</v>
      </c>
      <c r="L80" s="40">
        <v>46401</v>
      </c>
      <c r="M80" s="14" t="s">
        <v>543</v>
      </c>
      <c r="N80" s="14" t="s">
        <v>543</v>
      </c>
      <c r="O80" s="17" t="s">
        <v>544</v>
      </c>
    </row>
    <row r="81" spans="1:15" ht="27.75" hidden="1" customHeight="1" x14ac:dyDescent="0.35">
      <c r="A81" s="14" t="s">
        <v>663</v>
      </c>
      <c r="B81" s="14" t="s">
        <v>188</v>
      </c>
      <c r="C81" s="17" t="s">
        <v>561</v>
      </c>
      <c r="D81" s="41" t="s">
        <v>38</v>
      </c>
      <c r="E81" s="14" t="s">
        <v>319</v>
      </c>
      <c r="F81" s="14"/>
      <c r="G81" s="17" t="s">
        <v>74</v>
      </c>
      <c r="H81" s="16" t="s">
        <v>75</v>
      </c>
      <c r="I81" s="17">
        <v>5</v>
      </c>
      <c r="J81" s="17" t="s">
        <v>206</v>
      </c>
      <c r="K81" s="40">
        <v>46399</v>
      </c>
      <c r="L81" s="40">
        <v>46405</v>
      </c>
      <c r="M81" s="14" t="s">
        <v>543</v>
      </c>
      <c r="N81" s="14" t="s">
        <v>320</v>
      </c>
      <c r="O81" s="17" t="s">
        <v>544</v>
      </c>
    </row>
    <row r="82" spans="1:15" ht="27.75" hidden="1" customHeight="1" x14ac:dyDescent="0.35">
      <c r="A82" s="14" t="s">
        <v>664</v>
      </c>
      <c r="B82" s="14" t="s">
        <v>188</v>
      </c>
      <c r="C82" s="17" t="s">
        <v>561</v>
      </c>
      <c r="D82" s="41" t="s">
        <v>38</v>
      </c>
      <c r="E82" s="14" t="s">
        <v>321</v>
      </c>
      <c r="F82" s="14"/>
      <c r="G82" s="17" t="s">
        <v>236</v>
      </c>
      <c r="H82" s="16" t="s">
        <v>75</v>
      </c>
      <c r="I82" s="17">
        <v>5</v>
      </c>
      <c r="J82" s="17" t="s">
        <v>206</v>
      </c>
      <c r="K82" s="40">
        <v>46399</v>
      </c>
      <c r="L82" s="40">
        <v>46405</v>
      </c>
      <c r="M82" s="14" t="s">
        <v>665</v>
      </c>
      <c r="N82" s="14" t="s">
        <v>543</v>
      </c>
      <c r="O82" s="17" t="s">
        <v>544</v>
      </c>
    </row>
    <row r="83" spans="1:15" ht="27.75" hidden="1" customHeight="1" x14ac:dyDescent="0.35">
      <c r="A83" s="14" t="s">
        <v>666</v>
      </c>
      <c r="B83" s="14" t="s">
        <v>139</v>
      </c>
      <c r="C83" s="17" t="s">
        <v>561</v>
      </c>
      <c r="D83" s="41" t="s">
        <v>38</v>
      </c>
      <c r="E83" s="14" t="s">
        <v>323</v>
      </c>
      <c r="F83" s="14"/>
      <c r="G83" s="17" t="s">
        <v>236</v>
      </c>
      <c r="H83" s="25" t="s">
        <v>192</v>
      </c>
      <c r="I83" s="17">
        <v>3</v>
      </c>
      <c r="J83" s="17" t="s">
        <v>206</v>
      </c>
      <c r="K83" s="40">
        <v>46402</v>
      </c>
      <c r="L83" s="40">
        <v>46406</v>
      </c>
      <c r="M83" s="14" t="s">
        <v>667</v>
      </c>
      <c r="N83" s="14" t="s">
        <v>543</v>
      </c>
      <c r="O83" s="17" t="s">
        <v>544</v>
      </c>
    </row>
    <row r="84" spans="1:15" ht="27.75" hidden="1" customHeight="1" x14ac:dyDescent="0.35">
      <c r="A84" s="14" t="s">
        <v>668</v>
      </c>
      <c r="B84" s="14" t="s">
        <v>139</v>
      </c>
      <c r="C84" s="17" t="s">
        <v>561</v>
      </c>
      <c r="D84" s="41" t="s">
        <v>38</v>
      </c>
      <c r="E84" s="14" t="s">
        <v>325</v>
      </c>
      <c r="F84" s="14"/>
      <c r="G84" s="17" t="s">
        <v>74</v>
      </c>
      <c r="H84" s="25" t="s">
        <v>192</v>
      </c>
      <c r="I84" s="17">
        <v>3</v>
      </c>
      <c r="J84" s="17" t="s">
        <v>206</v>
      </c>
      <c r="K84" s="40">
        <v>46402</v>
      </c>
      <c r="L84" s="40">
        <v>46406</v>
      </c>
      <c r="M84" s="14" t="s">
        <v>543</v>
      </c>
      <c r="N84" s="14" t="s">
        <v>543</v>
      </c>
      <c r="O84" s="17" t="s">
        <v>544</v>
      </c>
    </row>
    <row r="85" spans="1:15" ht="27.75" hidden="1" customHeight="1" x14ac:dyDescent="0.35">
      <c r="A85" s="14" t="s">
        <v>669</v>
      </c>
      <c r="B85" s="14" t="s">
        <v>139</v>
      </c>
      <c r="C85" s="17" t="s">
        <v>561</v>
      </c>
      <c r="D85" s="41" t="s">
        <v>38</v>
      </c>
      <c r="E85" s="14" t="s">
        <v>326</v>
      </c>
      <c r="F85" s="14"/>
      <c r="G85" s="17" t="s">
        <v>74</v>
      </c>
      <c r="H85" s="25" t="s">
        <v>192</v>
      </c>
      <c r="I85" s="17">
        <v>3</v>
      </c>
      <c r="J85" s="17" t="s">
        <v>206</v>
      </c>
      <c r="K85" s="40">
        <v>46406</v>
      </c>
      <c r="L85" s="40">
        <v>46408</v>
      </c>
      <c r="M85" s="14" t="s">
        <v>543</v>
      </c>
      <c r="N85" s="14" t="s">
        <v>327</v>
      </c>
      <c r="O85" s="17" t="s">
        <v>544</v>
      </c>
    </row>
    <row r="86" spans="1:15" ht="27.75" hidden="1" customHeight="1" x14ac:dyDescent="0.35">
      <c r="A86" s="14" t="s">
        <v>670</v>
      </c>
      <c r="B86" s="14" t="s">
        <v>139</v>
      </c>
      <c r="C86" s="17" t="s">
        <v>561</v>
      </c>
      <c r="D86" s="41" t="s">
        <v>38</v>
      </c>
      <c r="E86" s="14" t="s">
        <v>329</v>
      </c>
      <c r="F86" s="14"/>
      <c r="G86" s="17" t="s">
        <v>252</v>
      </c>
      <c r="H86" s="19" t="s">
        <v>95</v>
      </c>
      <c r="I86" s="17">
        <v>10</v>
      </c>
      <c r="J86" s="17" t="s">
        <v>216</v>
      </c>
      <c r="K86" s="40">
        <v>46406</v>
      </c>
      <c r="L86" s="40">
        <v>46419</v>
      </c>
      <c r="M86" s="14" t="s">
        <v>543</v>
      </c>
      <c r="N86" s="14" t="s">
        <v>295</v>
      </c>
      <c r="O86" s="17" t="s">
        <v>544</v>
      </c>
    </row>
    <row r="87" spans="1:15" ht="27.75" hidden="1" customHeight="1" x14ac:dyDescent="0.35">
      <c r="A87" s="14" t="s">
        <v>672</v>
      </c>
      <c r="B87" s="14" t="s">
        <v>139</v>
      </c>
      <c r="C87" s="17" t="s">
        <v>561</v>
      </c>
      <c r="D87" s="41" t="s">
        <v>38</v>
      </c>
      <c r="E87" s="14" t="s">
        <v>331</v>
      </c>
      <c r="F87" s="14"/>
      <c r="G87" s="17" t="s">
        <v>74</v>
      </c>
      <c r="H87" s="19" t="s">
        <v>95</v>
      </c>
      <c r="I87" s="17">
        <v>10</v>
      </c>
      <c r="J87" s="17" t="s">
        <v>216</v>
      </c>
      <c r="K87" s="40">
        <v>46407</v>
      </c>
      <c r="L87" s="40">
        <v>46420</v>
      </c>
      <c r="M87" s="14" t="s">
        <v>543</v>
      </c>
      <c r="N87" s="14" t="s">
        <v>543</v>
      </c>
      <c r="O87" s="17" t="s">
        <v>544</v>
      </c>
    </row>
    <row r="88" spans="1:15" ht="27.75" hidden="1" customHeight="1" x14ac:dyDescent="0.35">
      <c r="A88" s="14" t="s">
        <v>673</v>
      </c>
      <c r="B88" s="14" t="s">
        <v>139</v>
      </c>
      <c r="C88" s="17" t="s">
        <v>561</v>
      </c>
      <c r="D88" s="41" t="s">
        <v>38</v>
      </c>
      <c r="E88" s="14" t="s">
        <v>332</v>
      </c>
      <c r="F88" s="14"/>
      <c r="G88" s="17" t="s">
        <v>236</v>
      </c>
      <c r="H88" s="25" t="s">
        <v>192</v>
      </c>
      <c r="I88" s="17">
        <v>3</v>
      </c>
      <c r="J88" s="17" t="s">
        <v>206</v>
      </c>
      <c r="K88" s="40">
        <v>46407</v>
      </c>
      <c r="L88" s="40">
        <v>46409</v>
      </c>
      <c r="M88" s="14" t="s">
        <v>674</v>
      </c>
      <c r="N88" s="14" t="s">
        <v>295</v>
      </c>
      <c r="O88" s="17" t="s">
        <v>544</v>
      </c>
    </row>
    <row r="89" spans="1:15" ht="27.75" hidden="1" customHeight="1" x14ac:dyDescent="0.35">
      <c r="A89" s="14" t="s">
        <v>676</v>
      </c>
      <c r="B89" s="14" t="s">
        <v>139</v>
      </c>
      <c r="C89" s="17" t="s">
        <v>561</v>
      </c>
      <c r="D89" s="41" t="s">
        <v>38</v>
      </c>
      <c r="E89" s="14" t="s">
        <v>334</v>
      </c>
      <c r="F89" s="14"/>
      <c r="G89" s="17" t="s">
        <v>74</v>
      </c>
      <c r="H89" s="25" t="s">
        <v>192</v>
      </c>
      <c r="I89" s="17">
        <v>3</v>
      </c>
      <c r="J89" s="17" t="s">
        <v>206</v>
      </c>
      <c r="K89" s="40">
        <v>46409</v>
      </c>
      <c r="L89" s="40">
        <v>46413</v>
      </c>
      <c r="M89" s="14" t="s">
        <v>543</v>
      </c>
      <c r="N89" s="14" t="s">
        <v>543</v>
      </c>
      <c r="O89" s="17" t="s">
        <v>544</v>
      </c>
    </row>
    <row r="90" spans="1:15" ht="27.75" hidden="1" customHeight="1" x14ac:dyDescent="0.35">
      <c r="A90" s="14" t="s">
        <v>678</v>
      </c>
      <c r="B90" s="14" t="s">
        <v>139</v>
      </c>
      <c r="C90" s="17" t="s">
        <v>561</v>
      </c>
      <c r="D90" s="41" t="s">
        <v>38</v>
      </c>
      <c r="E90" s="14" t="s">
        <v>336</v>
      </c>
      <c r="F90" s="14"/>
      <c r="G90" s="17" t="s">
        <v>74</v>
      </c>
      <c r="H90" s="22" t="s">
        <v>147</v>
      </c>
      <c r="I90" s="17">
        <v>20</v>
      </c>
      <c r="J90" s="17" t="s">
        <v>298</v>
      </c>
      <c r="K90" s="40">
        <v>46412</v>
      </c>
      <c r="L90" s="40">
        <v>46437</v>
      </c>
      <c r="M90" s="14" t="s">
        <v>679</v>
      </c>
      <c r="N90" s="14" t="s">
        <v>295</v>
      </c>
      <c r="O90" s="17" t="s">
        <v>544</v>
      </c>
    </row>
    <row r="91" spans="1:15" ht="27.75" hidden="1" customHeight="1" x14ac:dyDescent="0.35">
      <c r="A91" s="14" t="s">
        <v>680</v>
      </c>
      <c r="B91" s="14" t="s">
        <v>139</v>
      </c>
      <c r="C91" s="17" t="s">
        <v>561</v>
      </c>
      <c r="D91" s="41" t="s">
        <v>38</v>
      </c>
      <c r="E91" s="14" t="s">
        <v>338</v>
      </c>
      <c r="F91" s="14"/>
      <c r="G91" s="17" t="s">
        <v>252</v>
      </c>
      <c r="H91" s="16" t="s">
        <v>75</v>
      </c>
      <c r="I91" s="17">
        <v>5</v>
      </c>
      <c r="J91" s="17" t="s">
        <v>219</v>
      </c>
      <c r="K91" s="40">
        <v>46414</v>
      </c>
      <c r="L91" s="40">
        <v>46420</v>
      </c>
      <c r="M91" s="14" t="s">
        <v>681</v>
      </c>
      <c r="N91" s="14" t="s">
        <v>339</v>
      </c>
      <c r="O91" s="17" t="s">
        <v>544</v>
      </c>
    </row>
    <row r="92" spans="1:15" ht="27.75" hidden="1" customHeight="1" x14ac:dyDescent="0.35">
      <c r="A92" s="14" t="s">
        <v>683</v>
      </c>
      <c r="B92" s="14" t="s">
        <v>139</v>
      </c>
      <c r="C92" s="17" t="s">
        <v>561</v>
      </c>
      <c r="D92" s="41" t="s">
        <v>38</v>
      </c>
      <c r="E92" s="14" t="s">
        <v>341</v>
      </c>
      <c r="F92" s="14"/>
      <c r="G92" s="17" t="s">
        <v>74</v>
      </c>
      <c r="H92" s="22" t="s">
        <v>147</v>
      </c>
      <c r="I92" s="17">
        <v>20</v>
      </c>
      <c r="J92" s="17" t="s">
        <v>222</v>
      </c>
      <c r="K92" s="40">
        <v>46420</v>
      </c>
      <c r="L92" s="40">
        <v>46447</v>
      </c>
      <c r="M92" s="14" t="s">
        <v>684</v>
      </c>
      <c r="N92" s="14" t="s">
        <v>295</v>
      </c>
      <c r="O92" s="17" t="s">
        <v>544</v>
      </c>
    </row>
    <row r="93" spans="1:15" ht="27.75" hidden="1" customHeight="1" x14ac:dyDescent="0.35">
      <c r="A93" s="14" t="s">
        <v>685</v>
      </c>
      <c r="B93" s="14" t="s">
        <v>139</v>
      </c>
      <c r="C93" s="17" t="s">
        <v>561</v>
      </c>
      <c r="D93" s="41" t="s">
        <v>38</v>
      </c>
      <c r="E93" s="14" t="s">
        <v>343</v>
      </c>
      <c r="F93" s="14"/>
      <c r="G93" s="17" t="s">
        <v>236</v>
      </c>
      <c r="H93" s="22" t="s">
        <v>147</v>
      </c>
      <c r="I93" s="17">
        <v>20</v>
      </c>
      <c r="J93" s="17" t="s">
        <v>222</v>
      </c>
      <c r="K93" s="40">
        <v>46421</v>
      </c>
      <c r="L93" s="40">
        <v>46448</v>
      </c>
      <c r="M93" s="14" t="s">
        <v>686</v>
      </c>
      <c r="N93" s="14" t="s">
        <v>295</v>
      </c>
      <c r="O93" s="17" t="s">
        <v>544</v>
      </c>
    </row>
    <row r="94" spans="1:15" ht="27.75" hidden="1" customHeight="1" x14ac:dyDescent="0.35">
      <c r="A94" s="14" t="s">
        <v>688</v>
      </c>
      <c r="B94" s="14" t="s">
        <v>139</v>
      </c>
      <c r="C94" s="17" t="s">
        <v>561</v>
      </c>
      <c r="D94" s="41" t="s">
        <v>38</v>
      </c>
      <c r="E94" s="14" t="s">
        <v>345</v>
      </c>
      <c r="F94" s="14"/>
      <c r="G94" s="17" t="s">
        <v>236</v>
      </c>
      <c r="H94" s="22" t="s">
        <v>147</v>
      </c>
      <c r="I94" s="17">
        <v>20</v>
      </c>
      <c r="J94" s="17" t="s">
        <v>222</v>
      </c>
      <c r="K94" s="40">
        <v>46421</v>
      </c>
      <c r="L94" s="40">
        <v>46448</v>
      </c>
      <c r="M94" s="14" t="s">
        <v>689</v>
      </c>
      <c r="N94" s="14" t="s">
        <v>295</v>
      </c>
      <c r="O94" s="17" t="s">
        <v>544</v>
      </c>
    </row>
    <row r="95" spans="1:15" ht="27.75" hidden="1" customHeight="1" x14ac:dyDescent="0.35">
      <c r="A95" s="14" t="s">
        <v>690</v>
      </c>
      <c r="B95" s="14" t="s">
        <v>139</v>
      </c>
      <c r="C95" s="17" t="s">
        <v>561</v>
      </c>
      <c r="D95" s="41" t="s">
        <v>38</v>
      </c>
      <c r="E95" s="14" t="s">
        <v>347</v>
      </c>
      <c r="F95" s="14"/>
      <c r="G95" s="17" t="s">
        <v>74</v>
      </c>
      <c r="H95" s="16" t="s">
        <v>75</v>
      </c>
      <c r="I95" s="17">
        <v>5</v>
      </c>
      <c r="J95" s="17" t="s">
        <v>305</v>
      </c>
      <c r="K95" s="40">
        <v>46440</v>
      </c>
      <c r="L95" s="40">
        <v>46444</v>
      </c>
      <c r="M95" s="14" t="s">
        <v>691</v>
      </c>
      <c r="N95" s="14" t="s">
        <v>348</v>
      </c>
      <c r="O95" s="17" t="s">
        <v>544</v>
      </c>
    </row>
    <row r="96" spans="1:15" ht="27.75" hidden="1" customHeight="1" x14ac:dyDescent="0.35">
      <c r="A96" s="14" t="s">
        <v>692</v>
      </c>
      <c r="B96" s="14" t="s">
        <v>139</v>
      </c>
      <c r="C96" s="17" t="s">
        <v>561</v>
      </c>
      <c r="D96" s="41" t="s">
        <v>38</v>
      </c>
      <c r="E96" s="14" t="s">
        <v>350</v>
      </c>
      <c r="F96" s="14"/>
      <c r="G96" s="17" t="s">
        <v>74</v>
      </c>
      <c r="H96" s="22" t="s">
        <v>147</v>
      </c>
      <c r="I96" s="17">
        <v>20</v>
      </c>
      <c r="J96" s="17" t="s">
        <v>256</v>
      </c>
      <c r="K96" s="40">
        <v>46447</v>
      </c>
      <c r="L96" s="40">
        <v>46477</v>
      </c>
      <c r="M96" s="14" t="s">
        <v>543</v>
      </c>
      <c r="N96" s="14" t="s">
        <v>351</v>
      </c>
      <c r="O96" s="17" t="s">
        <v>544</v>
      </c>
    </row>
    <row r="97" spans="1:15" ht="27.75" hidden="1" customHeight="1" x14ac:dyDescent="0.35">
      <c r="A97" s="14" t="s">
        <v>693</v>
      </c>
      <c r="B97" s="14" t="s">
        <v>139</v>
      </c>
      <c r="C97" s="17" t="s">
        <v>561</v>
      </c>
      <c r="D97" s="41" t="s">
        <v>38</v>
      </c>
      <c r="E97" s="14" t="s">
        <v>352</v>
      </c>
      <c r="F97" s="14"/>
      <c r="G97" s="17" t="s">
        <v>74</v>
      </c>
      <c r="H97" s="25" t="s">
        <v>192</v>
      </c>
      <c r="I97" s="17">
        <v>3</v>
      </c>
      <c r="J97" s="17" t="s">
        <v>309</v>
      </c>
      <c r="K97" s="40">
        <v>46448</v>
      </c>
      <c r="L97" s="40">
        <v>46450</v>
      </c>
      <c r="M97" s="14" t="s">
        <v>543</v>
      </c>
      <c r="N97" s="14" t="s">
        <v>295</v>
      </c>
      <c r="O97" s="17" t="s">
        <v>544</v>
      </c>
    </row>
    <row r="98" spans="1:15" ht="27.75" hidden="1" customHeight="1" x14ac:dyDescent="0.35">
      <c r="A98" s="14" t="s">
        <v>694</v>
      </c>
      <c r="B98" s="14" t="s">
        <v>139</v>
      </c>
      <c r="C98" s="17" t="s">
        <v>561</v>
      </c>
      <c r="D98" s="41" t="s">
        <v>38</v>
      </c>
      <c r="E98" s="14" t="s">
        <v>353</v>
      </c>
      <c r="F98" s="14"/>
      <c r="G98" s="17" t="s">
        <v>74</v>
      </c>
      <c r="H98" s="16" t="s">
        <v>75</v>
      </c>
      <c r="I98" s="17">
        <v>5</v>
      </c>
      <c r="J98" s="17" t="s">
        <v>309</v>
      </c>
      <c r="K98" s="40">
        <v>46449</v>
      </c>
      <c r="L98" s="40">
        <v>46455</v>
      </c>
      <c r="M98" s="14" t="s">
        <v>543</v>
      </c>
      <c r="N98" s="14" t="s">
        <v>295</v>
      </c>
      <c r="O98" s="17" t="s">
        <v>544</v>
      </c>
    </row>
    <row r="99" spans="1:15" ht="27.75" hidden="1" customHeight="1" x14ac:dyDescent="0.35">
      <c r="A99" s="14" t="s">
        <v>695</v>
      </c>
      <c r="B99" s="14" t="s">
        <v>139</v>
      </c>
      <c r="C99" s="17" t="s">
        <v>561</v>
      </c>
      <c r="D99" s="41" t="s">
        <v>38</v>
      </c>
      <c r="E99" s="14" t="s">
        <v>354</v>
      </c>
      <c r="F99" s="14"/>
      <c r="G99" s="17" t="s">
        <v>74</v>
      </c>
      <c r="H99" s="16" t="s">
        <v>75</v>
      </c>
      <c r="I99" s="17">
        <v>5</v>
      </c>
      <c r="J99" s="17" t="s">
        <v>309</v>
      </c>
      <c r="K99" s="40">
        <v>46449</v>
      </c>
      <c r="L99" s="40">
        <v>46455</v>
      </c>
      <c r="M99" s="14" t="s">
        <v>543</v>
      </c>
      <c r="N99" s="14" t="s">
        <v>295</v>
      </c>
      <c r="O99" s="17" t="s">
        <v>544</v>
      </c>
    </row>
    <row r="100" spans="1:15" ht="27.75" hidden="1" customHeight="1" x14ac:dyDescent="0.35">
      <c r="A100" s="14" t="s">
        <v>696</v>
      </c>
      <c r="B100" s="14" t="s">
        <v>139</v>
      </c>
      <c r="C100" s="17" t="s">
        <v>561</v>
      </c>
      <c r="D100" s="41" t="s">
        <v>38</v>
      </c>
      <c r="E100" s="14" t="s">
        <v>355</v>
      </c>
      <c r="F100" s="14"/>
      <c r="G100" s="17" t="s">
        <v>74</v>
      </c>
      <c r="H100" s="19" t="s">
        <v>95</v>
      </c>
      <c r="I100" s="17">
        <v>10</v>
      </c>
      <c r="J100" s="17" t="s">
        <v>256</v>
      </c>
      <c r="K100" s="40">
        <v>46451</v>
      </c>
      <c r="L100" s="40">
        <v>46464</v>
      </c>
      <c r="M100" s="14" t="s">
        <v>543</v>
      </c>
      <c r="N100" s="14" t="s">
        <v>295</v>
      </c>
      <c r="O100" s="17" t="s">
        <v>544</v>
      </c>
    </row>
    <row r="101" spans="1:15" ht="27.75" hidden="1" customHeight="1" x14ac:dyDescent="0.35">
      <c r="A101" s="14" t="s">
        <v>697</v>
      </c>
      <c r="B101" s="14" t="s">
        <v>139</v>
      </c>
      <c r="C101" s="17" t="s">
        <v>561</v>
      </c>
      <c r="D101" s="41" t="s">
        <v>38</v>
      </c>
      <c r="E101" s="14" t="s">
        <v>356</v>
      </c>
      <c r="F101" s="14"/>
      <c r="G101" s="17" t="s">
        <v>74</v>
      </c>
      <c r="H101" s="16" t="s">
        <v>75</v>
      </c>
      <c r="I101" s="17">
        <v>5</v>
      </c>
      <c r="J101" s="17" t="s">
        <v>256</v>
      </c>
      <c r="K101" s="40">
        <v>46456</v>
      </c>
      <c r="L101" s="40">
        <v>46462</v>
      </c>
      <c r="M101" s="14" t="s">
        <v>543</v>
      </c>
      <c r="N101" s="14" t="s">
        <v>357</v>
      </c>
      <c r="O101" s="17" t="s">
        <v>544</v>
      </c>
    </row>
    <row r="102" spans="1:15" ht="27.75" hidden="1" customHeight="1" x14ac:dyDescent="0.35">
      <c r="A102" s="14" t="s">
        <v>698</v>
      </c>
      <c r="B102" s="14" t="s">
        <v>139</v>
      </c>
      <c r="C102" s="17" t="s">
        <v>561</v>
      </c>
      <c r="D102" s="41" t="s">
        <v>38</v>
      </c>
      <c r="E102" s="14" t="s">
        <v>358</v>
      </c>
      <c r="F102" s="14"/>
      <c r="G102" s="17" t="s">
        <v>74</v>
      </c>
      <c r="H102" s="16" t="s">
        <v>75</v>
      </c>
      <c r="I102" s="17">
        <v>5</v>
      </c>
      <c r="J102" s="17" t="s">
        <v>256</v>
      </c>
      <c r="K102" s="40">
        <v>46456</v>
      </c>
      <c r="L102" s="40">
        <v>46462</v>
      </c>
      <c r="M102" s="14" t="s">
        <v>558</v>
      </c>
      <c r="N102" s="14" t="s">
        <v>295</v>
      </c>
      <c r="O102" s="17" t="s">
        <v>544</v>
      </c>
    </row>
    <row r="103" spans="1:15" ht="27.75" hidden="1" customHeight="1" x14ac:dyDescent="0.35">
      <c r="A103" s="14" t="s">
        <v>699</v>
      </c>
      <c r="B103" s="14" t="s">
        <v>139</v>
      </c>
      <c r="C103" s="17" t="s">
        <v>561</v>
      </c>
      <c r="D103" s="41" t="s">
        <v>38</v>
      </c>
      <c r="E103" s="14" t="s">
        <v>360</v>
      </c>
      <c r="F103" s="14"/>
      <c r="G103" s="17" t="s">
        <v>74</v>
      </c>
      <c r="H103" s="25" t="s">
        <v>192</v>
      </c>
      <c r="I103" s="17">
        <v>3</v>
      </c>
      <c r="J103" s="17" t="s">
        <v>258</v>
      </c>
      <c r="K103" s="40">
        <v>46463</v>
      </c>
      <c r="L103" s="40">
        <v>46465</v>
      </c>
      <c r="M103" s="14" t="s">
        <v>700</v>
      </c>
      <c r="N103" s="14" t="s">
        <v>543</v>
      </c>
      <c r="O103" s="17" t="s">
        <v>544</v>
      </c>
    </row>
    <row r="104" spans="1:15" ht="27.75" hidden="1" customHeight="1" x14ac:dyDescent="0.35">
      <c r="A104" s="14" t="s">
        <v>701</v>
      </c>
      <c r="B104" s="14" t="s">
        <v>139</v>
      </c>
      <c r="C104" s="17" t="s">
        <v>561</v>
      </c>
      <c r="D104" s="41" t="s">
        <v>38</v>
      </c>
      <c r="E104" s="14" t="s">
        <v>362</v>
      </c>
      <c r="F104" s="14"/>
      <c r="G104" s="17" t="s">
        <v>236</v>
      </c>
      <c r="H104" s="16" t="s">
        <v>75</v>
      </c>
      <c r="I104" s="17">
        <v>5</v>
      </c>
      <c r="J104" s="17" t="s">
        <v>258</v>
      </c>
      <c r="K104" s="40">
        <v>46463</v>
      </c>
      <c r="L104" s="40">
        <v>46470</v>
      </c>
      <c r="M104" s="14" t="s">
        <v>702</v>
      </c>
      <c r="N104" s="14" t="s">
        <v>363</v>
      </c>
      <c r="O104" s="17" t="s">
        <v>544</v>
      </c>
    </row>
    <row r="105" spans="1:15" ht="27.75" hidden="1" customHeight="1" x14ac:dyDescent="0.35">
      <c r="A105" s="14" t="s">
        <v>704</v>
      </c>
      <c r="B105" s="14" t="s">
        <v>139</v>
      </c>
      <c r="C105" s="17" t="s">
        <v>561</v>
      </c>
      <c r="D105" s="41" t="s">
        <v>38</v>
      </c>
      <c r="E105" s="14" t="s">
        <v>365</v>
      </c>
      <c r="F105" s="14"/>
      <c r="G105" s="17" t="s">
        <v>252</v>
      </c>
      <c r="H105" s="16" t="s">
        <v>75</v>
      </c>
      <c r="I105" s="17">
        <v>5</v>
      </c>
      <c r="J105" s="17" t="s">
        <v>258</v>
      </c>
      <c r="K105" s="40">
        <v>46465</v>
      </c>
      <c r="L105" s="40">
        <v>46476</v>
      </c>
      <c r="M105" s="14" t="s">
        <v>705</v>
      </c>
      <c r="N105" s="14" t="s">
        <v>543</v>
      </c>
      <c r="O105" s="17" t="s">
        <v>544</v>
      </c>
    </row>
    <row r="106" spans="1:15" ht="27.75" hidden="1" customHeight="1" x14ac:dyDescent="0.35">
      <c r="A106" s="14" t="s">
        <v>707</v>
      </c>
      <c r="B106" s="14" t="s">
        <v>139</v>
      </c>
      <c r="C106" s="17" t="s">
        <v>561</v>
      </c>
      <c r="D106" s="41" t="s">
        <v>38</v>
      </c>
      <c r="E106" s="14" t="s">
        <v>367</v>
      </c>
      <c r="F106" s="14"/>
      <c r="G106" s="17" t="s">
        <v>236</v>
      </c>
      <c r="H106" s="19" t="s">
        <v>95</v>
      </c>
      <c r="I106" s="17">
        <v>10</v>
      </c>
      <c r="J106" s="17" t="s">
        <v>368</v>
      </c>
      <c r="K106" s="40">
        <v>46469</v>
      </c>
      <c r="L106" s="40">
        <v>46484</v>
      </c>
      <c r="M106" s="14" t="s">
        <v>708</v>
      </c>
      <c r="N106" s="14" t="s">
        <v>543</v>
      </c>
      <c r="O106" s="17" t="s">
        <v>544</v>
      </c>
    </row>
    <row r="107" spans="1:15" ht="27.75" hidden="1" customHeight="1" x14ac:dyDescent="0.35">
      <c r="A107" s="14" t="s">
        <v>710</v>
      </c>
      <c r="B107" s="14" t="s">
        <v>139</v>
      </c>
      <c r="C107" s="17" t="s">
        <v>561</v>
      </c>
      <c r="D107" s="41" t="s">
        <v>38</v>
      </c>
      <c r="E107" s="14" t="s">
        <v>370</v>
      </c>
      <c r="F107" s="14"/>
      <c r="G107" s="17" t="s">
        <v>74</v>
      </c>
      <c r="H107" s="19" t="s">
        <v>95</v>
      </c>
      <c r="I107" s="17">
        <v>10</v>
      </c>
      <c r="J107" s="17" t="s">
        <v>368</v>
      </c>
      <c r="K107" s="40">
        <v>46475</v>
      </c>
      <c r="L107" s="40">
        <v>46486</v>
      </c>
      <c r="M107" s="14" t="s">
        <v>711</v>
      </c>
      <c r="N107" s="14" t="s">
        <v>295</v>
      </c>
      <c r="O107" s="17" t="s">
        <v>544</v>
      </c>
    </row>
    <row r="108" spans="1:15" ht="27.75" hidden="1" customHeight="1" x14ac:dyDescent="0.35">
      <c r="A108" s="14" t="s">
        <v>712</v>
      </c>
      <c r="B108" s="14" t="s">
        <v>372</v>
      </c>
      <c r="C108" s="17" t="s">
        <v>713</v>
      </c>
      <c r="D108" s="7" t="s">
        <v>42</v>
      </c>
      <c r="E108" s="14" t="s">
        <v>373</v>
      </c>
      <c r="F108" s="14"/>
      <c r="G108" s="17" t="s">
        <v>236</v>
      </c>
      <c r="H108" s="19" t="s">
        <v>95</v>
      </c>
      <c r="I108" s="17">
        <v>10</v>
      </c>
      <c r="J108" s="17" t="s">
        <v>290</v>
      </c>
      <c r="K108" s="40">
        <v>46527</v>
      </c>
      <c r="L108" s="40">
        <v>46541</v>
      </c>
      <c r="M108" s="14" t="s">
        <v>714</v>
      </c>
      <c r="N108" s="14" t="s">
        <v>543</v>
      </c>
      <c r="O108" s="17" t="s">
        <v>544</v>
      </c>
    </row>
    <row r="109" spans="1:15" ht="27.75" hidden="1" customHeight="1" x14ac:dyDescent="0.35">
      <c r="A109" s="14" t="s">
        <v>716</v>
      </c>
      <c r="B109" s="14" t="s">
        <v>372</v>
      </c>
      <c r="C109" s="17" t="s">
        <v>713</v>
      </c>
      <c r="D109" s="7" t="s">
        <v>42</v>
      </c>
      <c r="E109" s="14" t="s">
        <v>375</v>
      </c>
      <c r="F109" s="14"/>
      <c r="G109" s="17" t="s">
        <v>236</v>
      </c>
      <c r="H109" s="16" t="s">
        <v>75</v>
      </c>
      <c r="I109" s="17">
        <v>5</v>
      </c>
      <c r="J109" s="17" t="s">
        <v>290</v>
      </c>
      <c r="K109" s="40">
        <v>46527</v>
      </c>
      <c r="L109" s="40">
        <v>46533</v>
      </c>
      <c r="M109" s="14" t="s">
        <v>543</v>
      </c>
      <c r="N109" s="14" t="s">
        <v>543</v>
      </c>
      <c r="O109" s="17" t="s">
        <v>544</v>
      </c>
    </row>
    <row r="110" spans="1:15" ht="27.75" hidden="1" customHeight="1" x14ac:dyDescent="0.35">
      <c r="A110" s="14" t="s">
        <v>717</v>
      </c>
      <c r="B110" s="14" t="s">
        <v>372</v>
      </c>
      <c r="C110" s="17" t="s">
        <v>713</v>
      </c>
      <c r="D110" s="7" t="s">
        <v>42</v>
      </c>
      <c r="E110" s="14" t="s">
        <v>377</v>
      </c>
      <c r="F110" s="14"/>
      <c r="G110" s="17" t="s">
        <v>236</v>
      </c>
      <c r="H110" s="25" t="s">
        <v>192</v>
      </c>
      <c r="I110" s="17">
        <v>3</v>
      </c>
      <c r="J110" s="17" t="s">
        <v>290</v>
      </c>
      <c r="K110" s="40">
        <v>46534</v>
      </c>
      <c r="L110" s="40">
        <v>46539</v>
      </c>
      <c r="M110" s="14" t="s">
        <v>543</v>
      </c>
      <c r="N110" s="14" t="s">
        <v>543</v>
      </c>
      <c r="O110" s="17" t="s">
        <v>544</v>
      </c>
    </row>
    <row r="111" spans="1:15" ht="27.75" hidden="1" customHeight="1" x14ac:dyDescent="0.35">
      <c r="A111" s="14" t="s">
        <v>718</v>
      </c>
      <c r="B111" s="14" t="s">
        <v>372</v>
      </c>
      <c r="C111" s="17" t="s">
        <v>713</v>
      </c>
      <c r="D111" s="7" t="s">
        <v>42</v>
      </c>
      <c r="E111" s="14" t="s">
        <v>378</v>
      </c>
      <c r="F111" s="14"/>
      <c r="G111" s="17" t="s">
        <v>236</v>
      </c>
      <c r="H111" s="16" t="s">
        <v>75</v>
      </c>
      <c r="I111" s="17">
        <v>5</v>
      </c>
      <c r="J111" s="17" t="s">
        <v>293</v>
      </c>
      <c r="K111" s="40">
        <v>46540</v>
      </c>
      <c r="L111" s="40">
        <v>46547</v>
      </c>
      <c r="M111" s="14" t="s">
        <v>543</v>
      </c>
      <c r="N111" s="14" t="s">
        <v>543</v>
      </c>
      <c r="O111" s="17" t="s">
        <v>544</v>
      </c>
    </row>
    <row r="112" spans="1:15" ht="27.75" hidden="1" customHeight="1" x14ac:dyDescent="0.35">
      <c r="A112" s="14" t="s">
        <v>719</v>
      </c>
      <c r="B112" s="14" t="s">
        <v>372</v>
      </c>
      <c r="C112" s="17" t="s">
        <v>713</v>
      </c>
      <c r="D112" s="7" t="s">
        <v>42</v>
      </c>
      <c r="E112" s="14" t="s">
        <v>379</v>
      </c>
      <c r="F112" s="14"/>
      <c r="G112" s="17" t="s">
        <v>236</v>
      </c>
      <c r="H112" s="16" t="s">
        <v>75</v>
      </c>
      <c r="I112" s="17">
        <v>5</v>
      </c>
      <c r="J112" s="17" t="s">
        <v>293</v>
      </c>
      <c r="K112" s="40">
        <v>46542</v>
      </c>
      <c r="L112" s="40">
        <v>46549</v>
      </c>
      <c r="M112" s="14" t="s">
        <v>543</v>
      </c>
      <c r="N112" s="14" t="s">
        <v>543</v>
      </c>
      <c r="O112" s="17" t="s">
        <v>544</v>
      </c>
    </row>
    <row r="113" spans="1:15" ht="27.75" hidden="1" customHeight="1" x14ac:dyDescent="0.35">
      <c r="A113" s="14" t="s">
        <v>720</v>
      </c>
      <c r="B113" s="14" t="s">
        <v>372</v>
      </c>
      <c r="C113" s="17" t="s">
        <v>713</v>
      </c>
      <c r="D113" s="7" t="s">
        <v>42</v>
      </c>
      <c r="E113" s="14" t="s">
        <v>380</v>
      </c>
      <c r="F113" s="14"/>
      <c r="G113" s="17" t="s">
        <v>236</v>
      </c>
      <c r="H113" s="25" t="s">
        <v>192</v>
      </c>
      <c r="I113" s="17">
        <v>3</v>
      </c>
      <c r="J113" s="17" t="s">
        <v>381</v>
      </c>
      <c r="K113" s="40">
        <v>46548</v>
      </c>
      <c r="L113" s="40">
        <v>46552</v>
      </c>
      <c r="M113" s="14" t="s">
        <v>543</v>
      </c>
      <c r="N113" s="14" t="s">
        <v>543</v>
      </c>
      <c r="O113" s="17" t="s">
        <v>544</v>
      </c>
    </row>
    <row r="114" spans="1:15" ht="27.75" hidden="1" customHeight="1" x14ac:dyDescent="0.35">
      <c r="A114" s="14" t="s">
        <v>721</v>
      </c>
      <c r="B114" s="14" t="s">
        <v>372</v>
      </c>
      <c r="C114" s="17" t="s">
        <v>713</v>
      </c>
      <c r="D114" s="7" t="s">
        <v>42</v>
      </c>
      <c r="E114" s="14" t="s">
        <v>382</v>
      </c>
      <c r="F114" s="14"/>
      <c r="G114" s="17" t="s">
        <v>74</v>
      </c>
      <c r="H114" s="16" t="s">
        <v>75</v>
      </c>
      <c r="I114" s="17">
        <v>5</v>
      </c>
      <c r="J114" s="17" t="s">
        <v>381</v>
      </c>
      <c r="K114" s="40">
        <v>46552</v>
      </c>
      <c r="L114" s="40">
        <v>46556</v>
      </c>
      <c r="M114" s="14" t="s">
        <v>722</v>
      </c>
      <c r="N114" s="14" t="s">
        <v>543</v>
      </c>
      <c r="O114" s="17" t="s">
        <v>544</v>
      </c>
    </row>
    <row r="115" spans="1:15" ht="27.75" hidden="1" customHeight="1" x14ac:dyDescent="0.35">
      <c r="A115" s="14" t="s">
        <v>723</v>
      </c>
      <c r="B115" s="14" t="s">
        <v>384</v>
      </c>
      <c r="C115" s="17" t="s">
        <v>713</v>
      </c>
      <c r="D115" s="7" t="s">
        <v>42</v>
      </c>
      <c r="E115" s="14" t="s">
        <v>385</v>
      </c>
      <c r="F115" s="14"/>
      <c r="G115" s="17" t="s">
        <v>74</v>
      </c>
      <c r="H115" s="16" t="s">
        <v>75</v>
      </c>
      <c r="I115" s="17">
        <v>5</v>
      </c>
      <c r="J115" s="17" t="s">
        <v>381</v>
      </c>
      <c r="K115" s="40">
        <v>46553</v>
      </c>
      <c r="L115" s="40">
        <v>46559</v>
      </c>
      <c r="M115" s="14" t="s">
        <v>543</v>
      </c>
      <c r="N115" s="14" t="s">
        <v>543</v>
      </c>
      <c r="O115" s="17" t="s">
        <v>544</v>
      </c>
    </row>
    <row r="116" spans="1:15" ht="27.75" hidden="1" customHeight="1" x14ac:dyDescent="0.35">
      <c r="A116" s="14" t="s">
        <v>724</v>
      </c>
      <c r="B116" s="14" t="s">
        <v>384</v>
      </c>
      <c r="C116" s="17" t="s">
        <v>713</v>
      </c>
      <c r="D116" s="7" t="s">
        <v>42</v>
      </c>
      <c r="E116" s="14" t="s">
        <v>386</v>
      </c>
      <c r="F116" s="14"/>
      <c r="G116" s="17" t="s">
        <v>74</v>
      </c>
      <c r="H116" s="16" t="s">
        <v>75</v>
      </c>
      <c r="I116" s="17">
        <v>5</v>
      </c>
      <c r="J116" s="17" t="s">
        <v>387</v>
      </c>
      <c r="K116" s="40">
        <v>46559</v>
      </c>
      <c r="L116" s="40">
        <v>46563</v>
      </c>
      <c r="M116" s="14" t="s">
        <v>543</v>
      </c>
      <c r="N116" s="14" t="s">
        <v>543</v>
      </c>
      <c r="O116" s="17" t="s">
        <v>544</v>
      </c>
    </row>
    <row r="117" spans="1:15" ht="27.75" hidden="1" customHeight="1" x14ac:dyDescent="0.35">
      <c r="A117" s="14" t="s">
        <v>725</v>
      </c>
      <c r="B117" s="14" t="s">
        <v>384</v>
      </c>
      <c r="C117" s="17" t="s">
        <v>713</v>
      </c>
      <c r="D117" s="7" t="s">
        <v>42</v>
      </c>
      <c r="E117" s="14" t="s">
        <v>388</v>
      </c>
      <c r="F117" s="14"/>
      <c r="G117" s="17" t="s">
        <v>74</v>
      </c>
      <c r="H117" s="16" t="s">
        <v>75</v>
      </c>
      <c r="I117" s="17">
        <v>5</v>
      </c>
      <c r="J117" s="17" t="s">
        <v>387</v>
      </c>
      <c r="K117" s="40">
        <v>46560</v>
      </c>
      <c r="L117" s="40">
        <v>46566</v>
      </c>
      <c r="M117" s="14" t="s">
        <v>543</v>
      </c>
      <c r="N117" s="14" t="s">
        <v>543</v>
      </c>
      <c r="O117" s="17" t="s">
        <v>544</v>
      </c>
    </row>
    <row r="118" spans="1:15" ht="27.75" hidden="1" customHeight="1" x14ac:dyDescent="0.35">
      <c r="A118" s="14" t="s">
        <v>726</v>
      </c>
      <c r="B118" s="14" t="s">
        <v>384</v>
      </c>
      <c r="C118" s="17" t="s">
        <v>713</v>
      </c>
      <c r="D118" s="7" t="s">
        <v>42</v>
      </c>
      <c r="E118" s="14" t="s">
        <v>389</v>
      </c>
      <c r="F118" s="14"/>
      <c r="G118" s="17" t="s">
        <v>74</v>
      </c>
      <c r="H118" s="25" t="s">
        <v>192</v>
      </c>
      <c r="I118" s="17">
        <v>3</v>
      </c>
      <c r="J118" s="17" t="s">
        <v>390</v>
      </c>
      <c r="K118" s="40">
        <v>46566</v>
      </c>
      <c r="L118" s="40">
        <v>46568</v>
      </c>
      <c r="M118" s="14" t="s">
        <v>543</v>
      </c>
      <c r="N118" s="14" t="s">
        <v>543</v>
      </c>
      <c r="O118" s="17" t="s">
        <v>544</v>
      </c>
    </row>
    <row r="119" spans="1:15" ht="27.75" hidden="1" customHeight="1" x14ac:dyDescent="0.35">
      <c r="A119" s="14" t="s">
        <v>727</v>
      </c>
      <c r="B119" s="14" t="s">
        <v>384</v>
      </c>
      <c r="C119" s="17" t="s">
        <v>713</v>
      </c>
      <c r="D119" s="7" t="s">
        <v>42</v>
      </c>
      <c r="E119" s="14" t="s">
        <v>391</v>
      </c>
      <c r="F119" s="14"/>
      <c r="G119" s="17" t="s">
        <v>74</v>
      </c>
      <c r="H119" s="19" t="s">
        <v>95</v>
      </c>
      <c r="I119" s="17">
        <v>10</v>
      </c>
      <c r="J119" s="17" t="s">
        <v>392</v>
      </c>
      <c r="K119" s="40">
        <v>46567</v>
      </c>
      <c r="L119" s="40">
        <v>46581</v>
      </c>
      <c r="M119" s="14" t="s">
        <v>543</v>
      </c>
      <c r="N119" s="14" t="s">
        <v>543</v>
      </c>
      <c r="O119" s="17" t="s">
        <v>544</v>
      </c>
    </row>
    <row r="120" spans="1:15" ht="27.75" hidden="1" customHeight="1" x14ac:dyDescent="0.35">
      <c r="A120" s="14" t="s">
        <v>728</v>
      </c>
      <c r="B120" s="14" t="s">
        <v>384</v>
      </c>
      <c r="C120" s="17" t="s">
        <v>713</v>
      </c>
      <c r="D120" s="7" t="s">
        <v>42</v>
      </c>
      <c r="E120" s="14" t="s">
        <v>393</v>
      </c>
      <c r="F120" s="14"/>
      <c r="G120" s="17" t="s">
        <v>74</v>
      </c>
      <c r="H120" s="25" t="s">
        <v>192</v>
      </c>
      <c r="I120" s="17">
        <v>3</v>
      </c>
      <c r="J120" s="17" t="s">
        <v>390</v>
      </c>
      <c r="K120" s="40">
        <v>46569</v>
      </c>
      <c r="L120" s="40">
        <v>46574</v>
      </c>
      <c r="M120" s="14" t="s">
        <v>543</v>
      </c>
      <c r="N120" s="14" t="s">
        <v>543</v>
      </c>
      <c r="O120" s="17" t="s">
        <v>544</v>
      </c>
    </row>
    <row r="121" spans="1:15" ht="27.75" hidden="1" customHeight="1" x14ac:dyDescent="0.35">
      <c r="A121" s="14" t="s">
        <v>729</v>
      </c>
      <c r="B121" s="14" t="s">
        <v>384</v>
      </c>
      <c r="C121" s="17" t="s">
        <v>713</v>
      </c>
      <c r="D121" s="7" t="s">
        <v>42</v>
      </c>
      <c r="E121" s="14" t="s">
        <v>394</v>
      </c>
      <c r="F121" s="14"/>
      <c r="G121" s="17" t="s">
        <v>74</v>
      </c>
      <c r="H121" s="25" t="s">
        <v>192</v>
      </c>
      <c r="I121" s="17">
        <v>3</v>
      </c>
      <c r="J121" s="17" t="s">
        <v>392</v>
      </c>
      <c r="K121" s="40">
        <v>46575</v>
      </c>
      <c r="L121" s="40">
        <v>46577</v>
      </c>
      <c r="M121" s="14" t="s">
        <v>543</v>
      </c>
      <c r="N121" s="14" t="s">
        <v>543</v>
      </c>
      <c r="O121" s="17" t="s">
        <v>544</v>
      </c>
    </row>
    <row r="122" spans="1:15" ht="27.75" hidden="1" customHeight="1" x14ac:dyDescent="0.35">
      <c r="A122" s="14" t="s">
        <v>730</v>
      </c>
      <c r="B122" s="14" t="s">
        <v>395</v>
      </c>
      <c r="C122" s="17" t="s">
        <v>713</v>
      </c>
      <c r="D122" s="7" t="s">
        <v>42</v>
      </c>
      <c r="E122" s="14" t="s">
        <v>396</v>
      </c>
      <c r="F122" s="14"/>
      <c r="G122" s="17" t="s">
        <v>74</v>
      </c>
      <c r="H122" s="19" t="s">
        <v>95</v>
      </c>
      <c r="I122" s="17">
        <v>10</v>
      </c>
      <c r="J122" s="17" t="s">
        <v>398</v>
      </c>
      <c r="K122" s="40">
        <v>46580</v>
      </c>
      <c r="L122" s="40">
        <v>46594</v>
      </c>
      <c r="M122" s="14" t="s">
        <v>731</v>
      </c>
      <c r="N122" s="14" t="s">
        <v>397</v>
      </c>
      <c r="O122" s="17" t="s">
        <v>544</v>
      </c>
    </row>
    <row r="123" spans="1:15" ht="27.75" hidden="1" customHeight="1" x14ac:dyDescent="0.35">
      <c r="A123" s="14" t="s">
        <v>732</v>
      </c>
      <c r="B123" s="14" t="s">
        <v>384</v>
      </c>
      <c r="C123" s="17" t="s">
        <v>713</v>
      </c>
      <c r="D123" s="7" t="s">
        <v>42</v>
      </c>
      <c r="E123" s="14" t="s">
        <v>400</v>
      </c>
      <c r="F123" s="14"/>
      <c r="G123" s="17" t="s">
        <v>74</v>
      </c>
      <c r="H123" s="22" t="s">
        <v>147</v>
      </c>
      <c r="I123" s="17">
        <v>20</v>
      </c>
      <c r="J123" s="17" t="s">
        <v>401</v>
      </c>
      <c r="K123" s="40">
        <v>46582</v>
      </c>
      <c r="L123" s="40">
        <v>46610</v>
      </c>
      <c r="M123" s="14" t="s">
        <v>543</v>
      </c>
      <c r="N123" s="14" t="s">
        <v>543</v>
      </c>
      <c r="O123" s="17" t="s">
        <v>544</v>
      </c>
    </row>
    <row r="124" spans="1:15" ht="27.75" hidden="1" customHeight="1" x14ac:dyDescent="0.35">
      <c r="A124" s="14" t="s">
        <v>733</v>
      </c>
      <c r="B124" s="14" t="s">
        <v>384</v>
      </c>
      <c r="C124" s="17" t="s">
        <v>713</v>
      </c>
      <c r="D124" s="7" t="s">
        <v>42</v>
      </c>
      <c r="E124" s="14" t="s">
        <v>402</v>
      </c>
      <c r="F124" s="14"/>
      <c r="G124" s="17" t="s">
        <v>74</v>
      </c>
      <c r="H124" s="19" t="s">
        <v>95</v>
      </c>
      <c r="I124" s="17">
        <v>10</v>
      </c>
      <c r="J124" s="17" t="s">
        <v>403</v>
      </c>
      <c r="K124" s="40">
        <v>46595</v>
      </c>
      <c r="L124" s="40">
        <v>46608</v>
      </c>
      <c r="M124" s="14" t="s">
        <v>543</v>
      </c>
      <c r="N124" s="14" t="s">
        <v>543</v>
      </c>
      <c r="O124" s="17" t="s">
        <v>544</v>
      </c>
    </row>
    <row r="125" spans="1:15" ht="27.75" hidden="1" customHeight="1" x14ac:dyDescent="0.35">
      <c r="A125" s="14" t="s">
        <v>734</v>
      </c>
      <c r="B125" s="14" t="s">
        <v>384</v>
      </c>
      <c r="C125" s="17" t="s">
        <v>713</v>
      </c>
      <c r="D125" s="7" t="s">
        <v>42</v>
      </c>
      <c r="E125" s="14" t="s">
        <v>404</v>
      </c>
      <c r="F125" s="14"/>
      <c r="G125" s="17" t="s">
        <v>74</v>
      </c>
      <c r="H125" s="16" t="s">
        <v>75</v>
      </c>
      <c r="I125" s="17">
        <v>5</v>
      </c>
      <c r="J125" s="17" t="s">
        <v>405</v>
      </c>
      <c r="K125" s="40">
        <v>46609</v>
      </c>
      <c r="L125" s="40">
        <v>46616</v>
      </c>
      <c r="M125" s="14" t="s">
        <v>543</v>
      </c>
      <c r="N125" s="14" t="s">
        <v>543</v>
      </c>
      <c r="O125" s="17" t="s">
        <v>544</v>
      </c>
    </row>
    <row r="126" spans="1:15" ht="27.75" hidden="1" customHeight="1" x14ac:dyDescent="0.35">
      <c r="A126" s="14" t="s">
        <v>736</v>
      </c>
      <c r="B126" s="14" t="s">
        <v>384</v>
      </c>
      <c r="C126" s="17" t="s">
        <v>713</v>
      </c>
      <c r="D126" s="7" t="s">
        <v>42</v>
      </c>
      <c r="E126" s="14" t="s">
        <v>407</v>
      </c>
      <c r="F126" s="14"/>
      <c r="G126" s="17" t="s">
        <v>74</v>
      </c>
      <c r="H126" s="19" t="s">
        <v>95</v>
      </c>
      <c r="I126" s="17">
        <v>10</v>
      </c>
      <c r="J126" s="17" t="s">
        <v>408</v>
      </c>
      <c r="K126" s="40">
        <v>46611</v>
      </c>
      <c r="L126" s="40">
        <v>46625</v>
      </c>
      <c r="M126" s="14" t="s">
        <v>543</v>
      </c>
      <c r="N126" s="14" t="s">
        <v>543</v>
      </c>
      <c r="O126" s="17" t="s">
        <v>544</v>
      </c>
    </row>
    <row r="127" spans="1:15" ht="27.75" hidden="1" customHeight="1" x14ac:dyDescent="0.35">
      <c r="A127" s="14" t="s">
        <v>737</v>
      </c>
      <c r="B127" s="14" t="s">
        <v>384</v>
      </c>
      <c r="C127" s="17" t="s">
        <v>713</v>
      </c>
      <c r="D127" s="7" t="s">
        <v>42</v>
      </c>
      <c r="E127" s="14" t="s">
        <v>409</v>
      </c>
      <c r="F127" s="14"/>
      <c r="G127" s="17" t="s">
        <v>74</v>
      </c>
      <c r="H127" s="22" t="s">
        <v>147</v>
      </c>
      <c r="I127" s="17">
        <v>20</v>
      </c>
      <c r="J127" s="17" t="s">
        <v>410</v>
      </c>
      <c r="K127" s="40">
        <v>46617</v>
      </c>
      <c r="L127" s="40">
        <v>46644</v>
      </c>
      <c r="M127" s="14" t="s">
        <v>543</v>
      </c>
      <c r="N127" s="14" t="s">
        <v>543</v>
      </c>
      <c r="O127" s="17" t="s">
        <v>544</v>
      </c>
    </row>
    <row r="128" spans="1:15" ht="27.75" hidden="1" customHeight="1" x14ac:dyDescent="0.35">
      <c r="A128" s="14" t="s">
        <v>738</v>
      </c>
      <c r="B128" s="14" t="s">
        <v>384</v>
      </c>
      <c r="C128" s="17" t="s">
        <v>713</v>
      </c>
      <c r="D128" s="7" t="s">
        <v>42</v>
      </c>
      <c r="E128" s="14" t="s">
        <v>411</v>
      </c>
      <c r="F128" s="14"/>
      <c r="G128" s="17" t="s">
        <v>252</v>
      </c>
      <c r="H128" s="16" t="s">
        <v>75</v>
      </c>
      <c r="I128" s="17">
        <v>5</v>
      </c>
      <c r="J128" s="17" t="s">
        <v>412</v>
      </c>
      <c r="K128" s="40">
        <v>46626</v>
      </c>
      <c r="L128" s="40">
        <v>46632</v>
      </c>
      <c r="M128" s="14" t="s">
        <v>543</v>
      </c>
      <c r="N128" s="14" t="s">
        <v>543</v>
      </c>
      <c r="O128" s="17" t="s">
        <v>544</v>
      </c>
    </row>
    <row r="129" spans="1:15" ht="27.75" hidden="1" customHeight="1" x14ac:dyDescent="0.35">
      <c r="A129" s="14" t="s">
        <v>740</v>
      </c>
      <c r="B129" s="14" t="s">
        <v>384</v>
      </c>
      <c r="C129" s="17" t="s">
        <v>713</v>
      </c>
      <c r="D129" s="7" t="s">
        <v>42</v>
      </c>
      <c r="E129" s="14" t="s">
        <v>414</v>
      </c>
      <c r="F129" s="14"/>
      <c r="G129" s="17" t="s">
        <v>236</v>
      </c>
      <c r="H129" s="19" t="s">
        <v>95</v>
      </c>
      <c r="I129" s="17">
        <v>10</v>
      </c>
      <c r="J129" s="17" t="s">
        <v>416</v>
      </c>
      <c r="K129" s="40">
        <v>46633</v>
      </c>
      <c r="L129" s="40">
        <v>46646</v>
      </c>
      <c r="M129" s="14" t="s">
        <v>741</v>
      </c>
      <c r="N129" s="14" t="s">
        <v>415</v>
      </c>
      <c r="O129" s="17" t="s">
        <v>544</v>
      </c>
    </row>
    <row r="130" spans="1:15" ht="27.75" hidden="1" customHeight="1" x14ac:dyDescent="0.35">
      <c r="A130" s="14" t="s">
        <v>743</v>
      </c>
      <c r="B130" s="14" t="s">
        <v>418</v>
      </c>
      <c r="C130" s="17" t="s">
        <v>744</v>
      </c>
      <c r="D130" s="7" t="s">
        <v>42</v>
      </c>
      <c r="E130" s="14" t="s">
        <v>419</v>
      </c>
      <c r="F130" s="14"/>
      <c r="G130" s="17" t="s">
        <v>252</v>
      </c>
      <c r="H130" s="26" t="s">
        <v>194</v>
      </c>
      <c r="I130" s="17">
        <v>1</v>
      </c>
      <c r="J130" s="17" t="s">
        <v>390</v>
      </c>
      <c r="K130" s="40">
        <v>46561</v>
      </c>
      <c r="L130" s="40">
        <v>46561</v>
      </c>
      <c r="M130" s="14" t="s">
        <v>543</v>
      </c>
      <c r="N130" s="14" t="s">
        <v>543</v>
      </c>
      <c r="O130" s="17" t="s">
        <v>544</v>
      </c>
    </row>
    <row r="131" spans="1:15" ht="27.75" hidden="1" customHeight="1" x14ac:dyDescent="0.35">
      <c r="A131" s="14" t="s">
        <v>746</v>
      </c>
      <c r="B131" s="14" t="s">
        <v>418</v>
      </c>
      <c r="C131" s="17" t="s">
        <v>744</v>
      </c>
      <c r="D131" s="7" t="s">
        <v>42</v>
      </c>
      <c r="E131" s="14" t="s">
        <v>421</v>
      </c>
      <c r="F131" s="14"/>
      <c r="G131" s="17" t="s">
        <v>252</v>
      </c>
      <c r="H131" s="25" t="s">
        <v>192</v>
      </c>
      <c r="I131" s="17">
        <v>3</v>
      </c>
      <c r="J131" s="17" t="s">
        <v>390</v>
      </c>
      <c r="K131" s="40">
        <v>46561</v>
      </c>
      <c r="L131" s="40">
        <v>46563</v>
      </c>
      <c r="M131" s="14" t="s">
        <v>543</v>
      </c>
      <c r="N131" s="14" t="s">
        <v>543</v>
      </c>
      <c r="O131" s="17" t="s">
        <v>544</v>
      </c>
    </row>
    <row r="132" spans="1:15" ht="27.75" hidden="1" customHeight="1" x14ac:dyDescent="0.35">
      <c r="A132" s="14" t="s">
        <v>747</v>
      </c>
      <c r="B132" s="14" t="s">
        <v>418</v>
      </c>
      <c r="C132" s="17" t="s">
        <v>744</v>
      </c>
      <c r="D132" s="7" t="s">
        <v>42</v>
      </c>
      <c r="E132" s="14" t="s">
        <v>422</v>
      </c>
      <c r="F132" s="14"/>
      <c r="G132" s="17" t="s">
        <v>252</v>
      </c>
      <c r="H132" s="25" t="s">
        <v>192</v>
      </c>
      <c r="I132" s="17">
        <v>3</v>
      </c>
      <c r="J132" s="17" t="s">
        <v>390</v>
      </c>
      <c r="K132" s="40">
        <v>46561</v>
      </c>
      <c r="L132" s="40">
        <v>46563</v>
      </c>
      <c r="M132" s="14" t="s">
        <v>543</v>
      </c>
      <c r="N132" s="14" t="s">
        <v>543</v>
      </c>
      <c r="O132" s="17" t="s">
        <v>544</v>
      </c>
    </row>
    <row r="133" spans="1:15" ht="27.75" hidden="1" customHeight="1" x14ac:dyDescent="0.35">
      <c r="A133" s="14" t="s">
        <v>748</v>
      </c>
      <c r="B133" s="14" t="s">
        <v>418</v>
      </c>
      <c r="C133" s="17" t="s">
        <v>744</v>
      </c>
      <c r="D133" s="7" t="s">
        <v>42</v>
      </c>
      <c r="E133" s="14" t="s">
        <v>423</v>
      </c>
      <c r="F133" s="14"/>
      <c r="G133" s="17" t="s">
        <v>252</v>
      </c>
      <c r="H133" s="25" t="s">
        <v>192</v>
      </c>
      <c r="I133" s="17">
        <v>3</v>
      </c>
      <c r="J133" s="17" t="s">
        <v>390</v>
      </c>
      <c r="K133" s="40">
        <v>46562</v>
      </c>
      <c r="L133" s="40">
        <v>46566</v>
      </c>
      <c r="M133" s="14" t="s">
        <v>543</v>
      </c>
      <c r="N133" s="14" t="s">
        <v>543</v>
      </c>
      <c r="O133" s="17" t="s">
        <v>544</v>
      </c>
    </row>
    <row r="134" spans="1:15" ht="27.75" hidden="1" customHeight="1" x14ac:dyDescent="0.35">
      <c r="A134" s="14" t="s">
        <v>749</v>
      </c>
      <c r="B134" s="14" t="s">
        <v>418</v>
      </c>
      <c r="C134" s="17" t="s">
        <v>744</v>
      </c>
      <c r="D134" s="7" t="s">
        <v>42</v>
      </c>
      <c r="E134" s="14" t="s">
        <v>424</v>
      </c>
      <c r="F134" s="14"/>
      <c r="G134" s="17" t="s">
        <v>252</v>
      </c>
      <c r="H134" s="25" t="s">
        <v>192</v>
      </c>
      <c r="I134" s="17">
        <v>3</v>
      </c>
      <c r="J134" s="17" t="s">
        <v>390</v>
      </c>
      <c r="K134" s="40">
        <v>46566</v>
      </c>
      <c r="L134" s="40">
        <v>46568</v>
      </c>
      <c r="M134" s="14" t="s">
        <v>543</v>
      </c>
      <c r="N134" s="14" t="s">
        <v>543</v>
      </c>
      <c r="O134" s="17" t="s">
        <v>544</v>
      </c>
    </row>
    <row r="135" spans="1:15" ht="27.75" hidden="1" customHeight="1" x14ac:dyDescent="0.35">
      <c r="A135" s="14" t="s">
        <v>750</v>
      </c>
      <c r="B135" s="14" t="s">
        <v>418</v>
      </c>
      <c r="C135" s="17" t="s">
        <v>744</v>
      </c>
      <c r="D135" s="7" t="s">
        <v>42</v>
      </c>
      <c r="E135" s="14" t="s">
        <v>425</v>
      </c>
      <c r="F135" s="14"/>
      <c r="G135" s="17" t="s">
        <v>252</v>
      </c>
      <c r="H135" s="16" t="s">
        <v>75</v>
      </c>
      <c r="I135" s="17">
        <v>5</v>
      </c>
      <c r="J135" s="17" t="s">
        <v>390</v>
      </c>
      <c r="K135" s="40">
        <v>46566</v>
      </c>
      <c r="L135" s="40">
        <v>46570</v>
      </c>
      <c r="M135" s="14" t="s">
        <v>543</v>
      </c>
      <c r="N135" s="14" t="s">
        <v>543</v>
      </c>
      <c r="O135" s="17" t="s">
        <v>544</v>
      </c>
    </row>
    <row r="136" spans="1:15" ht="27.75" hidden="1" customHeight="1" x14ac:dyDescent="0.35">
      <c r="A136" s="14" t="s">
        <v>751</v>
      </c>
      <c r="B136" s="14" t="s">
        <v>418</v>
      </c>
      <c r="C136" s="17" t="s">
        <v>744</v>
      </c>
      <c r="D136" s="7" t="s">
        <v>42</v>
      </c>
      <c r="E136" s="14" t="s">
        <v>426</v>
      </c>
      <c r="F136" s="14"/>
      <c r="G136" s="17" t="s">
        <v>74</v>
      </c>
      <c r="H136" s="19" t="s">
        <v>95</v>
      </c>
      <c r="I136" s="17">
        <v>10</v>
      </c>
      <c r="J136" s="17" t="s">
        <v>392</v>
      </c>
      <c r="K136" s="40">
        <v>46567</v>
      </c>
      <c r="L136" s="40">
        <v>46581</v>
      </c>
      <c r="M136" s="14" t="s">
        <v>543</v>
      </c>
      <c r="N136" s="14" t="s">
        <v>543</v>
      </c>
      <c r="O136" s="17" t="s">
        <v>544</v>
      </c>
    </row>
    <row r="137" spans="1:15" ht="27.75" hidden="1" customHeight="1" x14ac:dyDescent="0.35">
      <c r="A137" s="14" t="s">
        <v>752</v>
      </c>
      <c r="B137" s="14" t="s">
        <v>418</v>
      </c>
      <c r="C137" s="17" t="s">
        <v>744</v>
      </c>
      <c r="D137" s="7" t="s">
        <v>42</v>
      </c>
      <c r="E137" s="14" t="s">
        <v>427</v>
      </c>
      <c r="F137" s="14"/>
      <c r="G137" s="17" t="s">
        <v>74</v>
      </c>
      <c r="H137" s="25" t="s">
        <v>192</v>
      </c>
      <c r="I137" s="17">
        <v>3</v>
      </c>
      <c r="J137" s="17" t="s">
        <v>390</v>
      </c>
      <c r="K137" s="40">
        <v>46569</v>
      </c>
      <c r="L137" s="40">
        <v>46574</v>
      </c>
      <c r="M137" s="14" t="s">
        <v>543</v>
      </c>
      <c r="N137" s="14" t="s">
        <v>543</v>
      </c>
      <c r="O137" s="17" t="s">
        <v>544</v>
      </c>
    </row>
    <row r="138" spans="1:15" ht="27.75" hidden="1" customHeight="1" x14ac:dyDescent="0.35">
      <c r="A138" s="14" t="s">
        <v>753</v>
      </c>
      <c r="B138" s="14" t="s">
        <v>418</v>
      </c>
      <c r="C138" s="17" t="s">
        <v>744</v>
      </c>
      <c r="D138" s="7" t="s">
        <v>42</v>
      </c>
      <c r="E138" s="14" t="s">
        <v>428</v>
      </c>
      <c r="F138" s="14"/>
      <c r="G138" s="17" t="s">
        <v>74</v>
      </c>
      <c r="H138" s="16" t="s">
        <v>75</v>
      </c>
      <c r="I138" s="17">
        <v>5</v>
      </c>
      <c r="J138" s="17" t="s">
        <v>392</v>
      </c>
      <c r="K138" s="40">
        <v>46574</v>
      </c>
      <c r="L138" s="40">
        <v>46580</v>
      </c>
      <c r="M138" s="14" t="s">
        <v>754</v>
      </c>
      <c r="N138" s="14" t="s">
        <v>543</v>
      </c>
      <c r="O138" s="17" t="s">
        <v>544</v>
      </c>
    </row>
    <row r="139" spans="1:15" ht="27.75" hidden="1" customHeight="1" x14ac:dyDescent="0.35">
      <c r="A139" s="14" t="s">
        <v>756</v>
      </c>
      <c r="B139" s="14" t="s">
        <v>418</v>
      </c>
      <c r="C139" s="17" t="s">
        <v>744</v>
      </c>
      <c r="D139" s="7" t="s">
        <v>42</v>
      </c>
      <c r="E139" s="14" t="s">
        <v>430</v>
      </c>
      <c r="F139" s="14"/>
      <c r="G139" s="17" t="s">
        <v>74</v>
      </c>
      <c r="H139" s="26" t="s">
        <v>194</v>
      </c>
      <c r="I139" s="17">
        <v>1</v>
      </c>
      <c r="J139" s="17" t="s">
        <v>390</v>
      </c>
      <c r="K139" s="40">
        <v>46575</v>
      </c>
      <c r="L139" s="40">
        <v>46575</v>
      </c>
      <c r="M139" s="14" t="s">
        <v>543</v>
      </c>
      <c r="N139" s="14" t="s">
        <v>543</v>
      </c>
      <c r="O139" s="17" t="s">
        <v>544</v>
      </c>
    </row>
    <row r="140" spans="1:15" ht="27.75" hidden="1" customHeight="1" x14ac:dyDescent="0.35">
      <c r="A140" s="14" t="s">
        <v>757</v>
      </c>
      <c r="B140" s="14" t="s">
        <v>418</v>
      </c>
      <c r="C140" s="17" t="s">
        <v>744</v>
      </c>
      <c r="D140" s="7" t="s">
        <v>42</v>
      </c>
      <c r="E140" s="14" t="s">
        <v>431</v>
      </c>
      <c r="F140" s="14"/>
      <c r="G140" s="17" t="s">
        <v>74</v>
      </c>
      <c r="H140" s="25" t="s">
        <v>192</v>
      </c>
      <c r="I140" s="17">
        <v>3</v>
      </c>
      <c r="J140" s="17" t="s">
        <v>392</v>
      </c>
      <c r="K140" s="40">
        <v>46576</v>
      </c>
      <c r="L140" s="40">
        <v>46580</v>
      </c>
      <c r="M140" s="14" t="s">
        <v>543</v>
      </c>
      <c r="N140" s="14" t="s">
        <v>543</v>
      </c>
      <c r="O140" s="17" t="s">
        <v>544</v>
      </c>
    </row>
    <row r="141" spans="1:15" ht="27.75" hidden="1" customHeight="1" x14ac:dyDescent="0.35">
      <c r="A141" s="14" t="s">
        <v>758</v>
      </c>
      <c r="B141" s="14" t="s">
        <v>418</v>
      </c>
      <c r="C141" s="17" t="s">
        <v>744</v>
      </c>
      <c r="D141" s="7" t="s">
        <v>42</v>
      </c>
      <c r="E141" s="14" t="s">
        <v>432</v>
      </c>
      <c r="F141" s="14"/>
      <c r="G141" s="17" t="s">
        <v>74</v>
      </c>
      <c r="H141" s="16" t="s">
        <v>75</v>
      </c>
      <c r="I141" s="17">
        <v>5</v>
      </c>
      <c r="J141" s="17" t="s">
        <v>398</v>
      </c>
      <c r="K141" s="40">
        <v>46581</v>
      </c>
      <c r="L141" s="40">
        <v>46587</v>
      </c>
      <c r="M141" s="14" t="s">
        <v>543</v>
      </c>
      <c r="N141" s="14" t="s">
        <v>433</v>
      </c>
      <c r="O141" s="17" t="s">
        <v>544</v>
      </c>
    </row>
    <row r="142" spans="1:15" ht="27.75" hidden="1" customHeight="1" x14ac:dyDescent="0.35">
      <c r="A142" s="14" t="s">
        <v>760</v>
      </c>
      <c r="B142" s="14" t="s">
        <v>418</v>
      </c>
      <c r="C142" s="17" t="s">
        <v>744</v>
      </c>
      <c r="D142" s="7" t="s">
        <v>42</v>
      </c>
      <c r="E142" s="14" t="s">
        <v>435</v>
      </c>
      <c r="F142" s="14"/>
      <c r="G142" s="17" t="s">
        <v>74</v>
      </c>
      <c r="H142" s="22" t="s">
        <v>147</v>
      </c>
      <c r="I142" s="17">
        <v>20</v>
      </c>
      <c r="J142" s="17" t="s">
        <v>436</v>
      </c>
      <c r="K142" s="40">
        <v>46581</v>
      </c>
      <c r="L142" s="40">
        <v>46609</v>
      </c>
      <c r="M142" s="14" t="s">
        <v>543</v>
      </c>
      <c r="N142" s="14" t="s">
        <v>543</v>
      </c>
      <c r="O142" s="17" t="s">
        <v>544</v>
      </c>
    </row>
    <row r="143" spans="1:15" ht="27.75" hidden="1" customHeight="1" x14ac:dyDescent="0.35">
      <c r="A143" s="14" t="s">
        <v>761</v>
      </c>
      <c r="B143" s="14" t="s">
        <v>418</v>
      </c>
      <c r="C143" s="17" t="s">
        <v>744</v>
      </c>
      <c r="D143" s="7" t="s">
        <v>42</v>
      </c>
      <c r="E143" s="14" t="s">
        <v>437</v>
      </c>
      <c r="F143" s="14"/>
      <c r="G143" s="17" t="s">
        <v>74</v>
      </c>
      <c r="H143" s="16" t="s">
        <v>75</v>
      </c>
      <c r="I143" s="17">
        <v>5</v>
      </c>
      <c r="J143" s="17" t="s">
        <v>398</v>
      </c>
      <c r="K143" s="40">
        <v>46582</v>
      </c>
      <c r="L143" s="40">
        <v>46589</v>
      </c>
      <c r="M143" s="14" t="s">
        <v>543</v>
      </c>
      <c r="N143" s="14" t="s">
        <v>543</v>
      </c>
      <c r="O143" s="17" t="s">
        <v>544</v>
      </c>
    </row>
    <row r="144" spans="1:15" ht="27.75" hidden="1" customHeight="1" x14ac:dyDescent="0.35">
      <c r="A144" s="14" t="s">
        <v>762</v>
      </c>
      <c r="B144" s="14" t="s">
        <v>418</v>
      </c>
      <c r="C144" s="17" t="s">
        <v>744</v>
      </c>
      <c r="D144" s="7" t="s">
        <v>42</v>
      </c>
      <c r="E144" s="14" t="s">
        <v>438</v>
      </c>
      <c r="F144" s="14"/>
      <c r="G144" s="17" t="s">
        <v>236</v>
      </c>
      <c r="H144" s="19" t="s">
        <v>95</v>
      </c>
      <c r="I144" s="17">
        <v>10</v>
      </c>
      <c r="J144" s="17" t="s">
        <v>436</v>
      </c>
      <c r="K144" s="40">
        <v>46589</v>
      </c>
      <c r="L144" s="40">
        <v>46602</v>
      </c>
      <c r="M144" s="14" t="s">
        <v>763</v>
      </c>
      <c r="N144" s="14" t="s">
        <v>543</v>
      </c>
      <c r="O144" s="17" t="s">
        <v>544</v>
      </c>
    </row>
    <row r="145" spans="1:15" ht="27.75" hidden="1" customHeight="1" x14ac:dyDescent="0.35">
      <c r="A145" s="14" t="s">
        <v>764</v>
      </c>
      <c r="B145" s="14" t="s">
        <v>418</v>
      </c>
      <c r="C145" s="17" t="s">
        <v>744</v>
      </c>
      <c r="D145" s="7" t="s">
        <v>42</v>
      </c>
      <c r="E145" s="14" t="s">
        <v>440</v>
      </c>
      <c r="F145" s="14"/>
      <c r="G145" s="17" t="s">
        <v>74</v>
      </c>
      <c r="H145" s="19" t="s">
        <v>95</v>
      </c>
      <c r="I145" s="17">
        <v>10</v>
      </c>
      <c r="J145" s="17" t="s">
        <v>436</v>
      </c>
      <c r="K145" s="40">
        <v>46590</v>
      </c>
      <c r="L145" s="40">
        <v>46603</v>
      </c>
      <c r="M145" s="14" t="s">
        <v>543</v>
      </c>
      <c r="N145" s="14" t="s">
        <v>543</v>
      </c>
      <c r="O145" s="17" t="s">
        <v>544</v>
      </c>
    </row>
    <row r="146" spans="1:15" ht="27.75" hidden="1" customHeight="1" x14ac:dyDescent="0.35">
      <c r="A146" s="14" t="s">
        <v>766</v>
      </c>
      <c r="B146" s="14" t="s">
        <v>418</v>
      </c>
      <c r="C146" s="17" t="s">
        <v>744</v>
      </c>
      <c r="D146" s="7" t="s">
        <v>42</v>
      </c>
      <c r="E146" s="14" t="s">
        <v>442</v>
      </c>
      <c r="F146" s="14"/>
      <c r="G146" s="17" t="s">
        <v>236</v>
      </c>
      <c r="H146" s="19" t="s">
        <v>95</v>
      </c>
      <c r="I146" s="17">
        <v>10</v>
      </c>
      <c r="J146" s="17" t="s">
        <v>405</v>
      </c>
      <c r="K146" s="40">
        <v>46603</v>
      </c>
      <c r="L146" s="40">
        <v>46617</v>
      </c>
      <c r="M146" s="14" t="s">
        <v>543</v>
      </c>
      <c r="N146" s="14" t="s">
        <v>543</v>
      </c>
      <c r="O146" s="17" t="s">
        <v>544</v>
      </c>
    </row>
    <row r="147" spans="1:15" ht="27.75" hidden="1" customHeight="1" x14ac:dyDescent="0.35">
      <c r="A147" s="14" t="s">
        <v>768</v>
      </c>
      <c r="B147" s="14" t="s">
        <v>418</v>
      </c>
      <c r="C147" s="17" t="s">
        <v>744</v>
      </c>
      <c r="D147" s="7" t="s">
        <v>42</v>
      </c>
      <c r="E147" s="14" t="s">
        <v>444</v>
      </c>
      <c r="F147" s="14"/>
      <c r="G147" s="17" t="s">
        <v>252</v>
      </c>
      <c r="H147" s="22" t="s">
        <v>147</v>
      </c>
      <c r="I147" s="17">
        <v>20</v>
      </c>
      <c r="J147" s="17" t="s">
        <v>446</v>
      </c>
      <c r="K147" s="40">
        <v>46604</v>
      </c>
      <c r="L147" s="40">
        <v>46632</v>
      </c>
      <c r="M147" s="14" t="s">
        <v>769</v>
      </c>
      <c r="N147" s="14" t="s">
        <v>445</v>
      </c>
      <c r="O147" s="17" t="s">
        <v>544</v>
      </c>
    </row>
    <row r="148" spans="1:15" ht="27.75" hidden="1" customHeight="1" x14ac:dyDescent="0.35">
      <c r="A148" s="14" t="s">
        <v>771</v>
      </c>
      <c r="B148" s="14" t="s">
        <v>418</v>
      </c>
      <c r="C148" s="17" t="s">
        <v>744</v>
      </c>
      <c r="D148" s="7" t="s">
        <v>42</v>
      </c>
      <c r="E148" s="14" t="s">
        <v>448</v>
      </c>
      <c r="F148" s="14"/>
      <c r="G148" s="17" t="s">
        <v>74</v>
      </c>
      <c r="H148" s="26" t="s">
        <v>194</v>
      </c>
      <c r="I148" s="17">
        <v>1</v>
      </c>
      <c r="J148" s="17" t="s">
        <v>408</v>
      </c>
      <c r="K148" s="40">
        <v>46610</v>
      </c>
      <c r="L148" s="40">
        <v>46610</v>
      </c>
      <c r="M148" s="14" t="s">
        <v>543</v>
      </c>
      <c r="N148" s="14" t="s">
        <v>543</v>
      </c>
      <c r="O148" s="17" t="s">
        <v>544</v>
      </c>
    </row>
    <row r="149" spans="1:15" ht="27.75" hidden="1" customHeight="1" x14ac:dyDescent="0.35">
      <c r="A149" s="14" t="s">
        <v>772</v>
      </c>
      <c r="B149" s="14" t="s">
        <v>418</v>
      </c>
      <c r="C149" s="17" t="s">
        <v>744</v>
      </c>
      <c r="D149" s="7" t="s">
        <v>42</v>
      </c>
      <c r="E149" s="14" t="s">
        <v>449</v>
      </c>
      <c r="F149" s="14"/>
      <c r="G149" s="17" t="s">
        <v>74</v>
      </c>
      <c r="H149" s="16" t="s">
        <v>75</v>
      </c>
      <c r="I149" s="17">
        <v>5</v>
      </c>
      <c r="J149" s="17" t="s">
        <v>408</v>
      </c>
      <c r="K149" s="40">
        <v>46611</v>
      </c>
      <c r="L149" s="40">
        <v>46618</v>
      </c>
      <c r="M149" s="14" t="s">
        <v>543</v>
      </c>
      <c r="N149" s="14" t="s">
        <v>543</v>
      </c>
      <c r="O149" s="17" t="s">
        <v>544</v>
      </c>
    </row>
    <row r="150" spans="1:15" ht="27.75" hidden="1" customHeight="1" x14ac:dyDescent="0.35">
      <c r="A150" s="14" t="s">
        <v>773</v>
      </c>
      <c r="B150" s="14" t="s">
        <v>418</v>
      </c>
      <c r="C150" s="17" t="s">
        <v>744</v>
      </c>
      <c r="D150" s="7" t="s">
        <v>42</v>
      </c>
      <c r="E150" s="14" t="s">
        <v>450</v>
      </c>
      <c r="F150" s="14"/>
      <c r="G150" s="17" t="s">
        <v>74</v>
      </c>
      <c r="H150" s="25" t="s">
        <v>192</v>
      </c>
      <c r="I150" s="17">
        <v>3</v>
      </c>
      <c r="J150" s="17" t="s">
        <v>408</v>
      </c>
      <c r="K150" s="40">
        <v>46618</v>
      </c>
      <c r="L150" s="40">
        <v>46622</v>
      </c>
      <c r="M150" s="14" t="s">
        <v>774</v>
      </c>
      <c r="N150" s="14" t="s">
        <v>543</v>
      </c>
      <c r="O150" s="17" t="s">
        <v>544</v>
      </c>
    </row>
    <row r="151" spans="1:15" ht="27.75" hidden="1" customHeight="1" x14ac:dyDescent="0.35">
      <c r="A151" s="14" t="s">
        <v>775</v>
      </c>
      <c r="B151" s="14" t="s">
        <v>418</v>
      </c>
      <c r="C151" s="17" t="s">
        <v>744</v>
      </c>
      <c r="D151" s="7" t="s">
        <v>42</v>
      </c>
      <c r="E151" s="14" t="s">
        <v>452</v>
      </c>
      <c r="F151" s="14"/>
      <c r="G151" s="17" t="s">
        <v>252</v>
      </c>
      <c r="H151" s="25" t="s">
        <v>192</v>
      </c>
      <c r="I151" s="17">
        <v>3</v>
      </c>
      <c r="J151" s="17" t="s">
        <v>408</v>
      </c>
      <c r="K151" s="40">
        <v>46619</v>
      </c>
      <c r="L151" s="40">
        <v>46623</v>
      </c>
      <c r="M151" s="14" t="s">
        <v>776</v>
      </c>
      <c r="N151" s="14" t="s">
        <v>543</v>
      </c>
      <c r="O151" s="17" t="s">
        <v>544</v>
      </c>
    </row>
    <row r="152" spans="1:15" ht="27.75" hidden="1" customHeight="1" x14ac:dyDescent="0.35">
      <c r="A152" s="14" t="s">
        <v>778</v>
      </c>
      <c r="B152" s="14" t="s">
        <v>418</v>
      </c>
      <c r="C152" s="17" t="s">
        <v>744</v>
      </c>
      <c r="D152" s="7" t="s">
        <v>42</v>
      </c>
      <c r="E152" s="14" t="s">
        <v>454</v>
      </c>
      <c r="F152" s="14"/>
      <c r="G152" s="17" t="s">
        <v>236</v>
      </c>
      <c r="H152" s="25" t="s">
        <v>192</v>
      </c>
      <c r="I152" s="17">
        <v>3</v>
      </c>
      <c r="J152" s="17" t="s">
        <v>408</v>
      </c>
      <c r="K152" s="40">
        <v>46623</v>
      </c>
      <c r="L152" s="40">
        <v>46625</v>
      </c>
      <c r="M152" s="14" t="s">
        <v>779</v>
      </c>
      <c r="N152" s="14" t="s">
        <v>543</v>
      </c>
      <c r="O152" s="17" t="s">
        <v>544</v>
      </c>
    </row>
    <row r="153" spans="1:15" ht="27.75" hidden="1" customHeight="1" x14ac:dyDescent="0.35">
      <c r="A153" s="14" t="s">
        <v>780</v>
      </c>
      <c r="B153" s="14" t="s">
        <v>418</v>
      </c>
      <c r="C153" s="17" t="s">
        <v>744</v>
      </c>
      <c r="D153" s="7" t="s">
        <v>42</v>
      </c>
      <c r="E153" s="14" t="s">
        <v>456</v>
      </c>
      <c r="F153" s="14"/>
      <c r="G153" s="17" t="s">
        <v>74</v>
      </c>
      <c r="H153" s="25" t="s">
        <v>192</v>
      </c>
      <c r="I153" s="17">
        <v>3</v>
      </c>
      <c r="J153" s="17" t="s">
        <v>458</v>
      </c>
      <c r="K153" s="40">
        <v>46624</v>
      </c>
      <c r="L153" s="40">
        <v>46626</v>
      </c>
      <c r="M153" s="14" t="s">
        <v>543</v>
      </c>
      <c r="N153" s="14" t="s">
        <v>457</v>
      </c>
      <c r="O153" s="17" t="s">
        <v>544</v>
      </c>
    </row>
    <row r="154" spans="1:15" ht="27.75" hidden="1" customHeight="1" x14ac:dyDescent="0.35">
      <c r="A154" s="14" t="s">
        <v>781</v>
      </c>
      <c r="B154" s="14" t="s">
        <v>418</v>
      </c>
      <c r="C154" s="17" t="s">
        <v>744</v>
      </c>
      <c r="D154" s="7" t="s">
        <v>42</v>
      </c>
      <c r="E154" s="14" t="s">
        <v>459</v>
      </c>
      <c r="F154" s="14"/>
      <c r="G154" s="17" t="s">
        <v>74</v>
      </c>
      <c r="H154" s="16" t="s">
        <v>75</v>
      </c>
      <c r="I154" s="17">
        <v>5</v>
      </c>
      <c r="J154" s="17" t="s">
        <v>412</v>
      </c>
      <c r="K154" s="40">
        <v>46626</v>
      </c>
      <c r="L154" s="40">
        <v>46632</v>
      </c>
      <c r="M154" s="14" t="s">
        <v>782</v>
      </c>
      <c r="N154" s="14" t="s">
        <v>460</v>
      </c>
      <c r="O154" s="17" t="s">
        <v>544</v>
      </c>
    </row>
    <row r="155" spans="1:15" ht="27.75" hidden="1" customHeight="1" x14ac:dyDescent="0.35">
      <c r="A155" s="14" t="s">
        <v>783</v>
      </c>
      <c r="B155" s="14" t="s">
        <v>418</v>
      </c>
      <c r="C155" s="17" t="s">
        <v>744</v>
      </c>
      <c r="D155" s="7" t="s">
        <v>42</v>
      </c>
      <c r="E155" s="14" t="s">
        <v>462</v>
      </c>
      <c r="F155" s="14"/>
      <c r="G155" s="17" t="s">
        <v>74</v>
      </c>
      <c r="H155" s="22" t="s">
        <v>147</v>
      </c>
      <c r="I155" s="17">
        <v>20</v>
      </c>
      <c r="J155" s="17" t="s">
        <v>416</v>
      </c>
      <c r="K155" s="40">
        <v>46629</v>
      </c>
      <c r="L155" s="40">
        <v>46654</v>
      </c>
      <c r="M155" s="14" t="s">
        <v>784</v>
      </c>
      <c r="N155" s="14" t="s">
        <v>543</v>
      </c>
      <c r="O155" s="17" t="s">
        <v>544</v>
      </c>
    </row>
    <row r="156" spans="1:15" ht="27.75" hidden="1" customHeight="1" x14ac:dyDescent="0.35">
      <c r="A156" s="14" t="s">
        <v>786</v>
      </c>
      <c r="B156" s="14" t="s">
        <v>418</v>
      </c>
      <c r="C156" s="17" t="s">
        <v>744</v>
      </c>
      <c r="D156" s="7" t="s">
        <v>42</v>
      </c>
      <c r="E156" s="14" t="s">
        <v>464</v>
      </c>
      <c r="F156" s="14"/>
      <c r="G156" s="17" t="s">
        <v>74</v>
      </c>
      <c r="H156" s="16" t="s">
        <v>75</v>
      </c>
      <c r="I156" s="17">
        <v>5</v>
      </c>
      <c r="J156" s="17" t="s">
        <v>412</v>
      </c>
      <c r="K156" s="40">
        <v>46633</v>
      </c>
      <c r="L156" s="40">
        <v>46639</v>
      </c>
      <c r="M156" s="14" t="s">
        <v>543</v>
      </c>
      <c r="N156" s="14" t="s">
        <v>543</v>
      </c>
      <c r="O156" s="17" t="s">
        <v>544</v>
      </c>
    </row>
    <row r="157" spans="1:15" ht="27.75" hidden="1" customHeight="1" x14ac:dyDescent="0.35">
      <c r="A157" s="14" t="s">
        <v>787</v>
      </c>
      <c r="B157" s="14" t="s">
        <v>418</v>
      </c>
      <c r="C157" s="17" t="s">
        <v>744</v>
      </c>
      <c r="D157" s="7" t="s">
        <v>42</v>
      </c>
      <c r="E157" s="14" t="s">
        <v>465</v>
      </c>
      <c r="F157" s="14"/>
      <c r="G157" s="17" t="s">
        <v>74</v>
      </c>
      <c r="H157" s="16" t="s">
        <v>75</v>
      </c>
      <c r="I157" s="17">
        <v>5</v>
      </c>
      <c r="J157" s="17" t="s">
        <v>412</v>
      </c>
      <c r="K157" s="40">
        <v>46633</v>
      </c>
      <c r="L157" s="40">
        <v>46639</v>
      </c>
      <c r="M157" s="14" t="s">
        <v>543</v>
      </c>
      <c r="N157" s="14" t="s">
        <v>543</v>
      </c>
      <c r="O157" s="17" t="s">
        <v>544</v>
      </c>
    </row>
    <row r="158" spans="1:15" ht="27.75" hidden="1" customHeight="1" x14ac:dyDescent="0.35">
      <c r="A158" s="14" t="s">
        <v>788</v>
      </c>
      <c r="B158" s="14" t="s">
        <v>418</v>
      </c>
      <c r="C158" s="17" t="s">
        <v>744</v>
      </c>
      <c r="D158" s="7" t="s">
        <v>42</v>
      </c>
      <c r="E158" s="14" t="s">
        <v>466</v>
      </c>
      <c r="F158" s="14"/>
      <c r="G158" s="17" t="s">
        <v>236</v>
      </c>
      <c r="H158" s="16" t="s">
        <v>75</v>
      </c>
      <c r="I158" s="17">
        <v>5</v>
      </c>
      <c r="J158" s="17" t="s">
        <v>416</v>
      </c>
      <c r="K158" s="40">
        <v>46640</v>
      </c>
      <c r="L158" s="40">
        <v>46646</v>
      </c>
      <c r="M158" s="14" t="s">
        <v>789</v>
      </c>
      <c r="N158" s="14" t="s">
        <v>543</v>
      </c>
      <c r="O158" s="17" t="s">
        <v>544</v>
      </c>
    </row>
    <row r="159" spans="1:15" ht="27.75" hidden="1" customHeight="1" x14ac:dyDescent="0.35">
      <c r="A159" s="14" t="s">
        <v>790</v>
      </c>
      <c r="B159" s="14" t="s">
        <v>418</v>
      </c>
      <c r="C159" s="17" t="s">
        <v>744</v>
      </c>
      <c r="D159" s="7" t="s">
        <v>42</v>
      </c>
      <c r="E159" s="14" t="s">
        <v>468</v>
      </c>
      <c r="F159" s="14"/>
      <c r="G159" s="17" t="s">
        <v>74</v>
      </c>
      <c r="H159" s="19" t="s">
        <v>95</v>
      </c>
      <c r="I159" s="17">
        <v>10</v>
      </c>
      <c r="J159" s="17" t="s">
        <v>416</v>
      </c>
      <c r="K159" s="40">
        <v>46640</v>
      </c>
      <c r="L159" s="40">
        <v>46653</v>
      </c>
      <c r="M159" s="14" t="s">
        <v>791</v>
      </c>
      <c r="N159" s="14" t="s">
        <v>543</v>
      </c>
      <c r="O159" s="17" t="s">
        <v>544</v>
      </c>
    </row>
    <row r="160" spans="1:15" ht="27.75" hidden="1" customHeight="1" x14ac:dyDescent="0.35">
      <c r="A160" s="14" t="s">
        <v>792</v>
      </c>
      <c r="B160" s="14" t="s">
        <v>470</v>
      </c>
      <c r="C160" s="17" t="s">
        <v>793</v>
      </c>
      <c r="D160" s="42" t="s">
        <v>46</v>
      </c>
      <c r="E160" s="14" t="s">
        <v>471</v>
      </c>
      <c r="F160" s="14"/>
      <c r="G160" s="17" t="s">
        <v>472</v>
      </c>
      <c r="H160" s="25" t="s">
        <v>192</v>
      </c>
      <c r="I160" s="17">
        <v>3</v>
      </c>
      <c r="J160" s="17" t="s">
        <v>473</v>
      </c>
      <c r="K160" s="40">
        <v>46643</v>
      </c>
      <c r="L160" s="40">
        <v>46645</v>
      </c>
      <c r="M160" s="14" t="s">
        <v>543</v>
      </c>
      <c r="N160" s="14" t="s">
        <v>543</v>
      </c>
      <c r="O160" s="17" t="s">
        <v>544</v>
      </c>
    </row>
    <row r="161" spans="1:15" ht="27.75" hidden="1" customHeight="1" x14ac:dyDescent="0.35">
      <c r="A161" s="14" t="s">
        <v>795</v>
      </c>
      <c r="B161" s="14" t="s">
        <v>470</v>
      </c>
      <c r="C161" s="17" t="s">
        <v>793</v>
      </c>
      <c r="D161" s="42" t="s">
        <v>46</v>
      </c>
      <c r="E161" s="14" t="s">
        <v>475</v>
      </c>
      <c r="F161" s="14"/>
      <c r="G161" s="17" t="s">
        <v>472</v>
      </c>
      <c r="H161" s="25" t="s">
        <v>192</v>
      </c>
      <c r="I161" s="17">
        <v>3</v>
      </c>
      <c r="J161" s="17" t="s">
        <v>473</v>
      </c>
      <c r="K161" s="40">
        <v>46643</v>
      </c>
      <c r="L161" s="40">
        <v>46645</v>
      </c>
      <c r="M161" s="14" t="s">
        <v>543</v>
      </c>
      <c r="N161" s="14" t="s">
        <v>543</v>
      </c>
      <c r="O161" s="17" t="s">
        <v>544</v>
      </c>
    </row>
    <row r="162" spans="1:15" ht="27.75" hidden="1" customHeight="1" x14ac:dyDescent="0.35">
      <c r="A162" s="14" t="s">
        <v>796</v>
      </c>
      <c r="B162" s="14" t="s">
        <v>470</v>
      </c>
      <c r="C162" s="17" t="s">
        <v>793</v>
      </c>
      <c r="D162" s="42" t="s">
        <v>46</v>
      </c>
      <c r="E162" s="14" t="s">
        <v>476</v>
      </c>
      <c r="F162" s="14"/>
      <c r="G162" s="17" t="s">
        <v>472</v>
      </c>
      <c r="H162" s="16" t="s">
        <v>75</v>
      </c>
      <c r="I162" s="17">
        <v>5</v>
      </c>
      <c r="J162" s="17" t="s">
        <v>473</v>
      </c>
      <c r="K162" s="40">
        <v>46646</v>
      </c>
      <c r="L162" s="40">
        <v>46652</v>
      </c>
      <c r="M162" s="14" t="s">
        <v>543</v>
      </c>
      <c r="N162" s="14" t="s">
        <v>543</v>
      </c>
      <c r="O162" s="17" t="s">
        <v>544</v>
      </c>
    </row>
    <row r="163" spans="1:15" ht="27.75" hidden="1" customHeight="1" x14ac:dyDescent="0.35">
      <c r="A163" s="14" t="s">
        <v>797</v>
      </c>
      <c r="B163" s="14" t="s">
        <v>470</v>
      </c>
      <c r="C163" s="17" t="s">
        <v>793</v>
      </c>
      <c r="D163" s="42" t="s">
        <v>46</v>
      </c>
      <c r="E163" s="14" t="s">
        <v>477</v>
      </c>
      <c r="F163" s="14"/>
      <c r="G163" s="17" t="s">
        <v>472</v>
      </c>
      <c r="H163" s="25" t="s">
        <v>192</v>
      </c>
      <c r="I163" s="17">
        <v>3</v>
      </c>
      <c r="J163" s="17" t="s">
        <v>473</v>
      </c>
      <c r="K163" s="40">
        <v>46646</v>
      </c>
      <c r="L163" s="40">
        <v>46650</v>
      </c>
      <c r="M163" s="14" t="s">
        <v>543</v>
      </c>
      <c r="N163" s="14" t="s">
        <v>543</v>
      </c>
      <c r="O163" s="17" t="s">
        <v>544</v>
      </c>
    </row>
    <row r="164" spans="1:15" ht="27.75" hidden="1" customHeight="1" x14ac:dyDescent="0.35">
      <c r="A164" s="14" t="s">
        <v>798</v>
      </c>
      <c r="B164" s="14" t="s">
        <v>470</v>
      </c>
      <c r="C164" s="17" t="s">
        <v>793</v>
      </c>
      <c r="D164" s="42" t="s">
        <v>46</v>
      </c>
      <c r="E164" s="14" t="s">
        <v>478</v>
      </c>
      <c r="F164" s="14"/>
      <c r="G164" s="17" t="s">
        <v>472</v>
      </c>
      <c r="H164" s="25" t="s">
        <v>192</v>
      </c>
      <c r="I164" s="17">
        <v>3</v>
      </c>
      <c r="J164" s="17" t="s">
        <v>473</v>
      </c>
      <c r="K164" s="40">
        <v>46651</v>
      </c>
      <c r="L164" s="40">
        <v>46653</v>
      </c>
      <c r="M164" s="14" t="s">
        <v>543</v>
      </c>
      <c r="N164" s="14" t="s">
        <v>543</v>
      </c>
      <c r="O164" s="17" t="s">
        <v>544</v>
      </c>
    </row>
    <row r="165" spans="1:15" ht="27.75" hidden="1" customHeight="1" x14ac:dyDescent="0.35">
      <c r="A165" s="14" t="s">
        <v>799</v>
      </c>
      <c r="B165" s="14" t="s">
        <v>470</v>
      </c>
      <c r="C165" s="17" t="s">
        <v>793</v>
      </c>
      <c r="D165" s="42" t="s">
        <v>46</v>
      </c>
      <c r="E165" s="14" t="s">
        <v>479</v>
      </c>
      <c r="F165" s="14"/>
      <c r="G165" s="17" t="s">
        <v>472</v>
      </c>
      <c r="H165" s="16" t="s">
        <v>75</v>
      </c>
      <c r="I165" s="17">
        <v>5</v>
      </c>
      <c r="J165" s="17" t="s">
        <v>480</v>
      </c>
      <c r="K165" s="40">
        <v>46653</v>
      </c>
      <c r="L165" s="40">
        <v>46659</v>
      </c>
      <c r="M165" s="14" t="s">
        <v>543</v>
      </c>
      <c r="N165" s="14" t="s">
        <v>543</v>
      </c>
      <c r="O165" s="17" t="s">
        <v>544</v>
      </c>
    </row>
    <row r="166" spans="1:15" ht="27.75" hidden="1" customHeight="1" x14ac:dyDescent="0.35">
      <c r="A166" s="14" t="s">
        <v>800</v>
      </c>
      <c r="B166" s="14" t="s">
        <v>470</v>
      </c>
      <c r="C166" s="17" t="s">
        <v>793</v>
      </c>
      <c r="D166" s="42" t="s">
        <v>46</v>
      </c>
      <c r="E166" s="14" t="s">
        <v>481</v>
      </c>
      <c r="F166" s="14"/>
      <c r="G166" s="17" t="s">
        <v>472</v>
      </c>
      <c r="H166" s="16" t="s">
        <v>75</v>
      </c>
      <c r="I166" s="17">
        <v>5</v>
      </c>
      <c r="J166" s="17" t="s">
        <v>480</v>
      </c>
      <c r="K166" s="40">
        <v>46654</v>
      </c>
      <c r="L166" s="40">
        <v>46660</v>
      </c>
      <c r="M166" s="14" t="s">
        <v>543</v>
      </c>
      <c r="N166" s="14" t="s">
        <v>543</v>
      </c>
      <c r="O166" s="17" t="s">
        <v>544</v>
      </c>
    </row>
    <row r="167" spans="1:15" ht="27.75" hidden="1" customHeight="1" x14ac:dyDescent="0.35">
      <c r="A167" s="14" t="s">
        <v>802</v>
      </c>
      <c r="B167" s="14" t="s">
        <v>470</v>
      </c>
      <c r="C167" s="17" t="s">
        <v>793</v>
      </c>
      <c r="D167" s="42" t="s">
        <v>46</v>
      </c>
      <c r="E167" s="14" t="s">
        <v>483</v>
      </c>
      <c r="F167" s="14"/>
      <c r="G167" s="17" t="s">
        <v>472</v>
      </c>
      <c r="H167" s="19" t="s">
        <v>95</v>
      </c>
      <c r="I167" s="17">
        <v>10</v>
      </c>
      <c r="J167" s="17" t="s">
        <v>484</v>
      </c>
      <c r="K167" s="40">
        <v>46660</v>
      </c>
      <c r="L167" s="40">
        <v>46673</v>
      </c>
      <c r="M167" s="14" t="s">
        <v>543</v>
      </c>
      <c r="N167" s="14" t="s">
        <v>543</v>
      </c>
      <c r="O167" s="17" t="s">
        <v>544</v>
      </c>
    </row>
    <row r="168" spans="1:15" ht="27.75" hidden="1" customHeight="1" x14ac:dyDescent="0.35">
      <c r="A168" s="14" t="s">
        <v>804</v>
      </c>
      <c r="B168" s="14" t="s">
        <v>470</v>
      </c>
      <c r="C168" s="17" t="s">
        <v>793</v>
      </c>
      <c r="D168" s="42" t="s">
        <v>46</v>
      </c>
      <c r="E168" s="14" t="s">
        <v>486</v>
      </c>
      <c r="F168" s="14"/>
      <c r="G168" s="17" t="s">
        <v>472</v>
      </c>
      <c r="H168" s="22" t="s">
        <v>147</v>
      </c>
      <c r="I168" s="17">
        <v>20</v>
      </c>
      <c r="J168" s="17" t="s">
        <v>488</v>
      </c>
      <c r="K168" s="40">
        <v>46661</v>
      </c>
      <c r="L168" s="40">
        <v>46689</v>
      </c>
      <c r="M168" s="14" t="s">
        <v>805</v>
      </c>
      <c r="N168" s="14" t="s">
        <v>487</v>
      </c>
      <c r="O168" s="17" t="s">
        <v>544</v>
      </c>
    </row>
    <row r="169" spans="1:15" ht="27.75" hidden="1" customHeight="1" x14ac:dyDescent="0.35">
      <c r="A169" s="14" t="s">
        <v>807</v>
      </c>
      <c r="B169" s="14" t="s">
        <v>470</v>
      </c>
      <c r="C169" s="17" t="s">
        <v>793</v>
      </c>
      <c r="D169" s="42" t="s">
        <v>46</v>
      </c>
      <c r="E169" s="14" t="s">
        <v>490</v>
      </c>
      <c r="F169" s="14"/>
      <c r="G169" s="17" t="s">
        <v>472</v>
      </c>
      <c r="H169" s="19" t="s">
        <v>95</v>
      </c>
      <c r="I169" s="17">
        <v>10</v>
      </c>
      <c r="J169" s="17" t="s">
        <v>492</v>
      </c>
      <c r="K169" s="40">
        <v>46674</v>
      </c>
      <c r="L169" s="40">
        <v>46688</v>
      </c>
      <c r="M169" s="14" t="s">
        <v>543</v>
      </c>
      <c r="N169" s="14" t="s">
        <v>491</v>
      </c>
      <c r="O169" s="17" t="s">
        <v>544</v>
      </c>
    </row>
    <row r="170" spans="1:15" ht="27.75" hidden="1" customHeight="1" x14ac:dyDescent="0.35">
      <c r="A170" s="14" t="s">
        <v>808</v>
      </c>
      <c r="B170" s="14" t="s">
        <v>493</v>
      </c>
      <c r="C170" s="17" t="s">
        <v>809</v>
      </c>
      <c r="D170" s="42" t="s">
        <v>46</v>
      </c>
      <c r="E170" s="14" t="s">
        <v>494</v>
      </c>
      <c r="F170" s="14"/>
      <c r="G170" s="17" t="s">
        <v>472</v>
      </c>
      <c r="H170" s="16" t="s">
        <v>75</v>
      </c>
      <c r="I170" s="17">
        <v>5</v>
      </c>
      <c r="J170" s="17" t="s">
        <v>473</v>
      </c>
      <c r="K170" s="40">
        <v>46643</v>
      </c>
      <c r="L170" s="40">
        <v>46647</v>
      </c>
      <c r="M170" s="14" t="s">
        <v>810</v>
      </c>
      <c r="N170" s="14" t="s">
        <v>543</v>
      </c>
      <c r="O170" s="17" t="s">
        <v>544</v>
      </c>
    </row>
    <row r="171" spans="1:15" ht="27.75" hidden="1" customHeight="1" x14ac:dyDescent="0.35">
      <c r="A171" s="14" t="s">
        <v>811</v>
      </c>
      <c r="B171" s="14" t="s">
        <v>493</v>
      </c>
      <c r="C171" s="17" t="s">
        <v>809</v>
      </c>
      <c r="D171" s="42" t="s">
        <v>46</v>
      </c>
      <c r="E171" s="14" t="s">
        <v>496</v>
      </c>
      <c r="F171" s="14"/>
      <c r="G171" s="17" t="s">
        <v>472</v>
      </c>
      <c r="H171" s="16" t="s">
        <v>75</v>
      </c>
      <c r="I171" s="17">
        <v>5</v>
      </c>
      <c r="J171" s="17" t="s">
        <v>473</v>
      </c>
      <c r="K171" s="40">
        <v>46643</v>
      </c>
      <c r="L171" s="40">
        <v>46647</v>
      </c>
      <c r="M171" s="14" t="s">
        <v>543</v>
      </c>
      <c r="N171" s="14" t="s">
        <v>543</v>
      </c>
      <c r="O171" s="17" t="s">
        <v>544</v>
      </c>
    </row>
    <row r="172" spans="1:15" ht="27.75" hidden="1" customHeight="1" x14ac:dyDescent="0.35">
      <c r="A172" s="14" t="s">
        <v>813</v>
      </c>
      <c r="B172" s="14" t="s">
        <v>493</v>
      </c>
      <c r="C172" s="17" t="s">
        <v>809</v>
      </c>
      <c r="D172" s="42" t="s">
        <v>46</v>
      </c>
      <c r="E172" s="14" t="s">
        <v>498</v>
      </c>
      <c r="F172" s="14"/>
      <c r="G172" s="17" t="s">
        <v>472</v>
      </c>
      <c r="H172" s="19" t="s">
        <v>95</v>
      </c>
      <c r="I172" s="17">
        <v>10</v>
      </c>
      <c r="J172" s="17" t="s">
        <v>480</v>
      </c>
      <c r="K172" s="40">
        <v>46650</v>
      </c>
      <c r="L172" s="40">
        <v>46661</v>
      </c>
      <c r="M172" s="14" t="s">
        <v>543</v>
      </c>
      <c r="N172" s="14" t="s">
        <v>543</v>
      </c>
      <c r="O172" s="17" t="s">
        <v>544</v>
      </c>
    </row>
    <row r="173" spans="1:15" ht="27.75" hidden="1" customHeight="1" x14ac:dyDescent="0.35">
      <c r="A173" s="14" t="s">
        <v>815</v>
      </c>
      <c r="B173" s="14" t="s">
        <v>493</v>
      </c>
      <c r="C173" s="17" t="s">
        <v>809</v>
      </c>
      <c r="D173" s="42" t="s">
        <v>46</v>
      </c>
      <c r="E173" s="14" t="s">
        <v>500</v>
      </c>
      <c r="F173" s="14"/>
      <c r="G173" s="17" t="s">
        <v>472</v>
      </c>
      <c r="H173" s="22" t="s">
        <v>147</v>
      </c>
      <c r="I173" s="17">
        <v>20</v>
      </c>
      <c r="J173" s="17" t="s">
        <v>501</v>
      </c>
      <c r="K173" s="40">
        <v>46650</v>
      </c>
      <c r="L173" s="40">
        <v>46675</v>
      </c>
      <c r="M173" s="14" t="s">
        <v>543</v>
      </c>
      <c r="N173" s="14" t="s">
        <v>543</v>
      </c>
      <c r="O173" s="17" t="s">
        <v>544</v>
      </c>
    </row>
    <row r="174" spans="1:15" ht="27.75" hidden="1" customHeight="1" x14ac:dyDescent="0.35">
      <c r="A174" s="14" t="s">
        <v>817</v>
      </c>
      <c r="B174" s="14" t="s">
        <v>493</v>
      </c>
      <c r="C174" s="17" t="s">
        <v>809</v>
      </c>
      <c r="D174" s="42" t="s">
        <v>46</v>
      </c>
      <c r="E174" s="14" t="s">
        <v>503</v>
      </c>
      <c r="F174" s="14"/>
      <c r="G174" s="17" t="s">
        <v>472</v>
      </c>
      <c r="H174" s="26" t="s">
        <v>194</v>
      </c>
      <c r="I174" s="17">
        <v>1</v>
      </c>
      <c r="J174" s="17" t="s">
        <v>504</v>
      </c>
      <c r="K174" s="40">
        <v>46664</v>
      </c>
      <c r="L174" s="40">
        <v>46664</v>
      </c>
      <c r="M174" s="14" t="s">
        <v>818</v>
      </c>
      <c r="N174" s="14" t="s">
        <v>543</v>
      </c>
      <c r="O174" s="17" t="s">
        <v>544</v>
      </c>
    </row>
    <row r="175" spans="1:15" ht="27.75" hidden="1" customHeight="1" x14ac:dyDescent="0.35">
      <c r="A175" s="14" t="s">
        <v>820</v>
      </c>
      <c r="B175" s="14" t="s">
        <v>493</v>
      </c>
      <c r="C175" s="17" t="s">
        <v>809</v>
      </c>
      <c r="D175" s="42" t="s">
        <v>46</v>
      </c>
      <c r="E175" s="14" t="s">
        <v>506</v>
      </c>
      <c r="F175" s="14"/>
      <c r="G175" s="17" t="s">
        <v>472</v>
      </c>
      <c r="H175" s="23" t="s">
        <v>157</v>
      </c>
      <c r="I175" s="17">
        <v>30</v>
      </c>
      <c r="J175" s="17" t="s">
        <v>508</v>
      </c>
      <c r="K175" s="40">
        <v>46665</v>
      </c>
      <c r="L175" s="40">
        <v>46709</v>
      </c>
      <c r="M175" s="14" t="s">
        <v>821</v>
      </c>
      <c r="N175" s="14" t="s">
        <v>507</v>
      </c>
      <c r="O175" s="17" t="s">
        <v>544</v>
      </c>
    </row>
    <row r="176" spans="1:15" ht="27.75" hidden="1" customHeight="1" x14ac:dyDescent="0.35">
      <c r="A176" s="14" t="s">
        <v>823</v>
      </c>
      <c r="B176" s="14" t="s">
        <v>493</v>
      </c>
      <c r="C176" s="17" t="s">
        <v>809</v>
      </c>
      <c r="D176" s="42" t="s">
        <v>46</v>
      </c>
      <c r="E176" s="14" t="s">
        <v>510</v>
      </c>
      <c r="F176" s="14"/>
      <c r="G176" s="17" t="s">
        <v>472</v>
      </c>
      <c r="H176" s="22" t="s">
        <v>147</v>
      </c>
      <c r="I176" s="17">
        <v>20</v>
      </c>
      <c r="J176" s="17" t="s">
        <v>511</v>
      </c>
      <c r="K176" s="40">
        <v>46679</v>
      </c>
      <c r="L176" s="40">
        <v>46708</v>
      </c>
      <c r="M176" s="14" t="s">
        <v>543</v>
      </c>
      <c r="N176" s="14" t="s">
        <v>543</v>
      </c>
      <c r="O176" s="17" t="s">
        <v>544</v>
      </c>
    </row>
    <row r="177" spans="1:15" ht="27.75" hidden="1" customHeight="1" x14ac:dyDescent="0.35">
      <c r="A177" s="14" t="s">
        <v>824</v>
      </c>
      <c r="B177" s="14" t="s">
        <v>493</v>
      </c>
      <c r="C177" s="17" t="s">
        <v>809</v>
      </c>
      <c r="D177" s="42" t="s">
        <v>46</v>
      </c>
      <c r="E177" s="14" t="s">
        <v>512</v>
      </c>
      <c r="F177" s="14"/>
      <c r="G177" s="17" t="s">
        <v>472</v>
      </c>
      <c r="H177" s="19" t="s">
        <v>95</v>
      </c>
      <c r="I177" s="17">
        <v>10</v>
      </c>
      <c r="J177" s="17" t="s">
        <v>513</v>
      </c>
      <c r="K177" s="40">
        <v>46709</v>
      </c>
      <c r="L177" s="40">
        <v>46722</v>
      </c>
      <c r="M177" s="14" t="s">
        <v>543</v>
      </c>
      <c r="N177" s="14" t="s">
        <v>543</v>
      </c>
      <c r="O177" s="17" t="s">
        <v>544</v>
      </c>
    </row>
    <row r="178" spans="1:15" ht="27.75" hidden="1" customHeight="1" x14ac:dyDescent="0.35">
      <c r="A178" s="14" t="s">
        <v>825</v>
      </c>
      <c r="B178" s="14" t="s">
        <v>493</v>
      </c>
      <c r="C178" s="17" t="s">
        <v>809</v>
      </c>
      <c r="D178" s="42" t="s">
        <v>46</v>
      </c>
      <c r="E178" s="14" t="s">
        <v>514</v>
      </c>
      <c r="F178" s="14"/>
      <c r="G178" s="17" t="s">
        <v>472</v>
      </c>
      <c r="H178" s="23" t="s">
        <v>157</v>
      </c>
      <c r="I178" s="17">
        <v>30</v>
      </c>
      <c r="J178" s="17" t="s">
        <v>515</v>
      </c>
      <c r="K178" s="40">
        <v>46710</v>
      </c>
      <c r="L178" s="40">
        <v>46752</v>
      </c>
      <c r="M178" s="14" t="s">
        <v>543</v>
      </c>
      <c r="N178" s="14" t="s">
        <v>543</v>
      </c>
      <c r="O178" s="17" t="s">
        <v>544</v>
      </c>
    </row>
    <row r="180" spans="1:15" x14ac:dyDescent="0.35">
      <c r="B180" s="5" t="s">
        <v>827</v>
      </c>
    </row>
    <row r="181" spans="1:15" x14ac:dyDescent="0.35">
      <c r="B181" s="43" t="s">
        <v>828</v>
      </c>
      <c r="C181" s="17">
        <f>COUNTA(A6:A243)</f>
        <v>173</v>
      </c>
    </row>
    <row r="182" spans="1:15" x14ac:dyDescent="0.35">
      <c r="B182" s="43" t="s">
        <v>194</v>
      </c>
      <c r="C182" s="17">
        <f>COUNTIF(H6:H243,"XS")</f>
        <v>5</v>
      </c>
    </row>
    <row r="183" spans="1:15" x14ac:dyDescent="0.35">
      <c r="B183" s="43" t="s">
        <v>192</v>
      </c>
      <c r="C183" s="17">
        <f>COUNTIF(H6:H243,"S")</f>
        <v>34</v>
      </c>
    </row>
    <row r="184" spans="1:15" x14ac:dyDescent="0.35">
      <c r="B184" s="43" t="s">
        <v>75</v>
      </c>
      <c r="C184" s="17">
        <f>COUNTIF(H6:H243,"M")</f>
        <v>65</v>
      </c>
    </row>
    <row r="185" spans="1:15" x14ac:dyDescent="0.35">
      <c r="B185" s="43" t="s">
        <v>95</v>
      </c>
      <c r="C185" s="17">
        <f>COUNTIF(H6:H243,"L")</f>
        <v>43</v>
      </c>
    </row>
    <row r="186" spans="1:15" x14ac:dyDescent="0.35">
      <c r="B186" s="43" t="s">
        <v>147</v>
      </c>
      <c r="C186" s="17">
        <f>COUNTIF(H6:H243,"XL")</f>
        <v>20</v>
      </c>
    </row>
    <row r="187" spans="1:15" x14ac:dyDescent="0.35">
      <c r="B187" s="43" t="s">
        <v>157</v>
      </c>
      <c r="C187" s="17">
        <f>COUNTIF(H6:H243,"XXL")</f>
        <v>6</v>
      </c>
    </row>
    <row r="188" spans="1:15" x14ac:dyDescent="0.35">
      <c r="B188" s="43" t="s">
        <v>829</v>
      </c>
      <c r="C188" s="17">
        <f>SUM(I6:I243)</f>
        <v>1442</v>
      </c>
    </row>
    <row r="189" spans="1:15" x14ac:dyDescent="0.35">
      <c r="B189" s="43" t="s">
        <v>30</v>
      </c>
      <c r="C189" s="17">
        <f>COUNTIF(D6:D243,"Sprint 0")</f>
        <v>11</v>
      </c>
    </row>
    <row r="190" spans="1:15" x14ac:dyDescent="0.35">
      <c r="B190" s="43" t="s">
        <v>34</v>
      </c>
      <c r="C190" s="17">
        <f>COUNTIF(D6:D243,"Release 1")</f>
        <v>13</v>
      </c>
    </row>
    <row r="191" spans="1:15" x14ac:dyDescent="0.35">
      <c r="B191" s="43" t="s">
        <v>38</v>
      </c>
      <c r="C191" s="17">
        <f>COUNTIF(D6:D243,"Release 2")</f>
        <v>78</v>
      </c>
    </row>
    <row r="192" spans="1:15" x14ac:dyDescent="0.35">
      <c r="B192" s="43" t="s">
        <v>42</v>
      </c>
      <c r="C192" s="17">
        <f>COUNTIF(D6:D243,"Release 3")</f>
        <v>52</v>
      </c>
    </row>
    <row r="193" spans="2:3" x14ac:dyDescent="0.35">
      <c r="B193" s="43" t="s">
        <v>46</v>
      </c>
      <c r="C193" s="17">
        <f>COUNTIF(D6:D243,"Fase posterior")</f>
        <v>19</v>
      </c>
    </row>
    <row r="194" spans="2:3" x14ac:dyDescent="0.35">
      <c r="B194" s="43" t="s">
        <v>74</v>
      </c>
      <c r="C194" s="17">
        <f>COUNTIF(G6:G243,"Debe tener")</f>
        <v>111</v>
      </c>
    </row>
  </sheetData>
  <autoFilter ref="A5:O178" xr:uid="{00000000-0009-0000-0000-000002000000}">
    <filterColumn colId="3">
      <filters>
        <filter val="Release 1"/>
      </filters>
    </filterColumn>
  </autoFilter>
  <mergeCells count="2">
    <mergeCell ref="A1:O1"/>
    <mergeCell ref="A2:O2"/>
  </mergeCells>
  <dataValidations count="4">
    <dataValidation type="list" allowBlank="1" sqref="H6:H243" xr:uid="{00000000-0002-0000-0200-000000000000}">
      <formula1>"XS,S,M,L,XL,XXL"</formula1>
      <formula2>0</formula2>
    </dataValidation>
    <dataValidation type="list" allowBlank="1" sqref="G6:G243" xr:uid="{00000000-0002-0000-0200-000001000000}">
      <formula1>"Debe tener,Debería tener,Podría tener,No debería"</formula1>
      <formula2>0</formula2>
    </dataValidation>
    <dataValidation type="list" allowBlank="1" sqref="D6:D243" xr:uid="{00000000-0002-0000-0200-000002000000}">
      <formula1>"Sprint 0,Release 1,Release 2,Release 3,Fase posterior"</formula1>
      <formula2>0</formula2>
    </dataValidation>
    <dataValidation type="list" allowBlank="1" sqref="O6:O243" xr:uid="{00000000-0002-0000-0200-000003000000}">
      <formula1>"Por confirmar talla,Talla confirmada,Refinada,Descartada"</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49"/>
  <sheetViews>
    <sheetView showGridLines="0" topLeftCell="C1" zoomScale="65" zoomScaleNormal="100" workbookViewId="0">
      <selection activeCell="I5" sqref="I5"/>
    </sheetView>
  </sheetViews>
  <sheetFormatPr baseColWidth="10" defaultColWidth="8.7265625" defaultRowHeight="14.5" x14ac:dyDescent="0.35"/>
  <cols>
    <col min="1" max="1" width="18" customWidth="1"/>
    <col min="2" max="2" width="26" customWidth="1"/>
    <col min="3" max="3" width="42" customWidth="1"/>
    <col min="4" max="5" width="9" customWidth="1"/>
    <col min="6" max="6" width="11" customWidth="1"/>
    <col min="7" max="7" width="12" customWidth="1"/>
    <col min="8" max="8" width="11" customWidth="1"/>
    <col min="9" max="9" width="24" customWidth="1"/>
    <col min="10" max="10" width="26" customWidth="1"/>
    <col min="11" max="11" width="40" customWidth="1"/>
    <col min="12" max="12" width="20" customWidth="1"/>
    <col min="13" max="36" width="4.1796875" customWidth="1"/>
  </cols>
  <sheetData>
    <row r="1" spans="1:11" ht="25.5" customHeight="1" x14ac:dyDescent="0.35">
      <c r="A1" s="76" t="s">
        <v>1072</v>
      </c>
      <c r="B1" s="76"/>
      <c r="C1" s="76"/>
      <c r="D1" s="76"/>
      <c r="E1" s="76"/>
      <c r="F1" s="76"/>
      <c r="G1" s="76"/>
      <c r="H1" s="76"/>
      <c r="I1" s="76"/>
      <c r="J1" s="76"/>
      <c r="K1" s="76"/>
    </row>
    <row r="2" spans="1:11" ht="30" customHeight="1" x14ac:dyDescent="0.35">
      <c r="A2" s="77" t="s">
        <v>1073</v>
      </c>
      <c r="B2" s="77"/>
      <c r="C2" s="77"/>
      <c r="D2" s="77"/>
      <c r="E2" s="77"/>
      <c r="F2" s="77"/>
      <c r="G2" s="77"/>
      <c r="H2" s="77"/>
      <c r="I2" s="77"/>
      <c r="J2" s="77"/>
      <c r="K2" s="77"/>
    </row>
    <row r="4" spans="1:11" ht="33.75" customHeight="1" x14ac:dyDescent="0.35">
      <c r="A4" s="6" t="s">
        <v>533</v>
      </c>
      <c r="B4" s="6" t="s">
        <v>1074</v>
      </c>
      <c r="C4" s="6" t="s">
        <v>1075</v>
      </c>
      <c r="D4" s="6" t="s">
        <v>1076</v>
      </c>
      <c r="E4" s="6" t="s">
        <v>1077</v>
      </c>
      <c r="F4" s="6" t="s">
        <v>1078</v>
      </c>
      <c r="G4" s="6" t="s">
        <v>1079</v>
      </c>
      <c r="H4" s="6" t="s">
        <v>1080</v>
      </c>
      <c r="I4" s="6" t="s">
        <v>1081</v>
      </c>
      <c r="J4" s="6" t="s">
        <v>1082</v>
      </c>
      <c r="K4" s="6" t="s">
        <v>1083</v>
      </c>
    </row>
    <row r="5" spans="1:11" ht="45.75" customHeight="1" x14ac:dyDescent="0.35">
      <c r="A5" s="52" t="s">
        <v>1084</v>
      </c>
      <c r="B5" s="14" t="s">
        <v>1085</v>
      </c>
      <c r="C5" s="14" t="s">
        <v>1086</v>
      </c>
      <c r="D5" s="17">
        <v>2</v>
      </c>
      <c r="E5" s="17">
        <v>3.5</v>
      </c>
      <c r="F5" s="17">
        <v>9</v>
      </c>
      <c r="G5" s="17">
        <v>65</v>
      </c>
      <c r="H5" s="17" t="s">
        <v>1087</v>
      </c>
      <c r="I5" s="14" t="s">
        <v>1088</v>
      </c>
      <c r="J5" s="53" t="s">
        <v>1089</v>
      </c>
      <c r="K5" s="14" t="s">
        <v>1090</v>
      </c>
    </row>
    <row r="6" spans="1:11" ht="45.75" customHeight="1" x14ac:dyDescent="0.35">
      <c r="A6" s="52" t="s">
        <v>1091</v>
      </c>
      <c r="B6" s="14" t="s">
        <v>1085</v>
      </c>
      <c r="C6" s="14" t="s">
        <v>1086</v>
      </c>
      <c r="D6" s="17">
        <v>3</v>
      </c>
      <c r="E6" s="17">
        <v>4.5</v>
      </c>
      <c r="F6" s="17">
        <v>8</v>
      </c>
      <c r="G6" s="17">
        <v>100</v>
      </c>
      <c r="H6" s="17" t="s">
        <v>155</v>
      </c>
      <c r="I6" s="14" t="s">
        <v>1092</v>
      </c>
      <c r="J6" s="53" t="s">
        <v>1089</v>
      </c>
      <c r="K6" s="14" t="s">
        <v>1090</v>
      </c>
    </row>
    <row r="7" spans="1:11" ht="45.75" customHeight="1" x14ac:dyDescent="0.35">
      <c r="A7" s="52" t="s">
        <v>1093</v>
      </c>
      <c r="B7" s="14" t="s">
        <v>1085</v>
      </c>
      <c r="C7" s="14" t="s">
        <v>1086</v>
      </c>
      <c r="D7" s="17">
        <v>2</v>
      </c>
      <c r="E7" s="17">
        <v>3.5</v>
      </c>
      <c r="F7" s="17">
        <v>10</v>
      </c>
      <c r="G7" s="17">
        <v>108</v>
      </c>
      <c r="H7" s="17" t="s">
        <v>206</v>
      </c>
      <c r="I7" s="14" t="s">
        <v>1094</v>
      </c>
      <c r="J7" s="53" t="s">
        <v>1089</v>
      </c>
      <c r="K7" s="14" t="s">
        <v>1090</v>
      </c>
    </row>
    <row r="8" spans="1:11" ht="45.75" customHeight="1" x14ac:dyDescent="0.35">
      <c r="A8" s="52" t="s">
        <v>1095</v>
      </c>
      <c r="B8" s="14" t="s">
        <v>1096</v>
      </c>
      <c r="C8" s="14" t="s">
        <v>1097</v>
      </c>
      <c r="D8" s="17">
        <v>4</v>
      </c>
      <c r="E8" s="17">
        <v>6</v>
      </c>
      <c r="F8" s="17">
        <v>1</v>
      </c>
      <c r="G8" s="17">
        <v>10</v>
      </c>
      <c r="H8" s="17" t="s">
        <v>1087</v>
      </c>
      <c r="I8" s="14" t="s">
        <v>1098</v>
      </c>
      <c r="J8" s="53" t="s">
        <v>1099</v>
      </c>
      <c r="K8" s="14" t="s">
        <v>1100</v>
      </c>
    </row>
    <row r="9" spans="1:11" ht="45.75" customHeight="1" x14ac:dyDescent="0.35">
      <c r="A9" s="52" t="s">
        <v>1101</v>
      </c>
      <c r="B9" s="14" t="s">
        <v>1096</v>
      </c>
      <c r="C9" s="14" t="s">
        <v>1097</v>
      </c>
      <c r="D9" s="17">
        <v>5</v>
      </c>
      <c r="E9" s="17">
        <v>7</v>
      </c>
      <c r="F9" s="17">
        <v>12</v>
      </c>
      <c r="G9" s="17">
        <v>109</v>
      </c>
      <c r="H9" s="17" t="s">
        <v>155</v>
      </c>
      <c r="I9" s="14" t="s">
        <v>1102</v>
      </c>
      <c r="J9" s="53" t="s">
        <v>1099</v>
      </c>
      <c r="K9" s="14" t="s">
        <v>1100</v>
      </c>
    </row>
    <row r="10" spans="1:11" ht="45.75" customHeight="1" x14ac:dyDescent="0.35">
      <c r="A10" s="52" t="s">
        <v>1103</v>
      </c>
      <c r="B10" s="14" t="s">
        <v>1096</v>
      </c>
      <c r="C10" s="14" t="s">
        <v>1097</v>
      </c>
      <c r="D10" s="17">
        <v>4</v>
      </c>
      <c r="E10" s="17">
        <v>6</v>
      </c>
      <c r="F10" s="17">
        <v>29</v>
      </c>
      <c r="G10" s="17">
        <v>227</v>
      </c>
      <c r="H10" s="17" t="s">
        <v>206</v>
      </c>
      <c r="I10" s="14" t="s">
        <v>1104</v>
      </c>
      <c r="J10" s="53" t="s">
        <v>1099</v>
      </c>
      <c r="K10" s="14" t="s">
        <v>1100</v>
      </c>
    </row>
    <row r="11" spans="1:11" ht="45.75" customHeight="1" x14ac:dyDescent="0.35">
      <c r="A11" s="52" t="s">
        <v>1105</v>
      </c>
      <c r="B11" s="14" t="s">
        <v>1106</v>
      </c>
      <c r="C11" s="14" t="s">
        <v>1107</v>
      </c>
      <c r="D11" s="17">
        <v>3</v>
      </c>
      <c r="E11" s="17">
        <v>5</v>
      </c>
      <c r="F11" s="17">
        <v>1</v>
      </c>
      <c r="G11" s="17">
        <v>5</v>
      </c>
      <c r="H11" s="17" t="s">
        <v>1087</v>
      </c>
      <c r="I11" s="14" t="s">
        <v>1108</v>
      </c>
      <c r="J11" s="53" t="s">
        <v>1109</v>
      </c>
      <c r="K11" s="14" t="s">
        <v>1110</v>
      </c>
    </row>
    <row r="12" spans="1:11" ht="45.75" customHeight="1" x14ac:dyDescent="0.35">
      <c r="A12" s="52" t="s">
        <v>1111</v>
      </c>
      <c r="B12" s="14" t="s">
        <v>1106</v>
      </c>
      <c r="C12" s="14" t="s">
        <v>1107</v>
      </c>
      <c r="D12" s="17">
        <v>3</v>
      </c>
      <c r="E12" s="17">
        <v>5</v>
      </c>
      <c r="F12" s="17">
        <v>13</v>
      </c>
      <c r="G12" s="17">
        <v>84</v>
      </c>
      <c r="H12" s="17" t="s">
        <v>206</v>
      </c>
      <c r="I12" s="14" t="s">
        <v>1112</v>
      </c>
      <c r="J12" s="53" t="s">
        <v>1109</v>
      </c>
      <c r="K12" s="14" t="s">
        <v>1110</v>
      </c>
    </row>
    <row r="13" spans="1:11" ht="45.75" customHeight="1" x14ac:dyDescent="0.35">
      <c r="A13" s="52" t="s">
        <v>600</v>
      </c>
      <c r="B13" s="14" t="s">
        <v>231</v>
      </c>
      <c r="C13" s="14" t="s">
        <v>1113</v>
      </c>
      <c r="D13" s="17">
        <v>3</v>
      </c>
      <c r="E13" s="17">
        <v>4.5</v>
      </c>
      <c r="F13" s="17">
        <v>26</v>
      </c>
      <c r="G13" s="17">
        <v>283</v>
      </c>
      <c r="H13" s="17" t="s">
        <v>206</v>
      </c>
      <c r="I13" s="14" t="s">
        <v>1114</v>
      </c>
      <c r="J13" s="53" t="s">
        <v>1115</v>
      </c>
      <c r="K13" s="14" t="s">
        <v>1116</v>
      </c>
    </row>
    <row r="14" spans="1:11" ht="45.75" customHeight="1" x14ac:dyDescent="0.35">
      <c r="A14" s="52" t="s">
        <v>713</v>
      </c>
      <c r="B14" s="14" t="s">
        <v>1117</v>
      </c>
      <c r="C14" s="14" t="s">
        <v>1118</v>
      </c>
      <c r="D14" s="17">
        <v>2</v>
      </c>
      <c r="E14" s="17">
        <v>3.5</v>
      </c>
      <c r="F14" s="17">
        <v>22</v>
      </c>
      <c r="G14" s="17">
        <v>160</v>
      </c>
      <c r="H14" s="17" t="s">
        <v>290</v>
      </c>
      <c r="I14" s="14" t="s">
        <v>1119</v>
      </c>
      <c r="J14" s="53" t="s">
        <v>1120</v>
      </c>
      <c r="K14" s="14" t="s">
        <v>1121</v>
      </c>
    </row>
    <row r="15" spans="1:11" ht="45.75" customHeight="1" x14ac:dyDescent="0.35">
      <c r="A15" s="52" t="s">
        <v>744</v>
      </c>
      <c r="B15" s="14" t="s">
        <v>1122</v>
      </c>
      <c r="C15" s="14" t="s">
        <v>1123</v>
      </c>
      <c r="D15" s="17">
        <v>3</v>
      </c>
      <c r="E15" s="17">
        <v>4.5</v>
      </c>
      <c r="F15" s="17">
        <v>30</v>
      </c>
      <c r="G15" s="17">
        <v>188</v>
      </c>
      <c r="H15" s="17" t="s">
        <v>390</v>
      </c>
      <c r="I15" s="14" t="s">
        <v>1124</v>
      </c>
      <c r="J15" s="54" t="s">
        <v>1125</v>
      </c>
      <c r="K15" s="14" t="s">
        <v>1126</v>
      </c>
    </row>
    <row r="16" spans="1:11" ht="45.75" customHeight="1" x14ac:dyDescent="0.35">
      <c r="A16" s="52" t="s">
        <v>809</v>
      </c>
      <c r="B16" s="14" t="s">
        <v>493</v>
      </c>
      <c r="C16" s="14" t="s">
        <v>1127</v>
      </c>
      <c r="D16" s="17">
        <v>2</v>
      </c>
      <c r="E16" s="17">
        <v>2.5</v>
      </c>
      <c r="F16" s="17">
        <v>9</v>
      </c>
      <c r="G16" s="17">
        <v>131</v>
      </c>
      <c r="H16" s="17" t="s">
        <v>473</v>
      </c>
      <c r="I16" s="14" t="s">
        <v>1128</v>
      </c>
      <c r="J16" s="55" t="s">
        <v>1129</v>
      </c>
      <c r="K16" s="14" t="s">
        <v>1130</v>
      </c>
    </row>
    <row r="17" spans="1:36" ht="45.75" customHeight="1" x14ac:dyDescent="0.35">
      <c r="A17" s="52" t="s">
        <v>793</v>
      </c>
      <c r="B17" s="14" t="s">
        <v>470</v>
      </c>
      <c r="C17" s="14" t="s">
        <v>1127</v>
      </c>
      <c r="D17" s="17">
        <v>2</v>
      </c>
      <c r="E17" s="17">
        <v>2.5</v>
      </c>
      <c r="F17" s="17">
        <v>10</v>
      </c>
      <c r="G17" s="17">
        <v>67</v>
      </c>
      <c r="H17" s="17" t="s">
        <v>473</v>
      </c>
      <c r="I17" s="14" t="s">
        <v>1131</v>
      </c>
      <c r="J17" s="55" t="s">
        <v>1132</v>
      </c>
      <c r="K17" s="14" t="s">
        <v>1133</v>
      </c>
    </row>
    <row r="18" spans="1:36" x14ac:dyDescent="0.35">
      <c r="C18" s="56" t="s">
        <v>1134</v>
      </c>
      <c r="E18" s="57">
        <v>34</v>
      </c>
      <c r="F18" s="58">
        <f>SUM(F5:F17)</f>
        <v>180</v>
      </c>
    </row>
    <row r="20" spans="1:36" x14ac:dyDescent="0.35">
      <c r="C20" s="8" t="s">
        <v>1135</v>
      </c>
      <c r="D20" s="84" t="s">
        <v>1136</v>
      </c>
      <c r="E20" s="84"/>
      <c r="F20" s="84"/>
      <c r="G20" s="84"/>
      <c r="H20" s="84"/>
      <c r="I20" s="84"/>
    </row>
    <row r="23" spans="1:36" x14ac:dyDescent="0.35">
      <c r="A23" s="78" t="s">
        <v>1137</v>
      </c>
      <c r="B23" s="78"/>
      <c r="C23" s="78"/>
      <c r="D23" s="78"/>
      <c r="E23" s="78"/>
      <c r="F23" s="78"/>
      <c r="G23" s="78"/>
      <c r="H23" s="78"/>
      <c r="I23" s="78"/>
      <c r="J23" s="78"/>
    </row>
    <row r="24" spans="1:36" x14ac:dyDescent="0.35">
      <c r="L24" s="59" t="s">
        <v>533</v>
      </c>
      <c r="M24" s="60" t="s">
        <v>155</v>
      </c>
      <c r="N24" s="60" t="s">
        <v>1138</v>
      </c>
      <c r="O24" s="60" t="s">
        <v>174</v>
      </c>
      <c r="P24" s="60" t="s">
        <v>1139</v>
      </c>
      <c r="Q24" s="60" t="s">
        <v>1140</v>
      </c>
      <c r="R24" s="60" t="s">
        <v>1141</v>
      </c>
      <c r="S24" s="60" t="s">
        <v>206</v>
      </c>
      <c r="T24" s="60" t="s">
        <v>219</v>
      </c>
      <c r="U24" s="60" t="s">
        <v>1142</v>
      </c>
      <c r="V24" s="60" t="s">
        <v>309</v>
      </c>
      <c r="W24" s="60" t="s">
        <v>258</v>
      </c>
      <c r="X24" s="60" t="s">
        <v>266</v>
      </c>
      <c r="Y24" s="60" t="s">
        <v>1143</v>
      </c>
      <c r="Z24" s="60" t="s">
        <v>288</v>
      </c>
      <c r="AA24" s="60" t="s">
        <v>290</v>
      </c>
      <c r="AB24" s="60" t="s">
        <v>381</v>
      </c>
      <c r="AC24" s="60" t="s">
        <v>390</v>
      </c>
      <c r="AD24" s="60" t="s">
        <v>398</v>
      </c>
      <c r="AE24" s="60" t="s">
        <v>403</v>
      </c>
      <c r="AF24" s="60" t="s">
        <v>408</v>
      </c>
      <c r="AG24" s="60" t="s">
        <v>412</v>
      </c>
      <c r="AH24" s="60" t="s">
        <v>473</v>
      </c>
      <c r="AI24" s="60" t="s">
        <v>504</v>
      </c>
      <c r="AJ24" s="60" t="s">
        <v>492</v>
      </c>
    </row>
    <row r="25" spans="1:36" ht="18" customHeight="1" x14ac:dyDescent="0.35">
      <c r="L25" s="61" t="s">
        <v>1084</v>
      </c>
      <c r="M25" s="62"/>
      <c r="N25" s="62"/>
      <c r="O25" s="62"/>
      <c r="P25" s="62"/>
      <c r="Q25" s="62"/>
      <c r="R25" s="62"/>
      <c r="S25" s="62"/>
      <c r="T25" s="62"/>
      <c r="U25" s="62"/>
      <c r="V25" s="62"/>
      <c r="W25" s="62"/>
      <c r="X25" s="62"/>
      <c r="Y25" s="62"/>
      <c r="Z25" s="62"/>
      <c r="AA25" s="62"/>
      <c r="AB25" s="62"/>
      <c r="AC25" s="62"/>
      <c r="AD25" s="62"/>
      <c r="AE25" s="62"/>
      <c r="AF25" s="62"/>
      <c r="AG25" s="62"/>
      <c r="AH25" s="62"/>
      <c r="AI25" s="62"/>
      <c r="AJ25" s="62"/>
    </row>
    <row r="26" spans="1:36" ht="18" customHeight="1" x14ac:dyDescent="0.35">
      <c r="L26" s="61" t="s">
        <v>1091</v>
      </c>
      <c r="M26" s="63"/>
      <c r="N26" s="63"/>
      <c r="O26" s="63"/>
      <c r="P26" s="63"/>
      <c r="Q26" s="62"/>
      <c r="R26" s="62"/>
      <c r="S26" s="62"/>
      <c r="T26" s="62"/>
      <c r="U26" s="62"/>
      <c r="V26" s="62"/>
      <c r="W26" s="62"/>
      <c r="X26" s="62"/>
      <c r="Y26" s="62"/>
      <c r="Z26" s="62"/>
      <c r="AA26" s="62"/>
      <c r="AB26" s="62"/>
      <c r="AC26" s="62"/>
      <c r="AD26" s="62"/>
      <c r="AE26" s="62"/>
      <c r="AF26" s="62"/>
      <c r="AG26" s="62"/>
      <c r="AH26" s="62"/>
      <c r="AI26" s="62"/>
      <c r="AJ26" s="62"/>
    </row>
    <row r="27" spans="1:36" ht="18" customHeight="1" x14ac:dyDescent="0.35">
      <c r="L27" s="61" t="s">
        <v>1093</v>
      </c>
      <c r="M27" s="62"/>
      <c r="N27" s="62"/>
      <c r="O27" s="62"/>
      <c r="P27" s="62"/>
      <c r="Q27" s="62"/>
      <c r="R27" s="62"/>
      <c r="S27" s="64"/>
      <c r="T27" s="64"/>
      <c r="U27" s="64"/>
      <c r="V27" s="64"/>
      <c r="W27" s="64"/>
      <c r="X27" s="62"/>
      <c r="Y27" s="62"/>
      <c r="Z27" s="62"/>
      <c r="AA27" s="62"/>
      <c r="AB27" s="62"/>
      <c r="AC27" s="62"/>
      <c r="AD27" s="62"/>
      <c r="AE27" s="62"/>
      <c r="AF27" s="62"/>
      <c r="AG27" s="62"/>
      <c r="AH27" s="62"/>
      <c r="AI27" s="62"/>
      <c r="AJ27" s="62"/>
    </row>
    <row r="28" spans="1:36" ht="18" customHeight="1" x14ac:dyDescent="0.35">
      <c r="L28" s="61" t="s">
        <v>1095</v>
      </c>
      <c r="M28" s="62"/>
      <c r="N28" s="62"/>
      <c r="O28" s="62"/>
      <c r="P28" s="62"/>
      <c r="Q28" s="62"/>
      <c r="R28" s="62"/>
      <c r="S28" s="62"/>
      <c r="T28" s="62"/>
      <c r="U28" s="62"/>
      <c r="V28" s="62"/>
      <c r="W28" s="62"/>
      <c r="X28" s="62"/>
      <c r="Y28" s="62"/>
      <c r="Z28" s="62"/>
      <c r="AA28" s="62"/>
      <c r="AB28" s="62"/>
      <c r="AC28" s="62"/>
      <c r="AD28" s="62"/>
      <c r="AE28" s="62"/>
      <c r="AF28" s="62"/>
      <c r="AG28" s="62"/>
      <c r="AH28" s="62"/>
      <c r="AI28" s="62"/>
      <c r="AJ28" s="62"/>
    </row>
    <row r="29" spans="1:36" ht="18" customHeight="1" x14ac:dyDescent="0.35">
      <c r="L29" s="61" t="s">
        <v>1101</v>
      </c>
      <c r="M29" s="63"/>
      <c r="N29" s="63"/>
      <c r="O29" s="63"/>
      <c r="P29" s="62"/>
      <c r="Q29" s="62"/>
      <c r="R29" s="62"/>
      <c r="S29" s="62"/>
      <c r="T29" s="62"/>
      <c r="U29" s="62"/>
      <c r="V29" s="62"/>
      <c r="W29" s="62"/>
      <c r="X29" s="62"/>
      <c r="Y29" s="62"/>
      <c r="Z29" s="62"/>
      <c r="AA29" s="62"/>
      <c r="AB29" s="62"/>
      <c r="AC29" s="62"/>
      <c r="AD29" s="62"/>
      <c r="AE29" s="62"/>
      <c r="AF29" s="62"/>
      <c r="AG29" s="62"/>
      <c r="AH29" s="62"/>
      <c r="AI29" s="62"/>
      <c r="AJ29" s="62"/>
    </row>
    <row r="30" spans="1:36" ht="18" customHeight="1" x14ac:dyDescent="0.35">
      <c r="L30" s="61" t="s">
        <v>1103</v>
      </c>
      <c r="M30" s="62"/>
      <c r="N30" s="62"/>
      <c r="O30" s="62"/>
      <c r="P30" s="62"/>
      <c r="Q30" s="62"/>
      <c r="R30" s="62"/>
      <c r="S30" s="64"/>
      <c r="T30" s="64"/>
      <c r="U30" s="64"/>
      <c r="V30" s="64"/>
      <c r="W30" s="64"/>
      <c r="X30" s="64"/>
      <c r="Y30" s="62"/>
      <c r="Z30" s="62"/>
      <c r="AA30" s="62"/>
      <c r="AB30" s="62"/>
      <c r="AC30" s="62"/>
      <c r="AD30" s="62"/>
      <c r="AE30" s="62"/>
      <c r="AF30" s="62"/>
      <c r="AG30" s="62"/>
      <c r="AH30" s="62"/>
      <c r="AI30" s="62"/>
      <c r="AJ30" s="62"/>
    </row>
    <row r="31" spans="1:36" ht="18" customHeight="1" x14ac:dyDescent="0.35">
      <c r="L31" s="61" t="s">
        <v>1105</v>
      </c>
      <c r="M31" s="62"/>
      <c r="N31" s="62"/>
      <c r="O31" s="62"/>
      <c r="P31" s="62"/>
      <c r="Q31" s="62"/>
      <c r="R31" s="62"/>
      <c r="S31" s="62"/>
      <c r="T31" s="62"/>
      <c r="U31" s="62"/>
      <c r="V31" s="62"/>
      <c r="W31" s="62"/>
      <c r="X31" s="62"/>
      <c r="Y31" s="62"/>
      <c r="Z31" s="62"/>
      <c r="AA31" s="62"/>
      <c r="AB31" s="62"/>
      <c r="AC31" s="62"/>
      <c r="AD31" s="62"/>
      <c r="AE31" s="62"/>
      <c r="AF31" s="62"/>
      <c r="AG31" s="62"/>
      <c r="AH31" s="62"/>
      <c r="AI31" s="62"/>
      <c r="AJ31" s="62"/>
    </row>
    <row r="32" spans="1:36" ht="18" customHeight="1" x14ac:dyDescent="0.35">
      <c r="L32" s="61" t="s">
        <v>1111</v>
      </c>
      <c r="M32" s="62"/>
      <c r="N32" s="62"/>
      <c r="O32" s="62"/>
      <c r="P32" s="62"/>
      <c r="Q32" s="62"/>
      <c r="R32" s="62"/>
      <c r="S32" s="64"/>
      <c r="T32" s="64"/>
      <c r="U32" s="64"/>
      <c r="V32" s="64"/>
      <c r="W32" s="62"/>
      <c r="X32" s="62"/>
      <c r="Y32" s="62"/>
      <c r="Z32" s="62"/>
      <c r="AA32" s="62"/>
      <c r="AB32" s="62"/>
      <c r="AC32" s="62"/>
      <c r="AD32" s="62"/>
      <c r="AE32" s="62"/>
      <c r="AF32" s="62"/>
      <c r="AG32" s="62"/>
      <c r="AH32" s="62"/>
      <c r="AI32" s="62"/>
      <c r="AJ32" s="62"/>
    </row>
    <row r="33" spans="12:36" ht="18" customHeight="1" x14ac:dyDescent="0.35">
      <c r="L33" s="61" t="s">
        <v>600</v>
      </c>
      <c r="M33" s="62"/>
      <c r="N33" s="62"/>
      <c r="O33" s="62"/>
      <c r="P33" s="62"/>
      <c r="Q33" s="62"/>
      <c r="R33" s="62"/>
      <c r="S33" s="64"/>
      <c r="T33" s="64"/>
      <c r="U33" s="64"/>
      <c r="V33" s="64"/>
      <c r="W33" s="64"/>
      <c r="X33" s="64"/>
      <c r="Y33" s="64"/>
      <c r="Z33" s="64"/>
      <c r="AA33" s="64"/>
      <c r="AB33" s="64"/>
      <c r="AC33" s="62"/>
      <c r="AD33" s="62"/>
      <c r="AE33" s="62"/>
      <c r="AF33" s="62"/>
      <c r="AG33" s="62"/>
      <c r="AH33" s="62"/>
      <c r="AI33" s="62"/>
      <c r="AJ33" s="62"/>
    </row>
    <row r="34" spans="12:36" ht="18" customHeight="1" x14ac:dyDescent="0.35">
      <c r="L34" s="61" t="s">
        <v>713</v>
      </c>
      <c r="M34" s="62"/>
      <c r="N34" s="62"/>
      <c r="O34" s="62"/>
      <c r="P34" s="62"/>
      <c r="Q34" s="62"/>
      <c r="R34" s="62"/>
      <c r="S34" s="62"/>
      <c r="T34" s="62"/>
      <c r="U34" s="62"/>
      <c r="V34" s="62"/>
      <c r="W34" s="62"/>
      <c r="X34" s="62"/>
      <c r="Y34" s="62"/>
      <c r="Z34" s="62"/>
      <c r="AA34" s="65"/>
      <c r="AB34" s="65"/>
      <c r="AC34" s="65"/>
      <c r="AD34" s="65"/>
      <c r="AE34" s="65"/>
      <c r="AF34" s="65"/>
      <c r="AG34" s="65"/>
      <c r="AH34" s="65"/>
      <c r="AI34" s="62"/>
      <c r="AJ34" s="62"/>
    </row>
    <row r="35" spans="12:36" ht="18" customHeight="1" x14ac:dyDescent="0.35">
      <c r="L35" s="61" t="s">
        <v>744</v>
      </c>
      <c r="M35" s="62"/>
      <c r="N35" s="62"/>
      <c r="O35" s="62"/>
      <c r="P35" s="62"/>
      <c r="Q35" s="62"/>
      <c r="R35" s="62"/>
      <c r="S35" s="62"/>
      <c r="T35" s="62"/>
      <c r="U35" s="62"/>
      <c r="V35" s="62"/>
      <c r="W35" s="62"/>
      <c r="X35" s="62"/>
      <c r="Y35" s="62"/>
      <c r="Z35" s="62"/>
      <c r="AA35" s="62"/>
      <c r="AB35" s="62"/>
      <c r="AC35" s="65"/>
      <c r="AD35" s="65"/>
      <c r="AE35" s="65"/>
      <c r="AF35" s="65"/>
      <c r="AG35" s="65"/>
      <c r="AH35" s="65"/>
      <c r="AI35" s="62"/>
      <c r="AJ35" s="62"/>
    </row>
    <row r="36" spans="12:36" ht="18" customHeight="1" x14ac:dyDescent="0.35">
      <c r="L36" s="61" t="s">
        <v>809</v>
      </c>
      <c r="M36" s="62"/>
      <c r="N36" s="62"/>
      <c r="O36" s="62"/>
      <c r="P36" s="62"/>
      <c r="Q36" s="62"/>
      <c r="R36" s="62"/>
      <c r="S36" s="62"/>
      <c r="T36" s="62"/>
      <c r="U36" s="62"/>
      <c r="V36" s="62"/>
      <c r="W36" s="62"/>
      <c r="X36" s="62"/>
      <c r="Y36" s="62"/>
      <c r="Z36" s="62"/>
      <c r="AA36" s="62"/>
      <c r="AB36" s="62"/>
      <c r="AC36" s="62"/>
      <c r="AD36" s="62"/>
      <c r="AE36" s="62"/>
      <c r="AF36" s="62"/>
      <c r="AG36" s="62"/>
      <c r="AH36" s="66"/>
      <c r="AI36" s="66"/>
      <c r="AJ36" s="66"/>
    </row>
    <row r="37" spans="12:36" ht="18" customHeight="1" x14ac:dyDescent="0.35">
      <c r="L37" s="61" t="s">
        <v>793</v>
      </c>
      <c r="M37" s="62"/>
      <c r="N37" s="62"/>
      <c r="O37" s="62"/>
      <c r="P37" s="62"/>
      <c r="Q37" s="62"/>
      <c r="R37" s="62"/>
      <c r="S37" s="62"/>
      <c r="T37" s="62"/>
      <c r="U37" s="62"/>
      <c r="V37" s="62"/>
      <c r="W37" s="62"/>
      <c r="X37" s="62"/>
      <c r="Y37" s="62"/>
      <c r="Z37" s="62"/>
      <c r="AA37" s="62"/>
      <c r="AB37" s="62"/>
      <c r="AC37" s="62"/>
      <c r="AD37" s="62"/>
      <c r="AE37" s="62"/>
      <c r="AF37" s="62"/>
      <c r="AG37" s="62"/>
      <c r="AH37" s="66"/>
      <c r="AI37" s="66"/>
      <c r="AJ37" s="66"/>
    </row>
    <row r="40" spans="12:36" x14ac:dyDescent="0.35">
      <c r="L40" s="5" t="s">
        <v>1144</v>
      </c>
    </row>
    <row r="41" spans="12:36" ht="30" customHeight="1" x14ac:dyDescent="0.35">
      <c r="L41" s="83" t="s">
        <v>1145</v>
      </c>
      <c r="M41" s="83"/>
      <c r="N41" s="83"/>
      <c r="O41" s="83"/>
      <c r="P41" s="83"/>
      <c r="Q41" s="83"/>
      <c r="R41" s="83"/>
      <c r="S41" s="83"/>
      <c r="T41" s="83"/>
      <c r="U41" s="83"/>
      <c r="V41" s="83"/>
      <c r="W41" s="83"/>
      <c r="X41" s="83"/>
      <c r="Y41" s="83"/>
      <c r="Z41" s="83"/>
    </row>
    <row r="42" spans="12:36" ht="30" customHeight="1" x14ac:dyDescent="0.35">
      <c r="L42" s="83" t="s">
        <v>1146</v>
      </c>
      <c r="M42" s="83"/>
      <c r="N42" s="83"/>
      <c r="O42" s="83"/>
      <c r="P42" s="83"/>
      <c r="Q42" s="83"/>
      <c r="R42" s="83"/>
      <c r="S42" s="83"/>
      <c r="T42" s="83"/>
      <c r="U42" s="83"/>
      <c r="V42" s="83"/>
      <c r="W42" s="83"/>
      <c r="X42" s="83"/>
      <c r="Y42" s="83"/>
      <c r="Z42" s="83"/>
    </row>
    <row r="43" spans="12:36" ht="30" customHeight="1" x14ac:dyDescent="0.35">
      <c r="L43" s="83" t="s">
        <v>1147</v>
      </c>
      <c r="M43" s="83"/>
      <c r="N43" s="83"/>
      <c r="O43" s="83"/>
      <c r="P43" s="83"/>
      <c r="Q43" s="83"/>
      <c r="R43" s="83"/>
      <c r="S43" s="83"/>
      <c r="T43" s="83"/>
      <c r="U43" s="83"/>
      <c r="V43" s="83"/>
      <c r="W43" s="83"/>
      <c r="X43" s="83"/>
      <c r="Y43" s="83"/>
      <c r="Z43" s="83"/>
    </row>
    <row r="44" spans="12:36" ht="30" customHeight="1" x14ac:dyDescent="0.35">
      <c r="L44" s="83" t="s">
        <v>1148</v>
      </c>
      <c r="M44" s="83"/>
      <c r="N44" s="83"/>
      <c r="O44" s="83"/>
      <c r="P44" s="83"/>
      <c r="Q44" s="83"/>
      <c r="R44" s="83"/>
      <c r="S44" s="83"/>
      <c r="T44" s="83"/>
      <c r="U44" s="83"/>
      <c r="V44" s="83"/>
      <c r="W44" s="83"/>
      <c r="X44" s="83"/>
      <c r="Y44" s="83"/>
      <c r="Z44" s="83"/>
    </row>
    <row r="45" spans="12:36" ht="30" customHeight="1" x14ac:dyDescent="0.35">
      <c r="L45" s="83" t="s">
        <v>1149</v>
      </c>
      <c r="M45" s="83"/>
      <c r="N45" s="83"/>
      <c r="O45" s="83"/>
      <c r="P45" s="83"/>
      <c r="Q45" s="83"/>
      <c r="R45" s="83"/>
      <c r="S45" s="83"/>
      <c r="T45" s="83"/>
      <c r="U45" s="83"/>
      <c r="V45" s="83"/>
      <c r="W45" s="83"/>
      <c r="X45" s="83"/>
      <c r="Y45" s="83"/>
      <c r="Z45" s="83"/>
    </row>
    <row r="46" spans="12:36" ht="30" customHeight="1" x14ac:dyDescent="0.35">
      <c r="L46" s="83" t="s">
        <v>1150</v>
      </c>
      <c r="M46" s="83"/>
      <c r="N46" s="83"/>
      <c r="O46" s="83"/>
      <c r="P46" s="83"/>
      <c r="Q46" s="83"/>
      <c r="R46" s="83"/>
      <c r="S46" s="83"/>
      <c r="T46" s="83"/>
      <c r="U46" s="83"/>
      <c r="V46" s="83"/>
      <c r="W46" s="83"/>
      <c r="X46" s="83"/>
      <c r="Y46" s="83"/>
      <c r="Z46" s="83"/>
    </row>
    <row r="47" spans="12:36" ht="30" customHeight="1" x14ac:dyDescent="0.35">
      <c r="L47" s="83" t="s">
        <v>1151</v>
      </c>
      <c r="M47" s="83"/>
      <c r="N47" s="83"/>
      <c r="O47" s="83"/>
      <c r="P47" s="83"/>
      <c r="Q47" s="83"/>
      <c r="R47" s="83"/>
      <c r="S47" s="83"/>
      <c r="T47" s="83"/>
      <c r="U47" s="83"/>
      <c r="V47" s="83"/>
      <c r="W47" s="83"/>
      <c r="X47" s="83"/>
      <c r="Y47" s="83"/>
      <c r="Z47" s="83"/>
    </row>
    <row r="48" spans="12:36" ht="30" customHeight="1" x14ac:dyDescent="0.35">
      <c r="L48" s="83" t="s">
        <v>1152</v>
      </c>
      <c r="M48" s="83"/>
      <c r="N48" s="83"/>
      <c r="O48" s="83"/>
      <c r="P48" s="83"/>
      <c r="Q48" s="83"/>
      <c r="R48" s="83"/>
      <c r="S48" s="83"/>
      <c r="T48" s="83"/>
      <c r="U48" s="83"/>
      <c r="V48" s="83"/>
      <c r="W48" s="83"/>
      <c r="X48" s="83"/>
      <c r="Y48" s="83"/>
      <c r="Z48" s="83"/>
    </row>
    <row r="49" spans="12:26" ht="30" customHeight="1" x14ac:dyDescent="0.35">
      <c r="L49" s="83" t="s">
        <v>1153</v>
      </c>
      <c r="M49" s="83"/>
      <c r="N49" s="83"/>
      <c r="O49" s="83"/>
      <c r="P49" s="83"/>
      <c r="Q49" s="83"/>
      <c r="R49" s="83"/>
      <c r="S49" s="83"/>
      <c r="T49" s="83"/>
      <c r="U49" s="83"/>
      <c r="V49" s="83"/>
      <c r="W49" s="83"/>
      <c r="X49" s="83"/>
      <c r="Y49" s="83"/>
      <c r="Z49" s="83"/>
    </row>
  </sheetData>
  <mergeCells count="13">
    <mergeCell ref="A1:K1"/>
    <mergeCell ref="A2:K2"/>
    <mergeCell ref="D20:I20"/>
    <mergeCell ref="A23:J23"/>
    <mergeCell ref="L41:Z41"/>
    <mergeCell ref="L47:Z47"/>
    <mergeCell ref="L48:Z48"/>
    <mergeCell ref="L49:Z49"/>
    <mergeCell ref="L42:Z42"/>
    <mergeCell ref="L43:Z43"/>
    <mergeCell ref="L44:Z44"/>
    <mergeCell ref="L45:Z45"/>
    <mergeCell ref="L46:Z4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3"/>
  <sheetViews>
    <sheetView showGridLines="0" zoomScaleNormal="100" workbookViewId="0">
      <pane ySplit="4" topLeftCell="A5" activePane="bottomLeft" state="frozen"/>
      <selection pane="bottomLeft" sqref="A1:E1"/>
    </sheetView>
  </sheetViews>
  <sheetFormatPr baseColWidth="10" defaultColWidth="8.7265625" defaultRowHeight="14.5" x14ac:dyDescent="0.35"/>
  <cols>
    <col min="1" max="1" width="30" customWidth="1"/>
    <col min="2" max="2" width="92" customWidth="1"/>
    <col min="3" max="3" width="48" customWidth="1"/>
    <col min="4" max="4" width="30" customWidth="1"/>
    <col min="5" max="5" width="46" customWidth="1"/>
  </cols>
  <sheetData>
    <row r="1" spans="1:5" ht="25.5" customHeight="1" x14ac:dyDescent="0.35">
      <c r="A1" s="76" t="s">
        <v>1154</v>
      </c>
      <c r="B1" s="76"/>
      <c r="C1" s="76"/>
      <c r="D1" s="76"/>
      <c r="E1" s="76"/>
    </row>
    <row r="2" spans="1:5" ht="30" customHeight="1" x14ac:dyDescent="0.35">
      <c r="A2" s="77" t="s">
        <v>1155</v>
      </c>
      <c r="B2" s="77"/>
      <c r="C2" s="77"/>
      <c r="D2" s="77"/>
      <c r="E2" s="77"/>
    </row>
    <row r="4" spans="1:5" ht="30" customHeight="1" x14ac:dyDescent="0.35">
      <c r="A4" s="6" t="s">
        <v>532</v>
      </c>
      <c r="B4" s="6" t="s">
        <v>1156</v>
      </c>
      <c r="C4" s="6" t="s">
        <v>1157</v>
      </c>
      <c r="D4" s="6" t="s">
        <v>1158</v>
      </c>
      <c r="E4" s="6" t="s">
        <v>537</v>
      </c>
    </row>
    <row r="5" spans="1:5" ht="25.5" customHeight="1" x14ac:dyDescent="0.35">
      <c r="A5" s="67" t="s">
        <v>69</v>
      </c>
      <c r="B5" s="14" t="s">
        <v>205</v>
      </c>
      <c r="C5" s="14"/>
      <c r="D5" s="14" t="s">
        <v>564</v>
      </c>
      <c r="E5" s="14"/>
    </row>
    <row r="6" spans="1:5" ht="25.5" customHeight="1" x14ac:dyDescent="0.35">
      <c r="A6" s="67" t="s">
        <v>69</v>
      </c>
      <c r="B6" s="14" t="s">
        <v>207</v>
      </c>
      <c r="C6" s="14"/>
      <c r="D6" s="14" t="s">
        <v>564</v>
      </c>
      <c r="E6" s="14"/>
    </row>
    <row r="7" spans="1:5" ht="25.5" customHeight="1" x14ac:dyDescent="0.35">
      <c r="A7" s="67" t="s">
        <v>69</v>
      </c>
      <c r="B7" s="14" t="s">
        <v>208</v>
      </c>
      <c r="C7" s="14"/>
      <c r="D7" s="14" t="s">
        <v>564</v>
      </c>
      <c r="E7" s="14"/>
    </row>
    <row r="8" spans="1:5" ht="25.5" customHeight="1" x14ac:dyDescent="0.35">
      <c r="A8" s="67" t="s">
        <v>69</v>
      </c>
      <c r="B8" s="14" t="s">
        <v>209</v>
      </c>
      <c r="C8" s="14"/>
      <c r="D8" s="14" t="s">
        <v>564</v>
      </c>
      <c r="E8" s="14"/>
    </row>
    <row r="9" spans="1:5" ht="25.5" customHeight="1" x14ac:dyDescent="0.35">
      <c r="A9" s="67" t="s">
        <v>69</v>
      </c>
      <c r="B9" s="14" t="s">
        <v>210</v>
      </c>
      <c r="C9" s="14"/>
      <c r="D9" s="14" t="s">
        <v>564</v>
      </c>
      <c r="E9" s="14"/>
    </row>
    <row r="10" spans="1:5" ht="25.5" customHeight="1" x14ac:dyDescent="0.35">
      <c r="A10" s="67" t="s">
        <v>139</v>
      </c>
      <c r="B10" s="14" t="s">
        <v>317</v>
      </c>
      <c r="C10" s="14"/>
      <c r="D10" s="14" t="s">
        <v>564</v>
      </c>
      <c r="E10" s="14"/>
    </row>
    <row r="11" spans="1:5" ht="25.5" customHeight="1" x14ac:dyDescent="0.35">
      <c r="A11" s="67" t="s">
        <v>139</v>
      </c>
      <c r="B11" s="14" t="s">
        <v>318</v>
      </c>
      <c r="C11" s="14"/>
      <c r="D11" s="14" t="s">
        <v>564</v>
      </c>
      <c r="E11" s="14"/>
    </row>
    <row r="12" spans="1:5" ht="25.5" customHeight="1" x14ac:dyDescent="0.35">
      <c r="A12" s="67" t="s">
        <v>139</v>
      </c>
      <c r="B12" s="14" t="s">
        <v>187</v>
      </c>
      <c r="C12" s="14"/>
      <c r="D12" s="14" t="s">
        <v>564</v>
      </c>
      <c r="E12" s="14"/>
    </row>
    <row r="13" spans="1:5" ht="25.5" customHeight="1" x14ac:dyDescent="0.35">
      <c r="A13" s="67" t="s">
        <v>188</v>
      </c>
      <c r="B13" s="14" t="s">
        <v>189</v>
      </c>
      <c r="C13" s="14"/>
      <c r="D13" s="14" t="s">
        <v>564</v>
      </c>
      <c r="E13" s="14"/>
    </row>
    <row r="14" spans="1:5" ht="25.5" customHeight="1" x14ac:dyDescent="0.35">
      <c r="A14" s="67" t="s">
        <v>139</v>
      </c>
      <c r="B14" s="14" t="s">
        <v>190</v>
      </c>
      <c r="C14" s="14"/>
      <c r="D14" s="14" t="s">
        <v>564</v>
      </c>
      <c r="E14" s="14"/>
    </row>
    <row r="15" spans="1:5" ht="25.5" customHeight="1" x14ac:dyDescent="0.35">
      <c r="A15" s="67" t="s">
        <v>188</v>
      </c>
      <c r="B15" s="14" t="s">
        <v>191</v>
      </c>
      <c r="C15" s="14"/>
      <c r="D15" s="14" t="s">
        <v>564</v>
      </c>
      <c r="E15" s="14"/>
    </row>
    <row r="16" spans="1:5" ht="25.5" customHeight="1" x14ac:dyDescent="0.35">
      <c r="A16" s="67" t="s">
        <v>188</v>
      </c>
      <c r="B16" s="14" t="s">
        <v>193</v>
      </c>
      <c r="C16" s="14"/>
      <c r="D16" s="14" t="s">
        <v>564</v>
      </c>
      <c r="E16" s="14"/>
    </row>
    <row r="17" spans="1:5" ht="25.5" customHeight="1" x14ac:dyDescent="0.35">
      <c r="A17" s="67" t="s">
        <v>188</v>
      </c>
      <c r="B17" s="14" t="s">
        <v>195</v>
      </c>
      <c r="C17" s="14"/>
      <c r="D17" s="14" t="s">
        <v>564</v>
      </c>
      <c r="E17" s="14"/>
    </row>
    <row r="18" spans="1:5" ht="25.5" customHeight="1" x14ac:dyDescent="0.35">
      <c r="A18" s="67" t="s">
        <v>188</v>
      </c>
      <c r="B18" s="14" t="s">
        <v>319</v>
      </c>
      <c r="C18" s="14"/>
      <c r="D18" s="14" t="s">
        <v>564</v>
      </c>
      <c r="E18" s="14" t="s">
        <v>320</v>
      </c>
    </row>
    <row r="19" spans="1:5" ht="25.5" customHeight="1" x14ac:dyDescent="0.35">
      <c r="A19" s="67" t="s">
        <v>188</v>
      </c>
      <c r="B19" s="14" t="s">
        <v>321</v>
      </c>
      <c r="C19" s="14" t="s">
        <v>665</v>
      </c>
      <c r="D19" s="18" t="s">
        <v>604</v>
      </c>
      <c r="E19" s="14"/>
    </row>
    <row r="20" spans="1:5" ht="25.5" customHeight="1" x14ac:dyDescent="0.35">
      <c r="A20" s="67" t="s">
        <v>139</v>
      </c>
      <c r="B20" s="14" t="s">
        <v>323</v>
      </c>
      <c r="C20" s="14" t="s">
        <v>667</v>
      </c>
      <c r="D20" s="18" t="s">
        <v>604</v>
      </c>
      <c r="E20" s="14"/>
    </row>
    <row r="21" spans="1:5" ht="33" customHeight="1" x14ac:dyDescent="0.35">
      <c r="A21" s="67" t="s">
        <v>139</v>
      </c>
      <c r="B21" s="14" t="s">
        <v>196</v>
      </c>
      <c r="C21" s="14"/>
      <c r="D21" s="14" t="s">
        <v>575</v>
      </c>
      <c r="E21" s="14"/>
    </row>
    <row r="22" spans="1:5" ht="25.5" customHeight="1" x14ac:dyDescent="0.35">
      <c r="A22" s="67" t="s">
        <v>139</v>
      </c>
      <c r="B22" s="14" t="s">
        <v>325</v>
      </c>
      <c r="C22" s="14"/>
      <c r="D22" s="14" t="s">
        <v>575</v>
      </c>
      <c r="E22" s="14"/>
    </row>
    <row r="23" spans="1:5" ht="25.5" customHeight="1" x14ac:dyDescent="0.35">
      <c r="A23" s="67" t="s">
        <v>231</v>
      </c>
      <c r="B23" s="14" t="s">
        <v>232</v>
      </c>
      <c r="C23" s="14"/>
      <c r="D23" s="14" t="s">
        <v>564</v>
      </c>
      <c r="E23" s="14"/>
    </row>
    <row r="24" spans="1:5" ht="25.5" customHeight="1" x14ac:dyDescent="0.35">
      <c r="A24" s="67" t="s">
        <v>231</v>
      </c>
      <c r="B24" s="14" t="s">
        <v>233</v>
      </c>
      <c r="C24" s="14"/>
      <c r="D24" s="14" t="s">
        <v>564</v>
      </c>
      <c r="E24" s="14"/>
    </row>
    <row r="25" spans="1:5" ht="25.5" customHeight="1" x14ac:dyDescent="0.35">
      <c r="A25" s="67" t="s">
        <v>231</v>
      </c>
      <c r="B25" s="14" t="s">
        <v>234</v>
      </c>
      <c r="C25" s="14"/>
      <c r="D25" s="14" t="s">
        <v>564</v>
      </c>
      <c r="E25" s="14"/>
    </row>
    <row r="26" spans="1:5" ht="25.5" customHeight="1" x14ac:dyDescent="0.35">
      <c r="A26" s="67" t="s">
        <v>231</v>
      </c>
      <c r="B26" s="14" t="s">
        <v>235</v>
      </c>
      <c r="C26" s="14"/>
      <c r="D26" s="18" t="s">
        <v>604</v>
      </c>
      <c r="E26" s="14"/>
    </row>
    <row r="27" spans="1:5" ht="25.5" customHeight="1" x14ac:dyDescent="0.35">
      <c r="A27" s="67" t="s">
        <v>231</v>
      </c>
      <c r="B27" s="14" t="s">
        <v>238</v>
      </c>
      <c r="C27" s="14" t="s">
        <v>606</v>
      </c>
      <c r="D27" s="18" t="s">
        <v>604</v>
      </c>
      <c r="E27" s="14" t="s">
        <v>239</v>
      </c>
    </row>
    <row r="28" spans="1:5" ht="25.5" customHeight="1" x14ac:dyDescent="0.35">
      <c r="A28" s="67" t="s">
        <v>231</v>
      </c>
      <c r="B28" s="14" t="s">
        <v>241</v>
      </c>
      <c r="C28" s="14"/>
      <c r="D28" s="14" t="s">
        <v>564</v>
      </c>
      <c r="E28" s="14"/>
    </row>
    <row r="29" spans="1:5" ht="25.5" customHeight="1" x14ac:dyDescent="0.35">
      <c r="A29" s="67" t="s">
        <v>231</v>
      </c>
      <c r="B29" s="14" t="s">
        <v>242</v>
      </c>
      <c r="C29" s="14"/>
      <c r="D29" s="14" t="s">
        <v>564</v>
      </c>
      <c r="E29" s="14"/>
    </row>
    <row r="30" spans="1:5" ht="25.5" customHeight="1" x14ac:dyDescent="0.35">
      <c r="A30" s="67" t="s">
        <v>231</v>
      </c>
      <c r="B30" s="14" t="s">
        <v>243</v>
      </c>
      <c r="C30" s="14"/>
      <c r="D30" s="14" t="s">
        <v>564</v>
      </c>
      <c r="E30" s="14"/>
    </row>
    <row r="31" spans="1:5" ht="33" customHeight="1" x14ac:dyDescent="0.35">
      <c r="A31" s="67" t="s">
        <v>231</v>
      </c>
      <c r="B31" s="14" t="s">
        <v>244</v>
      </c>
      <c r="C31" s="14" t="s">
        <v>611</v>
      </c>
      <c r="D31" s="14" t="s">
        <v>575</v>
      </c>
      <c r="E31" s="14"/>
    </row>
    <row r="32" spans="1:5" ht="33" customHeight="1" x14ac:dyDescent="0.35">
      <c r="A32" s="67" t="s">
        <v>1159</v>
      </c>
      <c r="B32" s="14" t="s">
        <v>373</v>
      </c>
      <c r="C32" s="14" t="s">
        <v>714</v>
      </c>
      <c r="D32" s="18" t="s">
        <v>715</v>
      </c>
      <c r="E32" s="14"/>
    </row>
    <row r="33" spans="1:5" ht="25.5" customHeight="1" x14ac:dyDescent="0.35">
      <c r="A33" s="67" t="s">
        <v>1159</v>
      </c>
      <c r="B33" s="14" t="s">
        <v>375</v>
      </c>
      <c r="C33" s="14"/>
      <c r="D33" s="18" t="s">
        <v>715</v>
      </c>
      <c r="E33" s="14"/>
    </row>
    <row r="34" spans="1:5" ht="25.5" customHeight="1" x14ac:dyDescent="0.35">
      <c r="A34" s="67" t="s">
        <v>1159</v>
      </c>
      <c r="B34" s="14" t="s">
        <v>377</v>
      </c>
      <c r="C34" s="14"/>
      <c r="D34" s="18" t="s">
        <v>715</v>
      </c>
      <c r="E34" s="14"/>
    </row>
    <row r="35" spans="1:5" ht="25.5" customHeight="1" x14ac:dyDescent="0.35">
      <c r="A35" s="67" t="s">
        <v>1159</v>
      </c>
      <c r="B35" s="14" t="s">
        <v>378</v>
      </c>
      <c r="C35" s="14"/>
      <c r="D35" s="18" t="s">
        <v>715</v>
      </c>
      <c r="E35" s="14"/>
    </row>
    <row r="36" spans="1:5" ht="25.5" customHeight="1" x14ac:dyDescent="0.35">
      <c r="A36" s="67" t="s">
        <v>1159</v>
      </c>
      <c r="B36" s="14" t="s">
        <v>379</v>
      </c>
      <c r="C36" s="14"/>
      <c r="D36" s="18" t="s">
        <v>715</v>
      </c>
      <c r="E36" s="14"/>
    </row>
    <row r="37" spans="1:5" ht="25.5" customHeight="1" x14ac:dyDescent="0.35">
      <c r="A37" s="67" t="s">
        <v>1159</v>
      </c>
      <c r="B37" s="14" t="s">
        <v>380</v>
      </c>
      <c r="C37" s="14"/>
      <c r="D37" s="18" t="s">
        <v>715</v>
      </c>
      <c r="E37" s="14"/>
    </row>
    <row r="38" spans="1:5" ht="25.5" customHeight="1" x14ac:dyDescent="0.35">
      <c r="A38" s="67" t="s">
        <v>1159</v>
      </c>
      <c r="B38" s="14" t="s">
        <v>382</v>
      </c>
      <c r="C38" s="14" t="s">
        <v>722</v>
      </c>
      <c r="D38" s="14" t="s">
        <v>575</v>
      </c>
      <c r="E38" s="14"/>
    </row>
    <row r="39" spans="1:5" ht="25.5" customHeight="1" x14ac:dyDescent="0.35">
      <c r="A39" s="67" t="s">
        <v>384</v>
      </c>
      <c r="B39" s="14" t="s">
        <v>385</v>
      </c>
      <c r="C39" s="14"/>
      <c r="D39" s="14" t="s">
        <v>564</v>
      </c>
      <c r="E39" s="14"/>
    </row>
    <row r="40" spans="1:5" ht="25.5" customHeight="1" x14ac:dyDescent="0.35">
      <c r="A40" s="67" t="s">
        <v>384</v>
      </c>
      <c r="B40" s="14" t="s">
        <v>386</v>
      </c>
      <c r="C40" s="14"/>
      <c r="D40" s="14" t="s">
        <v>564</v>
      </c>
      <c r="E40" s="14"/>
    </row>
    <row r="41" spans="1:5" ht="25.5" customHeight="1" x14ac:dyDescent="0.35">
      <c r="A41" s="67" t="s">
        <v>384</v>
      </c>
      <c r="B41" s="14" t="s">
        <v>388</v>
      </c>
      <c r="C41" s="14"/>
      <c r="D41" s="14" t="s">
        <v>564</v>
      </c>
      <c r="E41" s="14"/>
    </row>
    <row r="42" spans="1:5" ht="25.5" customHeight="1" x14ac:dyDescent="0.35">
      <c r="A42" s="67" t="s">
        <v>384</v>
      </c>
      <c r="B42" s="14" t="s">
        <v>389</v>
      </c>
      <c r="C42" s="14"/>
      <c r="D42" s="14" t="s">
        <v>564</v>
      </c>
      <c r="E42" s="14"/>
    </row>
    <row r="43" spans="1:5" ht="25.5" customHeight="1" x14ac:dyDescent="0.35">
      <c r="A43" s="67" t="s">
        <v>384</v>
      </c>
      <c r="B43" s="14" t="s">
        <v>391</v>
      </c>
      <c r="C43" s="14"/>
      <c r="D43" s="14" t="s">
        <v>564</v>
      </c>
      <c r="E43" s="14"/>
    </row>
    <row r="44" spans="1:5" ht="25.5" customHeight="1" x14ac:dyDescent="0.35">
      <c r="A44" s="67" t="s">
        <v>384</v>
      </c>
      <c r="B44" s="14" t="s">
        <v>393</v>
      </c>
      <c r="C44" s="14"/>
      <c r="D44" s="14" t="s">
        <v>564</v>
      </c>
      <c r="E44" s="14"/>
    </row>
    <row r="45" spans="1:5" ht="25.5" customHeight="1" x14ac:dyDescent="0.35">
      <c r="A45" s="67" t="s">
        <v>384</v>
      </c>
      <c r="B45" s="14" t="s">
        <v>394</v>
      </c>
      <c r="C45" s="14"/>
      <c r="D45" s="14" t="s">
        <v>564</v>
      </c>
      <c r="E45" s="14"/>
    </row>
    <row r="46" spans="1:5" ht="25.5" customHeight="1" x14ac:dyDescent="0.35">
      <c r="A46" s="67" t="s">
        <v>493</v>
      </c>
      <c r="B46" s="14" t="s">
        <v>494</v>
      </c>
      <c r="C46" s="14" t="s">
        <v>810</v>
      </c>
      <c r="D46" s="18" t="s">
        <v>604</v>
      </c>
      <c r="E46" s="14"/>
    </row>
    <row r="47" spans="1:5" ht="25.5" customHeight="1" x14ac:dyDescent="0.35">
      <c r="A47" s="67" t="s">
        <v>493</v>
      </c>
      <c r="B47" s="14" t="s">
        <v>496</v>
      </c>
      <c r="C47" s="14"/>
      <c r="D47" s="14" t="s">
        <v>812</v>
      </c>
      <c r="E47" s="14"/>
    </row>
    <row r="48" spans="1:5" ht="25.5" customHeight="1" x14ac:dyDescent="0.35">
      <c r="A48" s="67" t="s">
        <v>493</v>
      </c>
      <c r="B48" s="14" t="s">
        <v>498</v>
      </c>
      <c r="C48" s="14"/>
      <c r="D48" s="14" t="s">
        <v>814</v>
      </c>
      <c r="E48" s="14"/>
    </row>
    <row r="49" spans="1:5" ht="25.5" customHeight="1" x14ac:dyDescent="0.35">
      <c r="A49" s="67" t="s">
        <v>493</v>
      </c>
      <c r="B49" s="14" t="s">
        <v>500</v>
      </c>
      <c r="C49" s="14"/>
      <c r="D49" s="14" t="s">
        <v>816</v>
      </c>
      <c r="E49" s="14"/>
    </row>
    <row r="50" spans="1:5" ht="25.5" customHeight="1" x14ac:dyDescent="0.35">
      <c r="A50" s="67" t="s">
        <v>493</v>
      </c>
      <c r="B50" s="14" t="s">
        <v>503</v>
      </c>
      <c r="C50" s="14" t="s">
        <v>818</v>
      </c>
      <c r="D50" s="18" t="s">
        <v>819</v>
      </c>
      <c r="E50" s="14"/>
    </row>
    <row r="51" spans="1:5" ht="25.5" customHeight="1" x14ac:dyDescent="0.35">
      <c r="A51" s="67" t="s">
        <v>418</v>
      </c>
      <c r="B51" s="14" t="s">
        <v>419</v>
      </c>
      <c r="C51" s="14"/>
      <c r="D51" s="18" t="s">
        <v>745</v>
      </c>
      <c r="E51" s="14"/>
    </row>
    <row r="52" spans="1:5" ht="25.5" customHeight="1" x14ac:dyDescent="0.35">
      <c r="A52" s="67" t="s">
        <v>418</v>
      </c>
      <c r="B52" s="14" t="s">
        <v>421</v>
      </c>
      <c r="C52" s="14"/>
      <c r="D52" s="18" t="s">
        <v>745</v>
      </c>
      <c r="E52" s="14"/>
    </row>
    <row r="53" spans="1:5" ht="25.5" customHeight="1" x14ac:dyDescent="0.35">
      <c r="A53" s="67" t="s">
        <v>418</v>
      </c>
      <c r="B53" s="14" t="s">
        <v>422</v>
      </c>
      <c r="C53" s="14"/>
      <c r="D53" s="18" t="s">
        <v>745</v>
      </c>
      <c r="E53" s="14"/>
    </row>
    <row r="54" spans="1:5" ht="25.5" customHeight="1" x14ac:dyDescent="0.35">
      <c r="A54" s="67" t="s">
        <v>418</v>
      </c>
      <c r="B54" s="14" t="s">
        <v>423</v>
      </c>
      <c r="C54" s="14"/>
      <c r="D54" s="18" t="s">
        <v>745</v>
      </c>
      <c r="E54" s="14"/>
    </row>
    <row r="55" spans="1:5" ht="25.5" customHeight="1" x14ac:dyDescent="0.35">
      <c r="A55" s="67" t="s">
        <v>418</v>
      </c>
      <c r="B55" s="14" t="s">
        <v>424</v>
      </c>
      <c r="C55" s="14"/>
      <c r="D55" s="18" t="s">
        <v>745</v>
      </c>
      <c r="E55" s="14"/>
    </row>
    <row r="56" spans="1:5" ht="25.5" customHeight="1" x14ac:dyDescent="0.35">
      <c r="A56" s="67" t="s">
        <v>418</v>
      </c>
      <c r="B56" s="14" t="s">
        <v>425</v>
      </c>
      <c r="C56" s="14"/>
      <c r="D56" s="18" t="s">
        <v>745</v>
      </c>
      <c r="E56" s="14"/>
    </row>
    <row r="57" spans="1:5" ht="25.5" customHeight="1" x14ac:dyDescent="0.35">
      <c r="A57" s="67" t="s">
        <v>418</v>
      </c>
      <c r="B57" s="14" t="s">
        <v>426</v>
      </c>
      <c r="C57" s="14"/>
      <c r="D57" s="14" t="s">
        <v>575</v>
      </c>
      <c r="E57" s="14"/>
    </row>
    <row r="58" spans="1:5" ht="25.5" customHeight="1" x14ac:dyDescent="0.35">
      <c r="A58" s="67" t="s">
        <v>418</v>
      </c>
      <c r="B58" s="14" t="s">
        <v>427</v>
      </c>
      <c r="C58" s="14"/>
      <c r="D58" s="14" t="s">
        <v>575</v>
      </c>
      <c r="E58" s="14"/>
    </row>
    <row r="59" spans="1:5" ht="33" customHeight="1" x14ac:dyDescent="0.35">
      <c r="A59" s="67" t="s">
        <v>418</v>
      </c>
      <c r="B59" s="14" t="s">
        <v>428</v>
      </c>
      <c r="C59" s="14" t="s">
        <v>754</v>
      </c>
      <c r="D59" s="14" t="s">
        <v>755</v>
      </c>
      <c r="E59" s="14"/>
    </row>
    <row r="60" spans="1:5" ht="25.5" customHeight="1" x14ac:dyDescent="0.35">
      <c r="A60" s="67" t="s">
        <v>418</v>
      </c>
      <c r="B60" s="14" t="s">
        <v>430</v>
      </c>
      <c r="C60" s="14"/>
      <c r="D60" s="14" t="s">
        <v>575</v>
      </c>
      <c r="E60" s="14"/>
    </row>
    <row r="61" spans="1:5" ht="25.5" customHeight="1" x14ac:dyDescent="0.35">
      <c r="A61" s="67" t="s">
        <v>418</v>
      </c>
      <c r="B61" s="14" t="s">
        <v>431</v>
      </c>
      <c r="C61" s="14"/>
      <c r="D61" s="14" t="s">
        <v>575</v>
      </c>
      <c r="E61" s="14"/>
    </row>
    <row r="62" spans="1:5" ht="25.5" customHeight="1" x14ac:dyDescent="0.35">
      <c r="A62" s="67" t="s">
        <v>470</v>
      </c>
      <c r="B62" s="14" t="s">
        <v>471</v>
      </c>
      <c r="C62" s="14"/>
      <c r="D62" s="18" t="s">
        <v>794</v>
      </c>
      <c r="E62" s="14"/>
    </row>
    <row r="63" spans="1:5" ht="25.5" customHeight="1" x14ac:dyDescent="0.35">
      <c r="A63" s="67" t="s">
        <v>470</v>
      </c>
      <c r="B63" s="14" t="s">
        <v>475</v>
      </c>
      <c r="C63" s="14"/>
      <c r="D63" s="18" t="s">
        <v>794</v>
      </c>
      <c r="E63" s="14"/>
    </row>
    <row r="64" spans="1:5" ht="25.5" customHeight="1" x14ac:dyDescent="0.35">
      <c r="A64" s="67" t="s">
        <v>470</v>
      </c>
      <c r="B64" s="14" t="s">
        <v>476</v>
      </c>
      <c r="C64" s="14"/>
      <c r="D64" s="18" t="s">
        <v>794</v>
      </c>
      <c r="E64" s="14"/>
    </row>
    <row r="65" spans="1:5" ht="25.5" customHeight="1" x14ac:dyDescent="0.35">
      <c r="A65" s="67" t="s">
        <v>470</v>
      </c>
      <c r="B65" s="14" t="s">
        <v>477</v>
      </c>
      <c r="C65" s="14"/>
      <c r="D65" s="18" t="s">
        <v>794</v>
      </c>
      <c r="E65" s="14"/>
    </row>
    <row r="66" spans="1:5" ht="25.5" customHeight="1" x14ac:dyDescent="0.35">
      <c r="A66" s="67" t="s">
        <v>470</v>
      </c>
      <c r="B66" s="14" t="s">
        <v>478</v>
      </c>
      <c r="C66" s="14"/>
      <c r="D66" s="18" t="s">
        <v>794</v>
      </c>
      <c r="E66" s="14"/>
    </row>
    <row r="67" spans="1:5" ht="25.5" customHeight="1" x14ac:dyDescent="0.35">
      <c r="A67" s="67" t="s">
        <v>470</v>
      </c>
      <c r="B67" s="14" t="s">
        <v>479</v>
      </c>
      <c r="C67" s="14"/>
      <c r="D67" s="18" t="s">
        <v>794</v>
      </c>
      <c r="E67" s="14"/>
    </row>
    <row r="68" spans="1:5" ht="33" customHeight="1" x14ac:dyDescent="0.35">
      <c r="A68" s="67" t="s">
        <v>139</v>
      </c>
      <c r="B68" s="14" t="s">
        <v>326</v>
      </c>
      <c r="C68" s="14"/>
      <c r="D68" s="53" t="s">
        <v>578</v>
      </c>
      <c r="E68" s="14" t="s">
        <v>327</v>
      </c>
    </row>
    <row r="69" spans="1:5" ht="33" customHeight="1" x14ac:dyDescent="0.35">
      <c r="A69" s="67" t="s">
        <v>139</v>
      </c>
      <c r="B69" s="14" t="s">
        <v>198</v>
      </c>
      <c r="C69" s="14" t="s">
        <v>577</v>
      </c>
      <c r="D69" s="53" t="s">
        <v>578</v>
      </c>
      <c r="E69" s="18" t="s">
        <v>199</v>
      </c>
    </row>
    <row r="70" spans="1:5" ht="33" customHeight="1" x14ac:dyDescent="0.35">
      <c r="A70" s="67" t="s">
        <v>211</v>
      </c>
      <c r="B70" s="14" t="s">
        <v>212</v>
      </c>
      <c r="C70" s="14"/>
      <c r="D70" s="53" t="s">
        <v>588</v>
      </c>
      <c r="E70" s="14" t="s">
        <v>213</v>
      </c>
    </row>
    <row r="71" spans="1:5" ht="43.5" customHeight="1" x14ac:dyDescent="0.35">
      <c r="A71" s="67" t="s">
        <v>211</v>
      </c>
      <c r="B71" s="14" t="s">
        <v>215</v>
      </c>
      <c r="C71" s="14"/>
      <c r="D71" s="53" t="s">
        <v>588</v>
      </c>
      <c r="E71" s="14"/>
    </row>
    <row r="72" spans="1:5" ht="33" customHeight="1" x14ac:dyDescent="0.35">
      <c r="A72" s="67" t="s">
        <v>211</v>
      </c>
      <c r="B72" s="14" t="s">
        <v>217</v>
      </c>
      <c r="C72" s="14"/>
      <c r="D72" s="53" t="s">
        <v>588</v>
      </c>
      <c r="E72" s="14"/>
    </row>
    <row r="73" spans="1:5" ht="33" customHeight="1" x14ac:dyDescent="0.35">
      <c r="A73" s="67" t="s">
        <v>211</v>
      </c>
      <c r="B73" s="14" t="s">
        <v>218</v>
      </c>
      <c r="C73" s="14"/>
      <c r="D73" s="53" t="s">
        <v>588</v>
      </c>
      <c r="E73" s="14"/>
    </row>
    <row r="74" spans="1:5" ht="33" customHeight="1" x14ac:dyDescent="0.35">
      <c r="A74" s="67" t="s">
        <v>211</v>
      </c>
      <c r="B74" s="14" t="s">
        <v>220</v>
      </c>
      <c r="C74" s="14" t="s">
        <v>593</v>
      </c>
      <c r="D74" s="53" t="s">
        <v>588</v>
      </c>
      <c r="E74" s="18" t="s">
        <v>221</v>
      </c>
    </row>
    <row r="75" spans="1:5" ht="25.5" customHeight="1" x14ac:dyDescent="0.35">
      <c r="A75" s="67" t="s">
        <v>211</v>
      </c>
      <c r="B75" s="14" t="s">
        <v>224</v>
      </c>
      <c r="C75" s="14"/>
      <c r="D75" s="53" t="s">
        <v>588</v>
      </c>
      <c r="E75" s="14"/>
    </row>
    <row r="76" spans="1:5" ht="33" customHeight="1" x14ac:dyDescent="0.35">
      <c r="A76" s="67" t="s">
        <v>211</v>
      </c>
      <c r="B76" s="14" t="s">
        <v>225</v>
      </c>
      <c r="C76" s="14" t="s">
        <v>596</v>
      </c>
      <c r="D76" s="53" t="s">
        <v>588</v>
      </c>
      <c r="E76" s="14"/>
    </row>
    <row r="77" spans="1:5" ht="43.5" customHeight="1" x14ac:dyDescent="0.35">
      <c r="A77" s="67" t="s">
        <v>395</v>
      </c>
      <c r="B77" s="14" t="s">
        <v>396</v>
      </c>
      <c r="C77" s="14" t="s">
        <v>731</v>
      </c>
      <c r="D77" s="53" t="s">
        <v>578</v>
      </c>
      <c r="E77" s="14" t="s">
        <v>397</v>
      </c>
    </row>
    <row r="78" spans="1:5" ht="43.5" customHeight="1" x14ac:dyDescent="0.35">
      <c r="A78" s="67" t="s">
        <v>493</v>
      </c>
      <c r="B78" s="14" t="s">
        <v>506</v>
      </c>
      <c r="C78" s="14" t="s">
        <v>821</v>
      </c>
      <c r="D78" s="53" t="s">
        <v>822</v>
      </c>
      <c r="E78" s="18" t="s">
        <v>507</v>
      </c>
    </row>
    <row r="79" spans="1:5" ht="33" customHeight="1" x14ac:dyDescent="0.35">
      <c r="A79" s="67" t="s">
        <v>418</v>
      </c>
      <c r="B79" s="14" t="s">
        <v>432</v>
      </c>
      <c r="C79" s="14"/>
      <c r="D79" s="53" t="s">
        <v>759</v>
      </c>
      <c r="E79" s="14" t="s">
        <v>433</v>
      </c>
    </row>
    <row r="80" spans="1:5" ht="21.75" customHeight="1" x14ac:dyDescent="0.35">
      <c r="A80" s="85" t="s">
        <v>1160</v>
      </c>
      <c r="B80" s="85"/>
      <c r="C80" s="85"/>
      <c r="D80" s="85"/>
      <c r="E80" s="85"/>
    </row>
    <row r="81" spans="1:5" ht="33" customHeight="1" x14ac:dyDescent="0.35">
      <c r="A81" s="67" t="s">
        <v>139</v>
      </c>
      <c r="B81" s="14" t="s">
        <v>338</v>
      </c>
      <c r="C81" s="14" t="s">
        <v>681</v>
      </c>
      <c r="D81" s="53" t="s">
        <v>682</v>
      </c>
      <c r="E81" s="14" t="s">
        <v>339</v>
      </c>
    </row>
    <row r="82" spans="1:5" ht="33" customHeight="1" x14ac:dyDescent="0.35">
      <c r="A82" s="67" t="s">
        <v>139</v>
      </c>
      <c r="B82" s="14" t="s">
        <v>347</v>
      </c>
      <c r="C82" s="14" t="s">
        <v>691</v>
      </c>
      <c r="D82" s="53" t="s">
        <v>624</v>
      </c>
      <c r="E82" s="14" t="s">
        <v>348</v>
      </c>
    </row>
    <row r="83" spans="1:5" ht="33" customHeight="1" x14ac:dyDescent="0.35">
      <c r="A83" s="67" t="s">
        <v>139</v>
      </c>
      <c r="B83" s="14" t="s">
        <v>350</v>
      </c>
      <c r="C83" s="14"/>
      <c r="D83" s="53" t="s">
        <v>624</v>
      </c>
      <c r="E83" s="14" t="s">
        <v>351</v>
      </c>
    </row>
    <row r="84" spans="1:5" ht="25.5" customHeight="1" x14ac:dyDescent="0.35">
      <c r="A84" s="67" t="s">
        <v>139</v>
      </c>
      <c r="B84" s="14" t="s">
        <v>352</v>
      </c>
      <c r="C84" s="14"/>
      <c r="D84" s="53" t="s">
        <v>624</v>
      </c>
      <c r="E84" s="14" t="s">
        <v>295</v>
      </c>
    </row>
    <row r="85" spans="1:5" ht="33" customHeight="1" x14ac:dyDescent="0.35">
      <c r="A85" s="67" t="s">
        <v>139</v>
      </c>
      <c r="B85" s="14" t="s">
        <v>355</v>
      </c>
      <c r="C85" s="14"/>
      <c r="D85" s="53" t="s">
        <v>624</v>
      </c>
      <c r="E85" s="14" t="s">
        <v>295</v>
      </c>
    </row>
    <row r="86" spans="1:5" ht="33" customHeight="1" x14ac:dyDescent="0.35">
      <c r="A86" s="67" t="s">
        <v>139</v>
      </c>
      <c r="B86" s="14" t="s">
        <v>356</v>
      </c>
      <c r="C86" s="14"/>
      <c r="D86" s="53" t="s">
        <v>624</v>
      </c>
      <c r="E86" s="14" t="s">
        <v>357</v>
      </c>
    </row>
    <row r="87" spans="1:5" ht="43.5" customHeight="1" x14ac:dyDescent="0.35">
      <c r="A87" s="67" t="s">
        <v>139</v>
      </c>
      <c r="B87" s="14" t="s">
        <v>358</v>
      </c>
      <c r="C87" s="14" t="s">
        <v>558</v>
      </c>
      <c r="D87" s="53" t="s">
        <v>624</v>
      </c>
      <c r="E87" s="14" t="s">
        <v>295</v>
      </c>
    </row>
    <row r="88" spans="1:5" ht="25.5" customHeight="1" x14ac:dyDescent="0.35">
      <c r="A88" s="67" t="s">
        <v>139</v>
      </c>
      <c r="B88" s="14" t="s">
        <v>360</v>
      </c>
      <c r="C88" s="14" t="s">
        <v>700</v>
      </c>
      <c r="D88" s="53" t="s">
        <v>624</v>
      </c>
      <c r="E88" s="14"/>
    </row>
    <row r="89" spans="1:5" ht="33" customHeight="1" x14ac:dyDescent="0.35">
      <c r="A89" s="67" t="s">
        <v>231</v>
      </c>
      <c r="B89" s="14" t="s">
        <v>263</v>
      </c>
      <c r="C89" s="14"/>
      <c r="D89" s="53" t="s">
        <v>624</v>
      </c>
      <c r="E89" s="14"/>
    </row>
    <row r="90" spans="1:5" ht="33" customHeight="1" x14ac:dyDescent="0.35">
      <c r="A90" s="67" t="s">
        <v>231</v>
      </c>
      <c r="B90" s="14" t="s">
        <v>265</v>
      </c>
      <c r="C90" s="14"/>
      <c r="D90" s="53" t="s">
        <v>624</v>
      </c>
      <c r="E90" s="14"/>
    </row>
    <row r="91" spans="1:5" ht="33" customHeight="1" x14ac:dyDescent="0.35">
      <c r="A91" s="67" t="s">
        <v>231</v>
      </c>
      <c r="B91" s="14" t="s">
        <v>267</v>
      </c>
      <c r="C91" s="14" t="s">
        <v>627</v>
      </c>
      <c r="D91" s="53" t="s">
        <v>624</v>
      </c>
      <c r="E91" s="14"/>
    </row>
    <row r="92" spans="1:5" ht="54.75" customHeight="1" x14ac:dyDescent="0.35">
      <c r="A92" s="67" t="s">
        <v>231</v>
      </c>
      <c r="B92" s="14" t="s">
        <v>269</v>
      </c>
      <c r="C92" s="14"/>
      <c r="D92" s="53" t="s">
        <v>624</v>
      </c>
      <c r="E92" s="14" t="s">
        <v>270</v>
      </c>
    </row>
    <row r="93" spans="1:5" ht="25.5" customHeight="1" x14ac:dyDescent="0.35">
      <c r="A93" s="67" t="s">
        <v>231</v>
      </c>
      <c r="B93" s="14" t="s">
        <v>273</v>
      </c>
      <c r="C93" s="14"/>
      <c r="D93" s="53" t="s">
        <v>630</v>
      </c>
      <c r="E93" s="14"/>
    </row>
    <row r="94" spans="1:5" ht="33" customHeight="1" x14ac:dyDescent="0.35">
      <c r="A94" s="67" t="s">
        <v>231</v>
      </c>
      <c r="B94" s="14" t="s">
        <v>276</v>
      </c>
      <c r="C94" s="14"/>
      <c r="D94" s="53" t="s">
        <v>632</v>
      </c>
      <c r="E94" s="14" t="s">
        <v>277</v>
      </c>
    </row>
    <row r="95" spans="1:5" ht="25.5" customHeight="1" x14ac:dyDescent="0.35">
      <c r="A95" s="67" t="s">
        <v>418</v>
      </c>
      <c r="B95" s="14" t="s">
        <v>448</v>
      </c>
      <c r="C95" s="14"/>
      <c r="D95" s="53" t="s">
        <v>624</v>
      </c>
      <c r="E95" s="14"/>
    </row>
    <row r="96" spans="1:5" ht="33" customHeight="1" x14ac:dyDescent="0.35">
      <c r="A96" s="67" t="s">
        <v>418</v>
      </c>
      <c r="B96" s="14" t="s">
        <v>449</v>
      </c>
      <c r="C96" s="14"/>
      <c r="D96" s="53" t="s">
        <v>624</v>
      </c>
      <c r="E96" s="14"/>
    </row>
    <row r="97" spans="1:5" ht="25.5" customHeight="1" x14ac:dyDescent="0.35">
      <c r="A97" s="67" t="s">
        <v>418</v>
      </c>
      <c r="B97" s="14" t="s">
        <v>450</v>
      </c>
      <c r="C97" s="14" t="s">
        <v>774</v>
      </c>
      <c r="D97" s="53" t="s">
        <v>624</v>
      </c>
      <c r="E97" s="14"/>
    </row>
    <row r="98" spans="1:5" ht="25.5" customHeight="1" x14ac:dyDescent="0.35">
      <c r="A98" s="67" t="s">
        <v>418</v>
      </c>
      <c r="B98" s="14" t="s">
        <v>452</v>
      </c>
      <c r="C98" s="14" t="s">
        <v>776</v>
      </c>
      <c r="D98" s="53" t="s">
        <v>777</v>
      </c>
      <c r="E98" s="14"/>
    </row>
    <row r="99" spans="1:5" ht="25.5" customHeight="1" x14ac:dyDescent="0.35">
      <c r="A99" s="67" t="s">
        <v>418</v>
      </c>
      <c r="B99" s="14" t="s">
        <v>454</v>
      </c>
      <c r="C99" s="14" t="s">
        <v>779</v>
      </c>
      <c r="D99" s="53" t="s">
        <v>709</v>
      </c>
      <c r="E99" s="14"/>
    </row>
    <row r="100" spans="1:5" ht="25.5" customHeight="1" x14ac:dyDescent="0.35">
      <c r="A100" s="67" t="s">
        <v>418</v>
      </c>
      <c r="B100" s="14" t="s">
        <v>456</v>
      </c>
      <c r="C100" s="14"/>
      <c r="D100" s="53" t="s">
        <v>632</v>
      </c>
      <c r="E100" s="14" t="s">
        <v>457</v>
      </c>
    </row>
    <row r="101" spans="1:5" ht="33" customHeight="1" x14ac:dyDescent="0.35">
      <c r="A101" s="67" t="s">
        <v>231</v>
      </c>
      <c r="B101" s="14" t="s">
        <v>289</v>
      </c>
      <c r="C101" s="14" t="s">
        <v>640</v>
      </c>
      <c r="D101" s="53" t="s">
        <v>632</v>
      </c>
      <c r="E101" s="14"/>
    </row>
    <row r="102" spans="1:5" ht="33" customHeight="1" x14ac:dyDescent="0.35">
      <c r="A102" s="67" t="s">
        <v>231</v>
      </c>
      <c r="B102" s="14" t="s">
        <v>292</v>
      </c>
      <c r="C102" s="14"/>
      <c r="D102" s="53" t="s">
        <v>632</v>
      </c>
      <c r="E102" s="14"/>
    </row>
    <row r="103" spans="1:5" ht="33" customHeight="1" x14ac:dyDescent="0.35">
      <c r="A103" s="67" t="s">
        <v>470</v>
      </c>
      <c r="B103" s="14" t="s">
        <v>490</v>
      </c>
      <c r="C103" s="14"/>
      <c r="D103" s="53" t="s">
        <v>632</v>
      </c>
      <c r="E103" s="14" t="s">
        <v>491</v>
      </c>
    </row>
  </sheetData>
  <autoFilter ref="A4:E103" xr:uid="{00000000-0009-0000-0000-000005000000}"/>
  <mergeCells count="3">
    <mergeCell ref="A1:E1"/>
    <mergeCell ref="A2:E2"/>
    <mergeCell ref="A80:E80"/>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7"/>
  <sheetViews>
    <sheetView showGridLines="0" zoomScaleNormal="100" workbookViewId="0">
      <pane ySplit="4" topLeftCell="A5" activePane="bottomLeft" state="frozen"/>
      <selection pane="bottomLeft" sqref="A1:E1"/>
    </sheetView>
  </sheetViews>
  <sheetFormatPr baseColWidth="10" defaultColWidth="8.7265625" defaultRowHeight="14.5" x14ac:dyDescent="0.35"/>
  <cols>
    <col min="1" max="1" width="30" customWidth="1"/>
    <col min="2" max="2" width="92" customWidth="1"/>
    <col min="3" max="3" width="48" customWidth="1"/>
    <col min="4" max="4" width="30" customWidth="1"/>
    <col min="5" max="5" width="46" customWidth="1"/>
  </cols>
  <sheetData>
    <row r="1" spans="1:5" ht="25.5" customHeight="1" x14ac:dyDescent="0.35">
      <c r="A1" s="76" t="s">
        <v>1161</v>
      </c>
      <c r="B1" s="76"/>
      <c r="C1" s="76"/>
      <c r="D1" s="76"/>
      <c r="E1" s="76"/>
    </row>
    <row r="2" spans="1:5" ht="30" customHeight="1" x14ac:dyDescent="0.35">
      <c r="A2" s="77" t="s">
        <v>1162</v>
      </c>
      <c r="B2" s="77"/>
      <c r="C2" s="77"/>
      <c r="D2" s="77"/>
      <c r="E2" s="77"/>
    </row>
    <row r="4" spans="1:5" ht="30" customHeight="1" x14ac:dyDescent="0.35">
      <c r="A4" s="6" t="s">
        <v>532</v>
      </c>
      <c r="B4" s="6" t="s">
        <v>1163</v>
      </c>
      <c r="C4" s="6" t="s">
        <v>1164</v>
      </c>
      <c r="D4" s="6" t="s">
        <v>1158</v>
      </c>
      <c r="E4" s="6" t="s">
        <v>537</v>
      </c>
    </row>
    <row r="5" spans="1:5" ht="25.5" customHeight="1" x14ac:dyDescent="0.35">
      <c r="A5" s="67" t="s">
        <v>82</v>
      </c>
      <c r="B5" s="14" t="s">
        <v>146</v>
      </c>
      <c r="C5" s="14"/>
      <c r="D5" s="14" t="s">
        <v>564</v>
      </c>
      <c r="E5" s="14"/>
    </row>
    <row r="6" spans="1:5" ht="25.5" customHeight="1" x14ac:dyDescent="0.35">
      <c r="A6" s="67" t="s">
        <v>82</v>
      </c>
      <c r="B6" s="14" t="s">
        <v>154</v>
      </c>
      <c r="C6" s="14"/>
      <c r="D6" s="14" t="s">
        <v>564</v>
      </c>
      <c r="E6" s="14"/>
    </row>
    <row r="7" spans="1:5" ht="25.5" customHeight="1" x14ac:dyDescent="0.35">
      <c r="A7" s="67" t="s">
        <v>82</v>
      </c>
      <c r="B7" s="14" t="s">
        <v>156</v>
      </c>
      <c r="C7" s="14"/>
      <c r="D7" s="14" t="s">
        <v>564</v>
      </c>
      <c r="E7" s="14"/>
    </row>
    <row r="8" spans="1:5" ht="25.5" customHeight="1" x14ac:dyDescent="0.35">
      <c r="A8" s="67" t="s">
        <v>82</v>
      </c>
      <c r="B8" s="14" t="s">
        <v>159</v>
      </c>
      <c r="C8" s="14"/>
      <c r="D8" s="18" t="s">
        <v>566</v>
      </c>
      <c r="E8" s="14"/>
    </row>
    <row r="9" spans="1:5" ht="25.5" customHeight="1" x14ac:dyDescent="0.35">
      <c r="A9" s="67" t="s">
        <v>82</v>
      </c>
      <c r="B9" s="14" t="s">
        <v>294</v>
      </c>
      <c r="C9" s="14" t="s">
        <v>643</v>
      </c>
      <c r="D9" s="18" t="s">
        <v>615</v>
      </c>
      <c r="E9" s="14"/>
    </row>
    <row r="10" spans="1:5" ht="25.5" customHeight="1" x14ac:dyDescent="0.35">
      <c r="A10" s="67" t="s">
        <v>82</v>
      </c>
      <c r="B10" s="14" t="s">
        <v>163</v>
      </c>
      <c r="C10" s="14"/>
      <c r="D10" s="14" t="s">
        <v>564</v>
      </c>
      <c r="E10" s="14"/>
    </row>
    <row r="11" spans="1:5" ht="25.5" customHeight="1" x14ac:dyDescent="0.35">
      <c r="A11" s="67" t="s">
        <v>82</v>
      </c>
      <c r="B11" s="14" t="s">
        <v>167</v>
      </c>
      <c r="C11" s="14"/>
      <c r="D11" s="14" t="s">
        <v>564</v>
      </c>
      <c r="E11" s="14"/>
    </row>
    <row r="12" spans="1:5" ht="25.5" customHeight="1" x14ac:dyDescent="0.35">
      <c r="A12" s="67" t="s">
        <v>82</v>
      </c>
      <c r="B12" s="14" t="s">
        <v>173</v>
      </c>
      <c r="C12" s="14"/>
      <c r="D12" s="14" t="s">
        <v>564</v>
      </c>
      <c r="E12" s="14"/>
    </row>
    <row r="13" spans="1:5" ht="25.5" customHeight="1" x14ac:dyDescent="0.35">
      <c r="A13" s="67" t="s">
        <v>139</v>
      </c>
      <c r="B13" s="14" t="s">
        <v>201</v>
      </c>
      <c r="C13" s="14"/>
      <c r="D13" s="14" t="s">
        <v>564</v>
      </c>
      <c r="E13" s="14"/>
    </row>
    <row r="14" spans="1:5" ht="25.5" customHeight="1" x14ac:dyDescent="0.35">
      <c r="A14" s="67" t="s">
        <v>139</v>
      </c>
      <c r="B14" s="14" t="s">
        <v>329</v>
      </c>
      <c r="C14" s="14"/>
      <c r="D14" s="14" t="s">
        <v>671</v>
      </c>
      <c r="E14" s="14"/>
    </row>
    <row r="15" spans="1:5" ht="25.5" customHeight="1" x14ac:dyDescent="0.35">
      <c r="A15" s="67" t="s">
        <v>139</v>
      </c>
      <c r="B15" s="14" t="s">
        <v>202</v>
      </c>
      <c r="C15" s="14"/>
      <c r="D15" s="14" t="s">
        <v>564</v>
      </c>
      <c r="E15" s="14"/>
    </row>
    <row r="16" spans="1:5" ht="25.5" customHeight="1" x14ac:dyDescent="0.35">
      <c r="A16" s="67" t="s">
        <v>139</v>
      </c>
      <c r="B16" s="14" t="s">
        <v>203</v>
      </c>
      <c r="C16" s="14"/>
      <c r="D16" s="14" t="s">
        <v>564</v>
      </c>
      <c r="E16" s="14"/>
    </row>
    <row r="17" spans="1:5" ht="25.5" customHeight="1" x14ac:dyDescent="0.35">
      <c r="A17" s="67" t="s">
        <v>139</v>
      </c>
      <c r="B17" s="14" t="s">
        <v>204</v>
      </c>
      <c r="C17" s="14"/>
      <c r="D17" s="14" t="s">
        <v>564</v>
      </c>
      <c r="E17" s="14"/>
    </row>
    <row r="18" spans="1:5" ht="25.5" customHeight="1" x14ac:dyDescent="0.35">
      <c r="A18" s="67" t="s">
        <v>139</v>
      </c>
      <c r="B18" s="14" t="s">
        <v>331</v>
      </c>
      <c r="C18" s="14"/>
      <c r="D18" s="14" t="s">
        <v>564</v>
      </c>
      <c r="E18" s="14"/>
    </row>
    <row r="19" spans="1:5" ht="25.5" customHeight="1" x14ac:dyDescent="0.35">
      <c r="A19" s="67" t="s">
        <v>139</v>
      </c>
      <c r="B19" s="14" t="s">
        <v>332</v>
      </c>
      <c r="C19" s="14" t="s">
        <v>674</v>
      </c>
      <c r="D19" s="18" t="s">
        <v>675</v>
      </c>
      <c r="E19" s="14"/>
    </row>
    <row r="20" spans="1:5" ht="25.5" customHeight="1" x14ac:dyDescent="0.35">
      <c r="A20" s="67" t="s">
        <v>139</v>
      </c>
      <c r="B20" s="14" t="s">
        <v>334</v>
      </c>
      <c r="C20" s="14"/>
      <c r="D20" s="18" t="s">
        <v>677</v>
      </c>
      <c r="E20" s="14"/>
    </row>
    <row r="21" spans="1:5" ht="25.5" customHeight="1" x14ac:dyDescent="0.35">
      <c r="A21" s="67" t="s">
        <v>231</v>
      </c>
      <c r="B21" s="14" t="s">
        <v>246</v>
      </c>
      <c r="C21" s="14"/>
      <c r="D21" s="14" t="s">
        <v>564</v>
      </c>
      <c r="E21" s="14"/>
    </row>
    <row r="22" spans="1:5" ht="25.5" customHeight="1" x14ac:dyDescent="0.35">
      <c r="A22" s="67" t="s">
        <v>231</v>
      </c>
      <c r="B22" s="14" t="s">
        <v>247</v>
      </c>
      <c r="C22" s="14" t="s">
        <v>614</v>
      </c>
      <c r="D22" s="18" t="s">
        <v>615</v>
      </c>
      <c r="E22" s="14" t="s">
        <v>248</v>
      </c>
    </row>
    <row r="23" spans="1:5" ht="25.5" customHeight="1" x14ac:dyDescent="0.35">
      <c r="A23" s="67" t="s">
        <v>231</v>
      </c>
      <c r="B23" s="14" t="s">
        <v>251</v>
      </c>
      <c r="C23" s="14"/>
      <c r="D23" s="14" t="s">
        <v>617</v>
      </c>
      <c r="E23" s="14"/>
    </row>
    <row r="24" spans="1:5" ht="25.5" customHeight="1" x14ac:dyDescent="0.35">
      <c r="A24" s="67" t="s">
        <v>231</v>
      </c>
      <c r="B24" s="14" t="s">
        <v>255</v>
      </c>
      <c r="C24" s="14"/>
      <c r="D24" s="14" t="s">
        <v>564</v>
      </c>
      <c r="E24" s="14"/>
    </row>
    <row r="25" spans="1:5" ht="25.5" customHeight="1" x14ac:dyDescent="0.35">
      <c r="A25" s="67" t="s">
        <v>231</v>
      </c>
      <c r="B25" s="14" t="s">
        <v>257</v>
      </c>
      <c r="C25" s="14"/>
      <c r="D25" s="14" t="s">
        <v>620</v>
      </c>
      <c r="E25" s="14"/>
    </row>
    <row r="26" spans="1:5" ht="25.5" customHeight="1" x14ac:dyDescent="0.35">
      <c r="A26" s="67" t="s">
        <v>231</v>
      </c>
      <c r="B26" s="14" t="s">
        <v>260</v>
      </c>
      <c r="C26" s="14"/>
      <c r="D26" s="14" t="s">
        <v>622</v>
      </c>
      <c r="E26" s="14"/>
    </row>
    <row r="27" spans="1:5" ht="25.5" customHeight="1" x14ac:dyDescent="0.35">
      <c r="A27" s="67" t="s">
        <v>384</v>
      </c>
      <c r="B27" s="14" t="s">
        <v>400</v>
      </c>
      <c r="C27" s="14"/>
      <c r="D27" s="14" t="s">
        <v>564</v>
      </c>
      <c r="E27" s="14"/>
    </row>
    <row r="28" spans="1:5" ht="25.5" customHeight="1" x14ac:dyDescent="0.35">
      <c r="A28" s="67" t="s">
        <v>384</v>
      </c>
      <c r="B28" s="14" t="s">
        <v>402</v>
      </c>
      <c r="C28" s="14"/>
      <c r="D28" s="14" t="s">
        <v>564</v>
      </c>
      <c r="E28" s="14"/>
    </row>
    <row r="29" spans="1:5" ht="25.5" customHeight="1" x14ac:dyDescent="0.35">
      <c r="A29" s="67" t="s">
        <v>384</v>
      </c>
      <c r="B29" s="14" t="s">
        <v>404</v>
      </c>
      <c r="C29" s="14"/>
      <c r="D29" s="14" t="s">
        <v>735</v>
      </c>
      <c r="E29" s="14"/>
    </row>
    <row r="30" spans="1:5" ht="25.5" customHeight="1" x14ac:dyDescent="0.35">
      <c r="A30" s="67" t="s">
        <v>384</v>
      </c>
      <c r="B30" s="14" t="s">
        <v>407</v>
      </c>
      <c r="C30" s="14"/>
      <c r="D30" s="14" t="s">
        <v>564</v>
      </c>
      <c r="E30" s="14"/>
    </row>
    <row r="31" spans="1:5" ht="25.5" customHeight="1" x14ac:dyDescent="0.35">
      <c r="A31" s="67" t="s">
        <v>384</v>
      </c>
      <c r="B31" s="14" t="s">
        <v>409</v>
      </c>
      <c r="C31" s="14"/>
      <c r="D31" s="14" t="s">
        <v>564</v>
      </c>
      <c r="E31" s="14"/>
    </row>
    <row r="32" spans="1:5" ht="25.5" customHeight="1" x14ac:dyDescent="0.35">
      <c r="A32" s="67" t="s">
        <v>384</v>
      </c>
      <c r="B32" s="14" t="s">
        <v>411</v>
      </c>
      <c r="C32" s="14"/>
      <c r="D32" s="18" t="s">
        <v>739</v>
      </c>
      <c r="E32" s="14"/>
    </row>
    <row r="33" spans="1:5" ht="25.5" customHeight="1" x14ac:dyDescent="0.35">
      <c r="A33" s="67" t="s">
        <v>493</v>
      </c>
      <c r="B33" s="14" t="s">
        <v>510</v>
      </c>
      <c r="C33" s="14"/>
      <c r="D33" s="14" t="s">
        <v>814</v>
      </c>
      <c r="E33" s="14"/>
    </row>
    <row r="34" spans="1:5" ht="25.5" customHeight="1" x14ac:dyDescent="0.35">
      <c r="A34" s="67" t="s">
        <v>493</v>
      </c>
      <c r="B34" s="14" t="s">
        <v>512</v>
      </c>
      <c r="C34" s="14"/>
      <c r="D34" s="18" t="s">
        <v>739</v>
      </c>
      <c r="E34" s="14"/>
    </row>
    <row r="35" spans="1:5" ht="25.5" customHeight="1" x14ac:dyDescent="0.35">
      <c r="A35" s="67" t="s">
        <v>418</v>
      </c>
      <c r="B35" s="14" t="s">
        <v>435</v>
      </c>
      <c r="C35" s="14"/>
      <c r="D35" s="14" t="s">
        <v>564</v>
      </c>
      <c r="E35" s="14"/>
    </row>
    <row r="36" spans="1:5" ht="25.5" customHeight="1" x14ac:dyDescent="0.35">
      <c r="A36" s="67" t="s">
        <v>418</v>
      </c>
      <c r="B36" s="14" t="s">
        <v>437</v>
      </c>
      <c r="C36" s="14"/>
      <c r="D36" s="14" t="s">
        <v>564</v>
      </c>
      <c r="E36" s="14"/>
    </row>
    <row r="37" spans="1:5" ht="25.5" customHeight="1" x14ac:dyDescent="0.35">
      <c r="A37" s="67" t="s">
        <v>418</v>
      </c>
      <c r="B37" s="14" t="s">
        <v>438</v>
      </c>
      <c r="C37" s="14" t="s">
        <v>763</v>
      </c>
      <c r="D37" s="18" t="s">
        <v>675</v>
      </c>
      <c r="E37" s="14"/>
    </row>
    <row r="38" spans="1:5" ht="25.5" customHeight="1" x14ac:dyDescent="0.35">
      <c r="A38" s="67" t="s">
        <v>418</v>
      </c>
      <c r="B38" s="14" t="s">
        <v>440</v>
      </c>
      <c r="C38" s="14"/>
      <c r="D38" s="18" t="s">
        <v>765</v>
      </c>
      <c r="E38" s="14"/>
    </row>
    <row r="39" spans="1:5" ht="25.5" customHeight="1" x14ac:dyDescent="0.35">
      <c r="A39" s="67" t="s">
        <v>418</v>
      </c>
      <c r="B39" s="14" t="s">
        <v>442</v>
      </c>
      <c r="C39" s="14"/>
      <c r="D39" s="14" t="s">
        <v>767</v>
      </c>
      <c r="E39" s="14"/>
    </row>
    <row r="40" spans="1:5" ht="25.5" customHeight="1" x14ac:dyDescent="0.35">
      <c r="A40" s="67" t="s">
        <v>470</v>
      </c>
      <c r="B40" s="14" t="s">
        <v>481</v>
      </c>
      <c r="C40" s="14"/>
      <c r="D40" s="14" t="s">
        <v>801</v>
      </c>
      <c r="E40" s="14"/>
    </row>
    <row r="41" spans="1:5" ht="25.5" customHeight="1" x14ac:dyDescent="0.35">
      <c r="A41" s="67" t="s">
        <v>470</v>
      </c>
      <c r="B41" s="14" t="s">
        <v>483</v>
      </c>
      <c r="C41" s="14"/>
      <c r="D41" s="18" t="s">
        <v>803</v>
      </c>
      <c r="E41" s="14"/>
    </row>
    <row r="42" spans="1:5" ht="33" customHeight="1" x14ac:dyDescent="0.35">
      <c r="A42" s="67" t="s">
        <v>82</v>
      </c>
      <c r="B42" s="14" t="s">
        <v>297</v>
      </c>
      <c r="C42" s="14"/>
      <c r="D42" s="53" t="s">
        <v>645</v>
      </c>
      <c r="E42" s="14"/>
    </row>
    <row r="43" spans="1:5" ht="33" customHeight="1" x14ac:dyDescent="0.35">
      <c r="A43" s="67" t="s">
        <v>139</v>
      </c>
      <c r="B43" s="14" t="s">
        <v>336</v>
      </c>
      <c r="C43" s="14" t="s">
        <v>679</v>
      </c>
      <c r="D43" s="53" t="s">
        <v>578</v>
      </c>
      <c r="E43" s="14"/>
    </row>
    <row r="44" spans="1:5" ht="33" customHeight="1" x14ac:dyDescent="0.35">
      <c r="A44" s="67" t="s">
        <v>384</v>
      </c>
      <c r="B44" s="14" t="s">
        <v>414</v>
      </c>
      <c r="C44" s="14" t="s">
        <v>741</v>
      </c>
      <c r="D44" s="53" t="s">
        <v>742</v>
      </c>
      <c r="E44" s="18" t="s">
        <v>415</v>
      </c>
    </row>
    <row r="45" spans="1:5" ht="33" customHeight="1" x14ac:dyDescent="0.35">
      <c r="A45" s="67" t="s">
        <v>418</v>
      </c>
      <c r="B45" s="14" t="s">
        <v>444</v>
      </c>
      <c r="C45" s="14" t="s">
        <v>769</v>
      </c>
      <c r="D45" s="53" t="s">
        <v>770</v>
      </c>
      <c r="E45" s="18" t="s">
        <v>445</v>
      </c>
    </row>
    <row r="46" spans="1:5" ht="33" customHeight="1" x14ac:dyDescent="0.35">
      <c r="A46" s="67" t="s">
        <v>493</v>
      </c>
      <c r="B46" s="14" t="s">
        <v>514</v>
      </c>
      <c r="C46" s="14"/>
      <c r="D46" s="53" t="s">
        <v>826</v>
      </c>
      <c r="E46" s="14"/>
    </row>
    <row r="47" spans="1:5" ht="21.75" customHeight="1" x14ac:dyDescent="0.35">
      <c r="A47" s="85" t="s">
        <v>1165</v>
      </c>
      <c r="B47" s="85"/>
      <c r="C47" s="85"/>
      <c r="D47" s="85"/>
      <c r="E47" s="85"/>
    </row>
    <row r="48" spans="1:5" ht="25.5" customHeight="1" x14ac:dyDescent="0.35">
      <c r="A48" s="67" t="s">
        <v>139</v>
      </c>
      <c r="B48" s="14" t="s">
        <v>341</v>
      </c>
      <c r="C48" s="14" t="s">
        <v>684</v>
      </c>
      <c r="D48" s="53" t="s">
        <v>568</v>
      </c>
      <c r="E48" s="14" t="s">
        <v>295</v>
      </c>
    </row>
    <row r="49" spans="1:5" ht="25.5" customHeight="1" x14ac:dyDescent="0.35">
      <c r="A49" s="67" t="s">
        <v>139</v>
      </c>
      <c r="B49" s="14" t="s">
        <v>343</v>
      </c>
      <c r="C49" s="14" t="s">
        <v>686</v>
      </c>
      <c r="D49" s="53" t="s">
        <v>687</v>
      </c>
      <c r="E49" s="14" t="s">
        <v>295</v>
      </c>
    </row>
    <row r="50" spans="1:5" ht="33" customHeight="1" x14ac:dyDescent="0.35">
      <c r="A50" s="67" t="s">
        <v>139</v>
      </c>
      <c r="B50" s="14" t="s">
        <v>345</v>
      </c>
      <c r="C50" s="14" t="s">
        <v>689</v>
      </c>
      <c r="D50" s="53" t="s">
        <v>687</v>
      </c>
      <c r="E50" s="14" t="s">
        <v>295</v>
      </c>
    </row>
    <row r="51" spans="1:5" ht="25.5" customHeight="1" x14ac:dyDescent="0.35">
      <c r="A51" s="67" t="s">
        <v>69</v>
      </c>
      <c r="B51" s="14" t="s">
        <v>228</v>
      </c>
      <c r="C51" s="14" t="s">
        <v>598</v>
      </c>
      <c r="D51" s="53" t="s">
        <v>568</v>
      </c>
      <c r="E51" s="14" t="s">
        <v>229</v>
      </c>
    </row>
    <row r="52" spans="1:5" ht="33" customHeight="1" x14ac:dyDescent="0.35">
      <c r="A52" s="67" t="s">
        <v>82</v>
      </c>
      <c r="B52" s="14" t="s">
        <v>300</v>
      </c>
      <c r="C52" s="14" t="s">
        <v>647</v>
      </c>
      <c r="D52" s="53" t="s">
        <v>568</v>
      </c>
      <c r="E52" s="14"/>
    </row>
    <row r="53" spans="1:5" ht="33" customHeight="1" x14ac:dyDescent="0.35">
      <c r="A53" s="67" t="s">
        <v>82</v>
      </c>
      <c r="B53" s="14" t="s">
        <v>179</v>
      </c>
      <c r="C53" s="14"/>
      <c r="D53" s="53" t="s">
        <v>568</v>
      </c>
      <c r="E53" s="14" t="s">
        <v>180</v>
      </c>
    </row>
    <row r="54" spans="1:5" ht="33" customHeight="1" x14ac:dyDescent="0.35">
      <c r="A54" s="67" t="s">
        <v>139</v>
      </c>
      <c r="B54" s="14" t="s">
        <v>353</v>
      </c>
      <c r="C54" s="14"/>
      <c r="D54" s="53" t="s">
        <v>624</v>
      </c>
      <c r="E54" s="14" t="s">
        <v>295</v>
      </c>
    </row>
    <row r="55" spans="1:5" ht="33" customHeight="1" x14ac:dyDescent="0.35">
      <c r="A55" s="67" t="s">
        <v>139</v>
      </c>
      <c r="B55" s="14" t="s">
        <v>354</v>
      </c>
      <c r="C55" s="14"/>
      <c r="D55" s="53" t="s">
        <v>624</v>
      </c>
      <c r="E55" s="14" t="s">
        <v>295</v>
      </c>
    </row>
    <row r="56" spans="1:5" ht="33" customHeight="1" x14ac:dyDescent="0.35">
      <c r="A56" s="67" t="s">
        <v>139</v>
      </c>
      <c r="B56" s="14" t="s">
        <v>362</v>
      </c>
      <c r="C56" s="14" t="s">
        <v>702</v>
      </c>
      <c r="D56" s="53" t="s">
        <v>703</v>
      </c>
      <c r="E56" s="18" t="s">
        <v>363</v>
      </c>
    </row>
    <row r="57" spans="1:5" ht="25.5" customHeight="1" x14ac:dyDescent="0.35">
      <c r="A57" s="67" t="s">
        <v>139</v>
      </c>
      <c r="B57" s="14" t="s">
        <v>365</v>
      </c>
      <c r="C57" s="14" t="s">
        <v>705</v>
      </c>
      <c r="D57" s="53" t="s">
        <v>706</v>
      </c>
      <c r="E57" s="14"/>
    </row>
    <row r="58" spans="1:5" ht="25.5" customHeight="1" x14ac:dyDescent="0.35">
      <c r="A58" s="67" t="s">
        <v>139</v>
      </c>
      <c r="B58" s="14" t="s">
        <v>367</v>
      </c>
      <c r="C58" s="14" t="s">
        <v>708</v>
      </c>
      <c r="D58" s="53" t="s">
        <v>709</v>
      </c>
      <c r="E58" s="14"/>
    </row>
    <row r="59" spans="1:5" ht="25.5" customHeight="1" x14ac:dyDescent="0.35">
      <c r="A59" s="67" t="s">
        <v>139</v>
      </c>
      <c r="B59" s="14" t="s">
        <v>370</v>
      </c>
      <c r="C59" s="14" t="s">
        <v>711</v>
      </c>
      <c r="D59" s="53" t="s">
        <v>624</v>
      </c>
      <c r="E59" s="14" t="s">
        <v>295</v>
      </c>
    </row>
    <row r="60" spans="1:5" ht="33" customHeight="1" x14ac:dyDescent="0.35">
      <c r="A60" s="67" t="s">
        <v>231</v>
      </c>
      <c r="B60" s="14" t="s">
        <v>279</v>
      </c>
      <c r="C60" s="14" t="s">
        <v>634</v>
      </c>
      <c r="D60" s="53" t="s">
        <v>624</v>
      </c>
      <c r="E60" s="14" t="s">
        <v>280</v>
      </c>
    </row>
    <row r="61" spans="1:5" ht="33" customHeight="1" x14ac:dyDescent="0.35">
      <c r="A61" s="67" t="s">
        <v>231</v>
      </c>
      <c r="B61" s="14" t="s">
        <v>283</v>
      </c>
      <c r="C61" s="14" t="s">
        <v>636</v>
      </c>
      <c r="D61" s="53" t="s">
        <v>637</v>
      </c>
      <c r="E61" s="14" t="s">
        <v>284</v>
      </c>
    </row>
    <row r="62" spans="1:5" ht="33" customHeight="1" x14ac:dyDescent="0.35">
      <c r="A62" s="67" t="s">
        <v>231</v>
      </c>
      <c r="B62" s="14" t="s">
        <v>287</v>
      </c>
      <c r="C62" s="14"/>
      <c r="D62" s="53" t="s">
        <v>624</v>
      </c>
      <c r="E62" s="14"/>
    </row>
    <row r="63" spans="1:5" ht="33" customHeight="1" x14ac:dyDescent="0.35">
      <c r="A63" s="67" t="s">
        <v>418</v>
      </c>
      <c r="B63" s="14" t="s">
        <v>459</v>
      </c>
      <c r="C63" s="14" t="s">
        <v>782</v>
      </c>
      <c r="D63" s="53" t="s">
        <v>624</v>
      </c>
      <c r="E63" s="14" t="s">
        <v>460</v>
      </c>
    </row>
    <row r="64" spans="1:5" ht="43.5" customHeight="1" x14ac:dyDescent="0.35">
      <c r="A64" s="67" t="s">
        <v>418</v>
      </c>
      <c r="B64" s="14" t="s">
        <v>462</v>
      </c>
      <c r="C64" s="14" t="s">
        <v>784</v>
      </c>
      <c r="D64" s="53" t="s">
        <v>785</v>
      </c>
      <c r="E64" s="14"/>
    </row>
    <row r="65" spans="1:5" ht="25.5" customHeight="1" x14ac:dyDescent="0.35">
      <c r="A65" s="67" t="s">
        <v>418</v>
      </c>
      <c r="B65" s="14" t="s">
        <v>464</v>
      </c>
      <c r="C65" s="14"/>
      <c r="D65" s="53" t="s">
        <v>632</v>
      </c>
      <c r="E65" s="14"/>
    </row>
    <row r="66" spans="1:5" ht="25.5" customHeight="1" x14ac:dyDescent="0.35">
      <c r="A66" s="67" t="s">
        <v>418</v>
      </c>
      <c r="B66" s="14" t="s">
        <v>465</v>
      </c>
      <c r="C66" s="14"/>
      <c r="D66" s="53" t="s">
        <v>624</v>
      </c>
      <c r="E66" s="14"/>
    </row>
    <row r="67" spans="1:5" ht="25.5" customHeight="1" x14ac:dyDescent="0.35">
      <c r="A67" s="67" t="s">
        <v>418</v>
      </c>
      <c r="B67" s="14" t="s">
        <v>466</v>
      </c>
      <c r="C67" s="14" t="s">
        <v>789</v>
      </c>
      <c r="D67" s="53" t="s">
        <v>709</v>
      </c>
      <c r="E67" s="14"/>
    </row>
    <row r="68" spans="1:5" ht="43.5" customHeight="1" x14ac:dyDescent="0.35">
      <c r="A68" s="67" t="s">
        <v>82</v>
      </c>
      <c r="B68" s="14" t="s">
        <v>302</v>
      </c>
      <c r="C68" s="14" t="s">
        <v>649</v>
      </c>
      <c r="D68" s="53" t="s">
        <v>624</v>
      </c>
      <c r="E68" s="14"/>
    </row>
    <row r="69" spans="1:5" ht="33" customHeight="1" x14ac:dyDescent="0.35">
      <c r="A69" s="67" t="s">
        <v>82</v>
      </c>
      <c r="B69" s="14" t="s">
        <v>304</v>
      </c>
      <c r="C69" s="14"/>
      <c r="D69" s="53" t="s">
        <v>624</v>
      </c>
      <c r="E69" s="14" t="s">
        <v>295</v>
      </c>
    </row>
    <row r="70" spans="1:5" ht="33" customHeight="1" x14ac:dyDescent="0.35">
      <c r="A70" s="67" t="s">
        <v>82</v>
      </c>
      <c r="B70" s="14" t="s">
        <v>306</v>
      </c>
      <c r="C70" s="14"/>
      <c r="D70" s="53" t="s">
        <v>624</v>
      </c>
      <c r="E70" s="14" t="s">
        <v>307</v>
      </c>
    </row>
    <row r="71" spans="1:5" ht="43.5" customHeight="1" x14ac:dyDescent="0.35">
      <c r="A71" s="67" t="s">
        <v>418</v>
      </c>
      <c r="B71" s="14" t="s">
        <v>468</v>
      </c>
      <c r="C71" s="14" t="s">
        <v>791</v>
      </c>
      <c r="D71" s="53" t="s">
        <v>632</v>
      </c>
      <c r="E71" s="14"/>
    </row>
    <row r="72" spans="1:5" ht="43.5" customHeight="1" x14ac:dyDescent="0.35">
      <c r="A72" s="67" t="s">
        <v>470</v>
      </c>
      <c r="B72" s="14" t="s">
        <v>486</v>
      </c>
      <c r="C72" s="14" t="s">
        <v>805</v>
      </c>
      <c r="D72" s="53" t="s">
        <v>806</v>
      </c>
      <c r="E72" s="14" t="s">
        <v>487</v>
      </c>
    </row>
    <row r="73" spans="1:5" ht="25.5" customHeight="1" x14ac:dyDescent="0.35">
      <c r="A73" s="67" t="s">
        <v>82</v>
      </c>
      <c r="B73" s="14" t="s">
        <v>308</v>
      </c>
      <c r="C73" s="14" t="s">
        <v>653</v>
      </c>
      <c r="D73" s="53" t="s">
        <v>654</v>
      </c>
      <c r="E73" s="14" t="s">
        <v>295</v>
      </c>
    </row>
    <row r="74" spans="1:5" ht="33" customHeight="1" x14ac:dyDescent="0.35">
      <c r="A74" s="67" t="s">
        <v>82</v>
      </c>
      <c r="B74" s="14" t="s">
        <v>311</v>
      </c>
      <c r="C74" s="14" t="s">
        <v>656</v>
      </c>
      <c r="D74" s="53" t="s">
        <v>654</v>
      </c>
      <c r="E74" s="14"/>
    </row>
    <row r="75" spans="1:5" ht="33" customHeight="1" x14ac:dyDescent="0.35">
      <c r="A75" s="67" t="s">
        <v>82</v>
      </c>
      <c r="B75" s="14" t="s">
        <v>313</v>
      </c>
      <c r="C75" s="14"/>
      <c r="D75" s="53" t="s">
        <v>654</v>
      </c>
      <c r="E75" s="14"/>
    </row>
    <row r="76" spans="1:5" ht="25.5" customHeight="1" x14ac:dyDescent="0.35">
      <c r="A76" s="67" t="s">
        <v>82</v>
      </c>
      <c r="B76" s="14" t="s">
        <v>315</v>
      </c>
      <c r="C76" s="14" t="s">
        <v>659</v>
      </c>
      <c r="D76" s="53" t="s">
        <v>660</v>
      </c>
      <c r="E76" s="14"/>
    </row>
    <row r="77" spans="1:5" ht="25.5" customHeight="1" x14ac:dyDescent="0.35">
      <c r="A77" s="67" t="s">
        <v>82</v>
      </c>
      <c r="B77" s="14" t="s">
        <v>83</v>
      </c>
      <c r="C77" s="14" t="s">
        <v>547</v>
      </c>
      <c r="D77" s="53" t="s">
        <v>542</v>
      </c>
      <c r="E77" s="18" t="s">
        <v>84</v>
      </c>
    </row>
    <row r="78" spans="1:5" ht="25.5" customHeight="1" x14ac:dyDescent="0.35">
      <c r="A78" s="67" t="s">
        <v>82</v>
      </c>
      <c r="B78" s="14" t="s">
        <v>89</v>
      </c>
      <c r="C78" s="14"/>
      <c r="D78" s="53" t="s">
        <v>542</v>
      </c>
      <c r="E78" s="14"/>
    </row>
    <row r="79" spans="1:5" ht="25.5" customHeight="1" x14ac:dyDescent="0.35">
      <c r="A79" s="67" t="s">
        <v>82</v>
      </c>
      <c r="B79" s="14" t="s">
        <v>94</v>
      </c>
      <c r="C79" s="14" t="s">
        <v>550</v>
      </c>
      <c r="D79" s="53" t="s">
        <v>542</v>
      </c>
      <c r="E79" s="14"/>
    </row>
    <row r="80" spans="1:5" ht="25.5" customHeight="1" x14ac:dyDescent="0.35">
      <c r="A80" s="67" t="s">
        <v>82</v>
      </c>
      <c r="B80" s="14" t="s">
        <v>102</v>
      </c>
      <c r="C80" s="14"/>
      <c r="D80" s="53" t="s">
        <v>542</v>
      </c>
      <c r="E80" s="14" t="s">
        <v>103</v>
      </c>
    </row>
    <row r="81" spans="1:5" ht="25.5" customHeight="1" x14ac:dyDescent="0.35">
      <c r="A81" s="67" t="s">
        <v>82</v>
      </c>
      <c r="B81" s="14" t="s">
        <v>109</v>
      </c>
      <c r="C81" s="14" t="s">
        <v>553</v>
      </c>
      <c r="D81" s="53" t="s">
        <v>542</v>
      </c>
      <c r="E81" s="14" t="s">
        <v>110</v>
      </c>
    </row>
    <row r="82" spans="1:5" ht="25.5" customHeight="1" x14ac:dyDescent="0.35">
      <c r="A82" s="67" t="s">
        <v>82</v>
      </c>
      <c r="B82" s="14" t="s">
        <v>116</v>
      </c>
      <c r="C82" s="14"/>
      <c r="D82" s="53" t="s">
        <v>542</v>
      </c>
      <c r="E82" s="14"/>
    </row>
    <row r="83" spans="1:5" ht="25.5" customHeight="1" x14ac:dyDescent="0.35">
      <c r="A83" s="67" t="s">
        <v>82</v>
      </c>
      <c r="B83" s="14" t="s">
        <v>120</v>
      </c>
      <c r="C83" s="14" t="s">
        <v>556</v>
      </c>
      <c r="D83" s="53" t="s">
        <v>542</v>
      </c>
      <c r="E83" s="14" t="s">
        <v>121</v>
      </c>
    </row>
    <row r="84" spans="1:5" ht="25.5" customHeight="1" x14ac:dyDescent="0.35">
      <c r="A84" s="67" t="s">
        <v>139</v>
      </c>
      <c r="B84" s="14" t="s">
        <v>140</v>
      </c>
      <c r="C84" s="14" t="s">
        <v>562</v>
      </c>
      <c r="D84" s="53" t="s">
        <v>542</v>
      </c>
      <c r="E84" s="14"/>
    </row>
    <row r="85" spans="1:5" ht="25.5" customHeight="1" x14ac:dyDescent="0.35">
      <c r="A85" s="67" t="s">
        <v>82</v>
      </c>
      <c r="B85" s="14" t="s">
        <v>126</v>
      </c>
      <c r="C85" s="14" t="s">
        <v>558</v>
      </c>
      <c r="D85" s="53" t="s">
        <v>542</v>
      </c>
      <c r="E85" s="14"/>
    </row>
    <row r="86" spans="1:5" ht="25.5" customHeight="1" x14ac:dyDescent="0.35">
      <c r="A86" s="67" t="s">
        <v>69</v>
      </c>
      <c r="B86" s="14" t="s">
        <v>72</v>
      </c>
      <c r="C86" s="14" t="s">
        <v>541</v>
      </c>
      <c r="D86" s="53" t="s">
        <v>542</v>
      </c>
      <c r="E86" s="14"/>
    </row>
    <row r="87" spans="1:5" ht="25.5" customHeight="1" x14ac:dyDescent="0.35">
      <c r="A87" s="67" t="s">
        <v>82</v>
      </c>
      <c r="B87" s="14" t="s">
        <v>133</v>
      </c>
      <c r="C87" s="14"/>
      <c r="D87" s="53" t="s">
        <v>542</v>
      </c>
      <c r="E87" s="14"/>
    </row>
  </sheetData>
  <autoFilter ref="A4:E87" xr:uid="{00000000-0009-0000-0000-000006000000}"/>
  <mergeCells count="3">
    <mergeCell ref="A1:E1"/>
    <mergeCell ref="A2:E2"/>
    <mergeCell ref="A47:E47"/>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7"/>
  <sheetViews>
    <sheetView showGridLines="0" zoomScaleNormal="100" workbookViewId="0">
      <pane ySplit="4" topLeftCell="A5" activePane="bottomLeft" state="frozen"/>
      <selection pane="bottomLeft" sqref="A1:F1"/>
    </sheetView>
  </sheetViews>
  <sheetFormatPr baseColWidth="10" defaultColWidth="8.7265625" defaultRowHeight="14.5" x14ac:dyDescent="0.35"/>
  <cols>
    <col min="1" max="1" width="30" customWidth="1"/>
    <col min="2" max="2" width="88" customWidth="1"/>
    <col min="3" max="3" width="12" customWidth="1"/>
    <col min="4" max="4" width="40" customWidth="1"/>
    <col min="5" max="5" width="20" customWidth="1"/>
    <col min="6" max="6" width="40" customWidth="1"/>
  </cols>
  <sheetData>
    <row r="1" spans="1:6" ht="25.5" customHeight="1" x14ac:dyDescent="0.35">
      <c r="A1" s="76" t="s">
        <v>1166</v>
      </c>
      <c r="B1" s="76"/>
      <c r="C1" s="76"/>
      <c r="D1" s="76"/>
      <c r="E1" s="76"/>
      <c r="F1" s="76"/>
    </row>
    <row r="2" spans="1:6" ht="30" customHeight="1" x14ac:dyDescent="0.35">
      <c r="A2" s="77" t="s">
        <v>1167</v>
      </c>
      <c r="B2" s="77"/>
      <c r="C2" s="77"/>
      <c r="D2" s="77"/>
      <c r="E2" s="77"/>
      <c r="F2" s="77"/>
    </row>
    <row r="4" spans="1:6" ht="30" customHeight="1" x14ac:dyDescent="0.35">
      <c r="A4" s="6" t="s">
        <v>532</v>
      </c>
      <c r="B4" s="6" t="s">
        <v>1168</v>
      </c>
      <c r="C4" s="6" t="s">
        <v>1169</v>
      </c>
      <c r="D4" s="6" t="s">
        <v>1158</v>
      </c>
      <c r="E4" s="6" t="s">
        <v>1170</v>
      </c>
      <c r="F4" s="6" t="s">
        <v>537</v>
      </c>
    </row>
    <row r="5" spans="1:6" ht="25.5" customHeight="1" x14ac:dyDescent="0.35">
      <c r="A5" s="67" t="s">
        <v>139</v>
      </c>
      <c r="B5" s="14" t="s">
        <v>1171</v>
      </c>
      <c r="C5" s="14" t="s">
        <v>1172</v>
      </c>
      <c r="D5" s="18" t="s">
        <v>1173</v>
      </c>
      <c r="E5" s="14"/>
      <c r="F5" s="14"/>
    </row>
    <row r="6" spans="1:6" ht="25.5" customHeight="1" x14ac:dyDescent="0.35">
      <c r="A6" s="67" t="s">
        <v>139</v>
      </c>
      <c r="B6" s="14" t="s">
        <v>1174</v>
      </c>
      <c r="C6" s="14" t="s">
        <v>1172</v>
      </c>
      <c r="D6" s="18" t="s">
        <v>1175</v>
      </c>
      <c r="E6" s="14"/>
      <c r="F6" s="14"/>
    </row>
    <row r="7" spans="1:6" ht="25.5" customHeight="1" x14ac:dyDescent="0.35">
      <c r="A7" s="67" t="s">
        <v>139</v>
      </c>
      <c r="B7" s="14" t="s">
        <v>1176</v>
      </c>
      <c r="C7" s="14" t="s">
        <v>1172</v>
      </c>
      <c r="D7" s="18" t="s">
        <v>1175</v>
      </c>
      <c r="E7" s="14"/>
      <c r="F7" s="14"/>
    </row>
    <row r="8" spans="1:6" ht="25.5" customHeight="1" x14ac:dyDescent="0.35">
      <c r="A8" s="67" t="s">
        <v>139</v>
      </c>
      <c r="B8" s="14" t="s">
        <v>1177</v>
      </c>
      <c r="C8" s="14" t="s">
        <v>1172</v>
      </c>
      <c r="D8" s="18" t="s">
        <v>1175</v>
      </c>
      <c r="E8" s="14"/>
      <c r="F8" s="14"/>
    </row>
    <row r="9" spans="1:6" ht="25.5" customHeight="1" x14ac:dyDescent="0.35">
      <c r="A9" s="67" t="s">
        <v>139</v>
      </c>
      <c r="B9" s="14" t="s">
        <v>1178</v>
      </c>
      <c r="C9" s="14" t="s">
        <v>1172</v>
      </c>
      <c r="D9" s="18" t="s">
        <v>1175</v>
      </c>
      <c r="E9" s="14"/>
      <c r="F9" s="14"/>
    </row>
    <row r="10" spans="1:6" ht="25.5" customHeight="1" x14ac:dyDescent="0.35">
      <c r="A10" s="67" t="s">
        <v>139</v>
      </c>
      <c r="B10" s="14" t="s">
        <v>1179</v>
      </c>
      <c r="C10" s="14" t="s">
        <v>1172</v>
      </c>
      <c r="D10" s="18" t="s">
        <v>1180</v>
      </c>
      <c r="E10" s="14"/>
      <c r="F10" s="14"/>
    </row>
    <row r="11" spans="1:6" ht="25.5" customHeight="1" x14ac:dyDescent="0.35">
      <c r="A11" s="67" t="s">
        <v>139</v>
      </c>
      <c r="B11" s="14" t="s">
        <v>1181</v>
      </c>
      <c r="C11" s="14" t="s">
        <v>1172</v>
      </c>
      <c r="D11" s="18" t="s">
        <v>1175</v>
      </c>
      <c r="E11" s="14"/>
      <c r="F11" s="14"/>
    </row>
    <row r="12" spans="1:6" ht="25.5" customHeight="1" x14ac:dyDescent="0.35">
      <c r="A12" s="67" t="s">
        <v>139</v>
      </c>
      <c r="B12" s="14" t="s">
        <v>1182</v>
      </c>
      <c r="C12" s="14" t="s">
        <v>1172</v>
      </c>
      <c r="D12" s="18" t="s">
        <v>1183</v>
      </c>
      <c r="E12" s="14"/>
      <c r="F12" s="14"/>
    </row>
    <row r="13" spans="1:6" ht="25.5" customHeight="1" x14ac:dyDescent="0.35">
      <c r="A13" s="67" t="s">
        <v>139</v>
      </c>
      <c r="B13" s="14" t="s">
        <v>1184</v>
      </c>
      <c r="C13" s="14" t="s">
        <v>1172</v>
      </c>
      <c r="D13" s="18" t="s">
        <v>1175</v>
      </c>
      <c r="E13" s="14"/>
      <c r="F13" s="14"/>
    </row>
    <row r="14" spans="1:6" ht="25.5" customHeight="1" x14ac:dyDescent="0.35">
      <c r="A14" s="67" t="s">
        <v>139</v>
      </c>
      <c r="B14" s="14" t="s">
        <v>1185</v>
      </c>
      <c r="C14" s="14" t="s">
        <v>1172</v>
      </c>
      <c r="D14" s="18" t="s">
        <v>1175</v>
      </c>
      <c r="E14" s="14"/>
      <c r="F14" s="14"/>
    </row>
    <row r="15" spans="1:6" ht="25.5" customHeight="1" x14ac:dyDescent="0.35">
      <c r="A15" s="67" t="s">
        <v>139</v>
      </c>
      <c r="B15" s="14" t="s">
        <v>1186</v>
      </c>
      <c r="C15" s="14" t="s">
        <v>1187</v>
      </c>
      <c r="D15" s="18" t="s">
        <v>1175</v>
      </c>
      <c r="E15" s="14" t="s">
        <v>1188</v>
      </c>
      <c r="F15" s="14"/>
    </row>
    <row r="16" spans="1:6" ht="25.5" customHeight="1" x14ac:dyDescent="0.35">
      <c r="A16" s="67" t="s">
        <v>231</v>
      </c>
      <c r="B16" s="14" t="s">
        <v>1189</v>
      </c>
      <c r="C16" s="14" t="s">
        <v>1172</v>
      </c>
      <c r="D16" s="18" t="s">
        <v>1175</v>
      </c>
      <c r="E16" s="14"/>
      <c r="F16" s="14"/>
    </row>
    <row r="17" spans="1:6" ht="25.5" customHeight="1" x14ac:dyDescent="0.35">
      <c r="A17" s="67" t="s">
        <v>231</v>
      </c>
      <c r="B17" s="14" t="s">
        <v>1190</v>
      </c>
      <c r="C17" s="14" t="s">
        <v>1172</v>
      </c>
      <c r="D17" s="18" t="s">
        <v>1175</v>
      </c>
      <c r="E17" s="14"/>
      <c r="F17" s="14"/>
    </row>
    <row r="18" spans="1:6" ht="25.5" customHeight="1" x14ac:dyDescent="0.35">
      <c r="A18" s="67" t="s">
        <v>231</v>
      </c>
      <c r="B18" s="14" t="s">
        <v>1191</v>
      </c>
      <c r="C18" s="14" t="s">
        <v>1172</v>
      </c>
      <c r="D18" s="18" t="s">
        <v>1192</v>
      </c>
      <c r="E18" s="14"/>
      <c r="F18" s="14"/>
    </row>
    <row r="19" spans="1:6" ht="25.5" customHeight="1" x14ac:dyDescent="0.35">
      <c r="A19" s="67" t="s">
        <v>231</v>
      </c>
      <c r="B19" s="14" t="s">
        <v>1193</v>
      </c>
      <c r="C19" s="14" t="s">
        <v>1172</v>
      </c>
      <c r="D19" s="18" t="s">
        <v>1194</v>
      </c>
      <c r="E19" s="14"/>
      <c r="F19" s="14"/>
    </row>
    <row r="20" spans="1:6" ht="25.5" customHeight="1" x14ac:dyDescent="0.35">
      <c r="A20" s="67" t="s">
        <v>231</v>
      </c>
      <c r="B20" s="14" t="s">
        <v>1195</v>
      </c>
      <c r="C20" s="14" t="s">
        <v>1172</v>
      </c>
      <c r="D20" s="18" t="s">
        <v>1175</v>
      </c>
      <c r="E20" s="14"/>
      <c r="F20" s="14"/>
    </row>
    <row r="21" spans="1:6" ht="25.5" customHeight="1" x14ac:dyDescent="0.35">
      <c r="A21" s="67" t="s">
        <v>231</v>
      </c>
      <c r="B21" s="14" t="s">
        <v>1196</v>
      </c>
      <c r="C21" s="14" t="s">
        <v>1172</v>
      </c>
      <c r="D21" s="18" t="s">
        <v>1175</v>
      </c>
      <c r="E21" s="14"/>
      <c r="F21" s="14"/>
    </row>
    <row r="22" spans="1:6" ht="25.5" customHeight="1" x14ac:dyDescent="0.35">
      <c r="A22" s="67" t="s">
        <v>231</v>
      </c>
      <c r="B22" s="14" t="s">
        <v>1197</v>
      </c>
      <c r="C22" s="14" t="s">
        <v>1172</v>
      </c>
      <c r="D22" s="18" t="s">
        <v>1198</v>
      </c>
      <c r="E22" s="14"/>
      <c r="F22" s="14"/>
    </row>
    <row r="23" spans="1:6" ht="25.5" customHeight="1" x14ac:dyDescent="0.35">
      <c r="A23" s="67" t="s">
        <v>231</v>
      </c>
      <c r="B23" s="14" t="s">
        <v>1199</v>
      </c>
      <c r="C23" s="14" t="s">
        <v>1187</v>
      </c>
      <c r="D23" s="18" t="s">
        <v>1175</v>
      </c>
      <c r="E23" s="14"/>
      <c r="F23" s="14"/>
    </row>
    <row r="24" spans="1:6" ht="25.5" customHeight="1" x14ac:dyDescent="0.35">
      <c r="A24" s="67" t="s">
        <v>384</v>
      </c>
      <c r="B24" s="14" t="s">
        <v>1200</v>
      </c>
      <c r="C24" s="14" t="s">
        <v>1172</v>
      </c>
      <c r="D24" s="18" t="s">
        <v>1175</v>
      </c>
      <c r="E24" s="14"/>
      <c r="F24" s="14"/>
    </row>
    <row r="25" spans="1:6" ht="25.5" customHeight="1" x14ac:dyDescent="0.35">
      <c r="A25" s="67" t="s">
        <v>384</v>
      </c>
      <c r="B25" s="14" t="s">
        <v>1201</v>
      </c>
      <c r="C25" s="14" t="s">
        <v>1172</v>
      </c>
      <c r="D25" s="18" t="s">
        <v>1175</v>
      </c>
      <c r="E25" s="14"/>
      <c r="F25" s="14"/>
    </row>
    <row r="26" spans="1:6" ht="25.5" customHeight="1" x14ac:dyDescent="0.35">
      <c r="A26" s="67" t="s">
        <v>384</v>
      </c>
      <c r="B26" s="14" t="s">
        <v>1202</v>
      </c>
      <c r="C26" s="14" t="s">
        <v>1172</v>
      </c>
      <c r="D26" s="18" t="s">
        <v>1175</v>
      </c>
      <c r="E26" s="14"/>
      <c r="F26" s="14"/>
    </row>
    <row r="27" spans="1:6" ht="25.5" customHeight="1" x14ac:dyDescent="0.35">
      <c r="A27" s="67" t="s">
        <v>384</v>
      </c>
      <c r="B27" s="14" t="s">
        <v>1203</v>
      </c>
      <c r="C27" s="14" t="s">
        <v>1172</v>
      </c>
      <c r="D27" s="14" t="s">
        <v>1204</v>
      </c>
      <c r="E27" s="14"/>
      <c r="F27" s="14"/>
    </row>
    <row r="28" spans="1:6" ht="25.5" customHeight="1" x14ac:dyDescent="0.35">
      <c r="A28" s="67" t="s">
        <v>384</v>
      </c>
      <c r="B28" s="14" t="s">
        <v>1205</v>
      </c>
      <c r="C28" s="14" t="s">
        <v>1172</v>
      </c>
      <c r="D28" s="18" t="s">
        <v>1175</v>
      </c>
      <c r="E28" s="14"/>
      <c r="F28" s="14"/>
    </row>
    <row r="29" spans="1:6" ht="25.5" customHeight="1" x14ac:dyDescent="0.35">
      <c r="A29" s="67" t="s">
        <v>384</v>
      </c>
      <c r="B29" s="14" t="s">
        <v>1206</v>
      </c>
      <c r="C29" s="14" t="s">
        <v>1172</v>
      </c>
      <c r="D29" s="18" t="s">
        <v>1175</v>
      </c>
      <c r="E29" s="14"/>
      <c r="F29" s="14"/>
    </row>
    <row r="30" spans="1:6" ht="25.5" customHeight="1" x14ac:dyDescent="0.35">
      <c r="A30" s="67" t="s">
        <v>384</v>
      </c>
      <c r="B30" s="14" t="s">
        <v>1207</v>
      </c>
      <c r="C30" s="14" t="s">
        <v>1172</v>
      </c>
      <c r="D30" s="18" t="s">
        <v>1175</v>
      </c>
      <c r="E30" s="14"/>
      <c r="F30" s="14"/>
    </row>
    <row r="31" spans="1:6" ht="25.5" customHeight="1" x14ac:dyDescent="0.35">
      <c r="A31" s="67" t="s">
        <v>493</v>
      </c>
      <c r="B31" s="14" t="s">
        <v>1208</v>
      </c>
      <c r="C31" s="14" t="s">
        <v>1172</v>
      </c>
      <c r="D31" s="14" t="s">
        <v>1209</v>
      </c>
      <c r="E31" s="14"/>
      <c r="F31" s="14"/>
    </row>
    <row r="32" spans="1:6" ht="25.5" customHeight="1" x14ac:dyDescent="0.35">
      <c r="A32" s="67" t="s">
        <v>493</v>
      </c>
      <c r="B32" s="14" t="s">
        <v>1210</v>
      </c>
      <c r="C32" s="14" t="s">
        <v>1172</v>
      </c>
      <c r="D32" s="18" t="s">
        <v>1175</v>
      </c>
      <c r="E32" s="14"/>
      <c r="F32" s="14"/>
    </row>
    <row r="33" spans="1:6" ht="25.5" customHeight="1" x14ac:dyDescent="0.35">
      <c r="A33" s="67" t="s">
        <v>493</v>
      </c>
      <c r="B33" s="14" t="s">
        <v>1211</v>
      </c>
      <c r="C33" s="14" t="s">
        <v>1172</v>
      </c>
      <c r="D33" s="18" t="s">
        <v>1175</v>
      </c>
      <c r="E33" s="14"/>
      <c r="F33" s="14"/>
    </row>
    <row r="34" spans="1:6" ht="25.5" customHeight="1" x14ac:dyDescent="0.35">
      <c r="A34" s="67" t="s">
        <v>493</v>
      </c>
      <c r="B34" s="14" t="s">
        <v>1212</v>
      </c>
      <c r="C34" s="14" t="s">
        <v>1172</v>
      </c>
      <c r="D34" s="18" t="s">
        <v>1213</v>
      </c>
      <c r="E34" s="14"/>
      <c r="F34" s="14"/>
    </row>
    <row r="35" spans="1:6" ht="25.5" customHeight="1" x14ac:dyDescent="0.35">
      <c r="A35" s="67" t="s">
        <v>493</v>
      </c>
      <c r="B35" s="14" t="s">
        <v>1214</v>
      </c>
      <c r="C35" s="14" t="s">
        <v>1172</v>
      </c>
      <c r="D35" s="14" t="s">
        <v>1209</v>
      </c>
      <c r="E35" s="14"/>
      <c r="F35" s="14"/>
    </row>
    <row r="36" spans="1:6" ht="25.5" customHeight="1" x14ac:dyDescent="0.35">
      <c r="A36" s="67" t="s">
        <v>493</v>
      </c>
      <c r="B36" s="14" t="s">
        <v>1215</v>
      </c>
      <c r="C36" s="14" t="s">
        <v>1187</v>
      </c>
      <c r="D36" s="18" t="s">
        <v>1175</v>
      </c>
      <c r="E36" s="14" t="s">
        <v>1216</v>
      </c>
      <c r="F36" s="14"/>
    </row>
    <row r="37" spans="1:6" ht="25.5" customHeight="1" x14ac:dyDescent="0.35">
      <c r="A37" s="67" t="s">
        <v>418</v>
      </c>
      <c r="B37" s="14" t="s">
        <v>1217</v>
      </c>
      <c r="C37" s="14" t="s">
        <v>1172</v>
      </c>
      <c r="D37" s="18" t="s">
        <v>1175</v>
      </c>
      <c r="E37" s="14"/>
      <c r="F37" s="14"/>
    </row>
    <row r="38" spans="1:6" ht="25.5" customHeight="1" x14ac:dyDescent="0.35">
      <c r="A38" s="67" t="s">
        <v>418</v>
      </c>
      <c r="B38" s="14" t="s">
        <v>1218</v>
      </c>
      <c r="C38" s="14" t="s">
        <v>1172</v>
      </c>
      <c r="D38" s="18" t="s">
        <v>1175</v>
      </c>
      <c r="E38" s="14"/>
      <c r="F38" s="14"/>
    </row>
    <row r="39" spans="1:6" ht="25.5" customHeight="1" x14ac:dyDescent="0.35">
      <c r="A39" s="67" t="s">
        <v>418</v>
      </c>
      <c r="B39" s="14" t="s">
        <v>1219</v>
      </c>
      <c r="C39" s="14" t="s">
        <v>1172</v>
      </c>
      <c r="D39" s="18" t="s">
        <v>1175</v>
      </c>
      <c r="E39" s="14"/>
      <c r="F39" s="14"/>
    </row>
    <row r="40" spans="1:6" ht="25.5" customHeight="1" x14ac:dyDescent="0.35">
      <c r="A40" s="67" t="s">
        <v>418</v>
      </c>
      <c r="B40" s="14" t="s">
        <v>1220</v>
      </c>
      <c r="C40" s="14" t="s">
        <v>1172</v>
      </c>
      <c r="D40" s="18" t="s">
        <v>1175</v>
      </c>
      <c r="E40" s="14"/>
      <c r="F40" s="14"/>
    </row>
    <row r="41" spans="1:6" ht="25.5" customHeight="1" x14ac:dyDescent="0.35">
      <c r="A41" s="67" t="s">
        <v>418</v>
      </c>
      <c r="B41" s="14" t="s">
        <v>1221</v>
      </c>
      <c r="C41" s="14" t="s">
        <v>1172</v>
      </c>
      <c r="D41" s="18" t="s">
        <v>1222</v>
      </c>
      <c r="E41" s="14"/>
      <c r="F41" s="14"/>
    </row>
    <row r="42" spans="1:6" ht="25.5" customHeight="1" x14ac:dyDescent="0.35">
      <c r="A42" s="67" t="s">
        <v>418</v>
      </c>
      <c r="B42" s="14" t="s">
        <v>1223</v>
      </c>
      <c r="C42" s="14" t="s">
        <v>1187</v>
      </c>
      <c r="D42" s="18" t="s">
        <v>1175</v>
      </c>
      <c r="E42" s="14"/>
      <c r="F42" s="14"/>
    </row>
    <row r="43" spans="1:6" ht="25.5" customHeight="1" x14ac:dyDescent="0.35">
      <c r="A43" s="67" t="s">
        <v>418</v>
      </c>
      <c r="B43" s="14" t="s">
        <v>1224</v>
      </c>
      <c r="C43" s="14" t="s">
        <v>1187</v>
      </c>
      <c r="D43" s="18" t="s">
        <v>1175</v>
      </c>
      <c r="E43" s="14" t="s">
        <v>1225</v>
      </c>
      <c r="F43" s="14"/>
    </row>
    <row r="44" spans="1:6" ht="25.5" customHeight="1" x14ac:dyDescent="0.35">
      <c r="A44" s="67" t="s">
        <v>418</v>
      </c>
      <c r="B44" s="14" t="s">
        <v>1226</v>
      </c>
      <c r="C44" s="14" t="s">
        <v>1187</v>
      </c>
      <c r="D44" s="18" t="s">
        <v>1227</v>
      </c>
      <c r="E44" s="14"/>
      <c r="F44" s="14"/>
    </row>
    <row r="45" spans="1:6" ht="25.5" customHeight="1" x14ac:dyDescent="0.35">
      <c r="A45" s="67" t="s">
        <v>418</v>
      </c>
      <c r="B45" s="14" t="s">
        <v>1228</v>
      </c>
      <c r="C45" s="14" t="s">
        <v>1187</v>
      </c>
      <c r="D45" s="18" t="s">
        <v>1229</v>
      </c>
      <c r="E45" s="14" t="s">
        <v>1216</v>
      </c>
      <c r="F45" s="14"/>
    </row>
    <row r="46" spans="1:6" ht="25.5" customHeight="1" x14ac:dyDescent="0.35">
      <c r="A46" s="67" t="s">
        <v>418</v>
      </c>
      <c r="B46" s="14" t="s">
        <v>1230</v>
      </c>
      <c r="C46" s="14" t="s">
        <v>1187</v>
      </c>
      <c r="D46" s="18" t="s">
        <v>1175</v>
      </c>
      <c r="E46" s="14" t="s">
        <v>1216</v>
      </c>
      <c r="F46" s="14"/>
    </row>
    <row r="47" spans="1:6" ht="25.5" customHeight="1" x14ac:dyDescent="0.35">
      <c r="A47" s="67" t="s">
        <v>470</v>
      </c>
      <c r="B47" s="14" t="s">
        <v>1231</v>
      </c>
      <c r="C47" s="14" t="s">
        <v>1172</v>
      </c>
      <c r="D47" s="18" t="s">
        <v>794</v>
      </c>
      <c r="E47" s="14"/>
      <c r="F47" s="14"/>
    </row>
    <row r="48" spans="1:6" ht="25.5" customHeight="1" x14ac:dyDescent="0.35">
      <c r="A48" s="67" t="s">
        <v>470</v>
      </c>
      <c r="B48" s="14" t="s">
        <v>1232</v>
      </c>
      <c r="C48" s="14" t="s">
        <v>1172</v>
      </c>
      <c r="D48" s="18" t="s">
        <v>1175</v>
      </c>
      <c r="E48" s="14"/>
      <c r="F48" s="14"/>
    </row>
    <row r="49" spans="1:6" ht="25.5" customHeight="1" x14ac:dyDescent="0.35">
      <c r="A49" s="67" t="s">
        <v>470</v>
      </c>
      <c r="B49" s="14" t="s">
        <v>1233</v>
      </c>
      <c r="C49" s="14" t="s">
        <v>1172</v>
      </c>
      <c r="D49" s="18" t="s">
        <v>1175</v>
      </c>
      <c r="E49" s="14"/>
      <c r="F49" s="14"/>
    </row>
    <row r="50" spans="1:6" ht="25.5" customHeight="1" x14ac:dyDescent="0.35">
      <c r="A50" s="67" t="s">
        <v>470</v>
      </c>
      <c r="B50" s="14" t="s">
        <v>1234</v>
      </c>
      <c r="C50" s="14" t="s">
        <v>1172</v>
      </c>
      <c r="D50" s="18" t="s">
        <v>1175</v>
      </c>
      <c r="E50" s="14"/>
      <c r="F50" s="14"/>
    </row>
    <row r="51" spans="1:6" ht="25.5" customHeight="1" x14ac:dyDescent="0.35">
      <c r="A51" s="67" t="s">
        <v>82</v>
      </c>
      <c r="B51" s="14" t="s">
        <v>1235</v>
      </c>
      <c r="C51" s="14" t="s">
        <v>1172</v>
      </c>
      <c r="D51" s="18" t="s">
        <v>1175</v>
      </c>
      <c r="E51" s="14"/>
      <c r="F51" s="14"/>
    </row>
    <row r="52" spans="1:6" ht="25.5" customHeight="1" x14ac:dyDescent="0.35">
      <c r="A52" s="67" t="s">
        <v>82</v>
      </c>
      <c r="B52" s="14" t="s">
        <v>1236</v>
      </c>
      <c r="C52" s="14" t="s">
        <v>1172</v>
      </c>
      <c r="D52" s="18" t="s">
        <v>1175</v>
      </c>
      <c r="E52" s="14"/>
      <c r="F52" s="14"/>
    </row>
    <row r="53" spans="1:6" ht="25.5" customHeight="1" x14ac:dyDescent="0.35">
      <c r="A53" s="67" t="s">
        <v>82</v>
      </c>
      <c r="B53" s="14" t="s">
        <v>1237</v>
      </c>
      <c r="C53" s="14" t="s">
        <v>1172</v>
      </c>
      <c r="D53" s="18" t="s">
        <v>1175</v>
      </c>
      <c r="E53" s="14"/>
      <c r="F53" s="14"/>
    </row>
    <row r="54" spans="1:6" ht="25.5" customHeight="1" x14ac:dyDescent="0.35">
      <c r="A54" s="67" t="s">
        <v>82</v>
      </c>
      <c r="B54" s="14" t="s">
        <v>1238</v>
      </c>
      <c r="C54" s="14" t="s">
        <v>1172</v>
      </c>
      <c r="D54" s="18" t="s">
        <v>1175</v>
      </c>
      <c r="E54" s="14"/>
      <c r="F54" s="14"/>
    </row>
    <row r="55" spans="1:6" ht="25.5" customHeight="1" x14ac:dyDescent="0.35">
      <c r="A55" s="67" t="s">
        <v>82</v>
      </c>
      <c r="B55" s="14" t="s">
        <v>1239</v>
      </c>
      <c r="C55" s="14" t="s">
        <v>1172</v>
      </c>
      <c r="D55" s="18" t="s">
        <v>1175</v>
      </c>
      <c r="E55" s="14"/>
      <c r="F55" s="14"/>
    </row>
    <row r="56" spans="1:6" ht="25.5" customHeight="1" x14ac:dyDescent="0.35">
      <c r="A56" s="67" t="s">
        <v>82</v>
      </c>
      <c r="B56" s="14" t="s">
        <v>1240</v>
      </c>
      <c r="C56" s="14" t="s">
        <v>1172</v>
      </c>
      <c r="D56" s="18" t="s">
        <v>1175</v>
      </c>
      <c r="E56" s="14"/>
      <c r="F56" s="14"/>
    </row>
    <row r="57" spans="1:6" ht="25.5" customHeight="1" x14ac:dyDescent="0.35">
      <c r="A57" s="67" t="s">
        <v>82</v>
      </c>
      <c r="B57" s="14" t="s">
        <v>1241</v>
      </c>
      <c r="C57" s="14" t="s">
        <v>1187</v>
      </c>
      <c r="D57" s="18" t="s">
        <v>1175</v>
      </c>
      <c r="E57" s="14" t="s">
        <v>1242</v>
      </c>
      <c r="F57" s="14"/>
    </row>
  </sheetData>
  <autoFilter ref="A4:F57" xr:uid="{00000000-0009-0000-0000-000007000000}"/>
  <mergeCells count="2">
    <mergeCell ref="A1:F1"/>
    <mergeCell ref="A2:F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0"/>
  <sheetViews>
    <sheetView showGridLines="0" zoomScaleNormal="100" workbookViewId="0">
      <pane ySplit="4" topLeftCell="A5" activePane="bottomLeft" state="frozen"/>
      <selection pane="bottomLeft" sqref="A1:E1"/>
    </sheetView>
  </sheetViews>
  <sheetFormatPr baseColWidth="10" defaultColWidth="8.7265625" defaultRowHeight="14.5" x14ac:dyDescent="0.35"/>
  <cols>
    <col min="1" max="1" width="26" customWidth="1"/>
    <col min="2" max="2" width="100" customWidth="1"/>
    <col min="3" max="3" width="18" customWidth="1"/>
    <col min="4" max="4" width="36" customWidth="1"/>
    <col min="5" max="5" width="40" customWidth="1"/>
  </cols>
  <sheetData>
    <row r="1" spans="1:5" ht="25.5" customHeight="1" x14ac:dyDescent="0.35">
      <c r="A1" s="76" t="s">
        <v>1243</v>
      </c>
      <c r="B1" s="76"/>
      <c r="C1" s="76"/>
      <c r="D1" s="76"/>
      <c r="E1" s="76"/>
    </row>
    <row r="2" spans="1:5" ht="30" customHeight="1" x14ac:dyDescent="0.35">
      <c r="A2" s="77" t="s">
        <v>1244</v>
      </c>
      <c r="B2" s="77"/>
      <c r="C2" s="77"/>
      <c r="D2" s="77"/>
      <c r="E2" s="77"/>
    </row>
    <row r="4" spans="1:5" ht="30" customHeight="1" x14ac:dyDescent="0.35">
      <c r="A4" s="6" t="s">
        <v>1245</v>
      </c>
      <c r="B4" s="6" t="s">
        <v>1246</v>
      </c>
      <c r="C4" s="6" t="s">
        <v>1247</v>
      </c>
      <c r="D4" s="6" t="s">
        <v>1248</v>
      </c>
      <c r="E4" s="6" t="s">
        <v>537</v>
      </c>
    </row>
    <row r="5" spans="1:5" ht="25.5" customHeight="1" x14ac:dyDescent="0.35">
      <c r="A5" s="67" t="s">
        <v>1249</v>
      </c>
      <c r="B5" s="14" t="s">
        <v>1250</v>
      </c>
      <c r="C5" s="14"/>
      <c r="D5" s="14"/>
      <c r="E5" s="14"/>
    </row>
    <row r="6" spans="1:5" ht="25.5" customHeight="1" x14ac:dyDescent="0.35">
      <c r="A6" s="67" t="s">
        <v>1249</v>
      </c>
      <c r="B6" s="14" t="s">
        <v>1251</v>
      </c>
      <c r="C6" s="14"/>
      <c r="D6" s="14"/>
      <c r="E6" s="14"/>
    </row>
    <row r="7" spans="1:5" ht="25.5" customHeight="1" x14ac:dyDescent="0.35">
      <c r="A7" s="67" t="s">
        <v>1249</v>
      </c>
      <c r="B7" s="14" t="s">
        <v>1252</v>
      </c>
      <c r="C7" s="14"/>
      <c r="D7" s="14"/>
      <c r="E7" s="14"/>
    </row>
    <row r="8" spans="1:5" ht="25.5" customHeight="1" x14ac:dyDescent="0.35">
      <c r="A8" s="67" t="s">
        <v>1249</v>
      </c>
      <c r="B8" s="14" t="s">
        <v>1253</v>
      </c>
      <c r="C8" s="14"/>
      <c r="D8" s="14"/>
      <c r="E8" s="14"/>
    </row>
    <row r="9" spans="1:5" ht="25.5" customHeight="1" x14ac:dyDescent="0.35">
      <c r="A9" s="67" t="s">
        <v>1254</v>
      </c>
      <c r="B9" s="14" t="s">
        <v>1255</v>
      </c>
      <c r="C9" s="14"/>
      <c r="D9" s="14"/>
      <c r="E9" s="14"/>
    </row>
    <row r="10" spans="1:5" ht="25.5" customHeight="1" x14ac:dyDescent="0.35">
      <c r="A10" s="67" t="s">
        <v>1254</v>
      </c>
      <c r="B10" s="14" t="s">
        <v>1256</v>
      </c>
      <c r="C10" s="14"/>
      <c r="D10" s="14"/>
      <c r="E10" s="14"/>
    </row>
    <row r="11" spans="1:5" ht="25.5" customHeight="1" x14ac:dyDescent="0.35">
      <c r="A11" s="67" t="s">
        <v>1254</v>
      </c>
      <c r="B11" s="14" t="s">
        <v>1257</v>
      </c>
      <c r="C11" s="14"/>
      <c r="D11" s="14"/>
      <c r="E11" s="14"/>
    </row>
    <row r="12" spans="1:5" ht="25.5" customHeight="1" x14ac:dyDescent="0.35">
      <c r="A12" s="67" t="s">
        <v>1254</v>
      </c>
      <c r="B12" s="14" t="s">
        <v>1258</v>
      </c>
      <c r="C12" s="14"/>
      <c r="D12" s="14"/>
      <c r="E12" s="14"/>
    </row>
    <row r="13" spans="1:5" ht="25.5" customHeight="1" x14ac:dyDescent="0.35">
      <c r="A13" s="67" t="s">
        <v>1259</v>
      </c>
      <c r="B13" s="14" t="s">
        <v>1260</v>
      </c>
      <c r="C13" s="14"/>
      <c r="D13" s="14"/>
      <c r="E13" s="14"/>
    </row>
    <row r="14" spans="1:5" ht="25.5" customHeight="1" x14ac:dyDescent="0.35">
      <c r="A14" s="67" t="s">
        <v>1259</v>
      </c>
      <c r="B14" s="14" t="s">
        <v>1261</v>
      </c>
      <c r="C14" s="14"/>
      <c r="D14" s="14"/>
      <c r="E14" s="14"/>
    </row>
    <row r="15" spans="1:5" ht="25.5" customHeight="1" x14ac:dyDescent="0.35">
      <c r="A15" s="67" t="s">
        <v>1259</v>
      </c>
      <c r="B15" s="14" t="s">
        <v>1262</v>
      </c>
      <c r="C15" s="14"/>
      <c r="D15" s="14"/>
      <c r="E15" s="14"/>
    </row>
    <row r="16" spans="1:5" ht="25.5" customHeight="1" x14ac:dyDescent="0.35">
      <c r="A16" s="67" t="s">
        <v>1259</v>
      </c>
      <c r="B16" s="14" t="s">
        <v>1263</v>
      </c>
      <c r="C16" s="14"/>
      <c r="D16" s="14"/>
      <c r="E16" s="14"/>
    </row>
    <row r="17" spans="1:5" ht="25.5" customHeight="1" x14ac:dyDescent="0.35">
      <c r="A17" s="67" t="s">
        <v>1264</v>
      </c>
      <c r="B17" s="14" t="s">
        <v>1265</v>
      </c>
      <c r="C17" s="14"/>
      <c r="D17" s="14"/>
      <c r="E17" s="14"/>
    </row>
    <row r="18" spans="1:5" ht="25.5" customHeight="1" x14ac:dyDescent="0.35">
      <c r="A18" s="67" t="s">
        <v>1264</v>
      </c>
      <c r="B18" s="14" t="s">
        <v>1266</v>
      </c>
      <c r="C18" s="14"/>
      <c r="D18" s="14"/>
      <c r="E18" s="14"/>
    </row>
    <row r="19" spans="1:5" ht="25.5" customHeight="1" x14ac:dyDescent="0.35">
      <c r="A19" s="67" t="s">
        <v>1264</v>
      </c>
      <c r="B19" s="14" t="s">
        <v>1267</v>
      </c>
      <c r="C19" s="14"/>
      <c r="D19" s="14"/>
      <c r="E19" s="14"/>
    </row>
    <row r="20" spans="1:5" ht="25.5" customHeight="1" x14ac:dyDescent="0.35">
      <c r="A20" s="67" t="s">
        <v>1264</v>
      </c>
      <c r="B20" s="14" t="s">
        <v>1268</v>
      </c>
      <c r="C20" s="14"/>
      <c r="D20" s="14"/>
      <c r="E20" s="14"/>
    </row>
  </sheetData>
  <autoFilter ref="A4:E20" xr:uid="{00000000-0009-0000-0000-000008000000}"/>
  <mergeCells count="2">
    <mergeCell ref="A1:E1"/>
    <mergeCell ref="A2:E2"/>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
  <sheetViews>
    <sheetView showGridLines="0" zoomScaleNormal="100" workbookViewId="0"/>
  </sheetViews>
  <sheetFormatPr baseColWidth="10" defaultColWidth="8.7265625" defaultRowHeight="14.5" x14ac:dyDescent="0.35"/>
  <cols>
    <col min="1" max="6" width="26" customWidth="1"/>
  </cols>
  <sheetData>
    <row r="1" spans="1:6" ht="16.5" x14ac:dyDescent="0.35">
      <c r="A1" s="68" t="s">
        <v>1269</v>
      </c>
    </row>
    <row r="3" spans="1:6" x14ac:dyDescent="0.35">
      <c r="A3" s="2" t="s">
        <v>1270</v>
      </c>
      <c r="B3" s="2" t="s">
        <v>61</v>
      </c>
      <c r="C3" s="2" t="s">
        <v>27</v>
      </c>
      <c r="D3" s="2" t="s">
        <v>538</v>
      </c>
      <c r="E3" s="2" t="s">
        <v>533</v>
      </c>
      <c r="F3" s="2" t="s">
        <v>1271</v>
      </c>
    </row>
    <row r="4" spans="1:6" x14ac:dyDescent="0.35">
      <c r="A4" s="14" t="s">
        <v>74</v>
      </c>
      <c r="B4" s="14" t="s">
        <v>520</v>
      </c>
      <c r="C4" s="14" t="s">
        <v>30</v>
      </c>
      <c r="D4" s="14" t="s">
        <v>544</v>
      </c>
      <c r="E4" s="14" t="s">
        <v>546</v>
      </c>
      <c r="F4" s="14" t="s">
        <v>1272</v>
      </c>
    </row>
    <row r="5" spans="1:6" x14ac:dyDescent="0.35">
      <c r="A5" s="14" t="s">
        <v>236</v>
      </c>
      <c r="B5" s="14" t="s">
        <v>522</v>
      </c>
      <c r="C5" s="14" t="s">
        <v>34</v>
      </c>
      <c r="D5" s="14" t="s">
        <v>1273</v>
      </c>
      <c r="E5" s="14" t="s">
        <v>561</v>
      </c>
      <c r="F5" s="14" t="s">
        <v>1274</v>
      </c>
    </row>
    <row r="6" spans="1:6" x14ac:dyDescent="0.35">
      <c r="A6" s="14" t="s">
        <v>252</v>
      </c>
      <c r="B6" s="14" t="s">
        <v>523</v>
      </c>
      <c r="C6" s="14" t="s">
        <v>38</v>
      </c>
      <c r="D6" s="14" t="s">
        <v>1275</v>
      </c>
      <c r="E6" s="14" t="s">
        <v>540</v>
      </c>
    </row>
    <row r="7" spans="1:6" x14ac:dyDescent="0.35">
      <c r="A7" s="14" t="s">
        <v>472</v>
      </c>
      <c r="B7" s="14" t="s">
        <v>524</v>
      </c>
      <c r="C7" s="14" t="s">
        <v>42</v>
      </c>
      <c r="D7" s="14" t="s">
        <v>1276</v>
      </c>
      <c r="E7" s="14" t="s">
        <v>600</v>
      </c>
    </row>
    <row r="8" spans="1:6" x14ac:dyDescent="0.35">
      <c r="B8" s="14" t="s">
        <v>526</v>
      </c>
      <c r="C8" s="14" t="s">
        <v>46</v>
      </c>
      <c r="E8" s="14" t="s">
        <v>713</v>
      </c>
    </row>
    <row r="9" spans="1:6" x14ac:dyDescent="0.35">
      <c r="B9" s="14" t="s">
        <v>528</v>
      </c>
      <c r="E9" s="14" t="s">
        <v>744</v>
      </c>
    </row>
    <row r="10" spans="1:6" x14ac:dyDescent="0.35">
      <c r="E10" s="14" t="s">
        <v>809</v>
      </c>
    </row>
    <row r="11" spans="1:6" x14ac:dyDescent="0.35">
      <c r="E11" s="14" t="s">
        <v>793</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28AA8EBBCEF2844A9B051D1D60C88C6" ma:contentTypeVersion="10" ma:contentTypeDescription="Create a new document." ma:contentTypeScope="" ma:versionID="3011dbba48b3e1e102b997825f2c98a1">
  <xsd:schema xmlns:xsd="http://www.w3.org/2001/XMLSchema" xmlns:xs="http://www.w3.org/2001/XMLSchema" xmlns:p="http://schemas.microsoft.com/office/2006/metadata/properties" xmlns:ns2="4f9e87d6-5750-4e07-becc-f2730daff795" xmlns:ns3="a865ec6b-9dbd-47d6-9cc4-ec1251a1d263" targetNamespace="http://schemas.microsoft.com/office/2006/metadata/properties" ma:root="true" ma:fieldsID="dc4574c4ed263a836f76786307723324" ns2:_="" ns3:_="">
    <xsd:import namespace="4f9e87d6-5750-4e07-becc-f2730daff795"/>
    <xsd:import namespace="a865ec6b-9dbd-47d6-9cc4-ec1251a1d2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9e87d6-5750-4e07-becc-f2730daff7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8ae7bf6-5ac9-4edb-a7e0-886d92fb71e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865ec6b-9dbd-47d6-9cc4-ec1251a1d26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b2d698-78fc-4815-85ef-2329ac5789f4}" ma:internalName="TaxCatchAll" ma:showField="CatchAllData" ma:web="a865ec6b-9dbd-47d6-9cc4-ec1251a1d2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865ec6b-9dbd-47d6-9cc4-ec1251a1d263" xsi:nil="true"/>
    <lcf76f155ced4ddcb4097134ff3c332f xmlns="4f9e87d6-5750-4e07-becc-f2730daff79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2AF01E3-1993-4D5A-9100-AAC698D6D9D6}">
  <ds:schemaRefs>
    <ds:schemaRef ds:uri="http://schemas.microsoft.com/sharepoint/v3/contenttype/forms"/>
  </ds:schemaRefs>
</ds:datastoreItem>
</file>

<file path=customXml/itemProps2.xml><?xml version="1.0" encoding="utf-8"?>
<ds:datastoreItem xmlns:ds="http://schemas.openxmlformats.org/officeDocument/2006/customXml" ds:itemID="{E2322D39-39AB-48E6-A297-7B9F7104D07E}"/>
</file>

<file path=customXml/itemProps3.xml><?xml version="1.0" encoding="utf-8"?>
<ds:datastoreItem xmlns:ds="http://schemas.openxmlformats.org/officeDocument/2006/customXml" ds:itemID="{819865E7-A6FC-4AEE-B61D-E29C7628D077}">
  <ds:schemaRefs>
    <ds:schemaRef ds:uri="http://purl.org/dc/elements/1.1/"/>
    <ds:schemaRef ds:uri="http://schemas.microsoft.com/office/infopath/2007/PartnerControls"/>
    <ds:schemaRef ds:uri="http://purl.org/dc/terms/"/>
    <ds:schemaRef ds:uri="http://schemas.microsoft.com/office/2006/documentManagement/types"/>
    <ds:schemaRef ds:uri="a865ec6b-9dbd-47d6-9cc4-ec1251a1d263"/>
    <ds:schemaRef ds:uri="http://schemas.openxmlformats.org/package/2006/metadata/core-properties"/>
    <ds:schemaRef ds:uri="4f9e87d6-5750-4e07-becc-f2730daff795"/>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3c0bd4fe-1111-4d13-8e0c-7c33b9eb7581}" enabled="0" method="" siteId="{3c0bd4fe-1111-4d13-8e0c-7c33b9eb7581}"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Léeme</vt:lpstr>
      <vt:lpstr>Definición-ImpactMap</vt:lpstr>
      <vt:lpstr>Estimación-Visual Story Map</vt:lpstr>
      <vt:lpstr>Estimación</vt:lpstr>
      <vt:lpstr>Equipos y Paralelización</vt:lpstr>
      <vt:lpstr>Requisitos Funcionales</vt:lpstr>
      <vt:lpstr>Requisitos No Funcionales</vt:lpstr>
      <vt:lpstr>Pendientes</vt:lpstr>
      <vt:lpstr>Riesgos</vt:lpstr>
      <vt:lpstr>Listas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Vanessa Roldan Muñoz</cp:lastModifiedBy>
  <cp:revision>0</cp:revision>
  <dcterms:created xsi:type="dcterms:W3CDTF">2026-08-21T17:03:22Z</dcterms:created>
  <dcterms:modified xsi:type="dcterms:W3CDTF">2026-08-22T00:05:22Z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0x010100228AA8EBBCEF2844A9B051D1D60C88C6</vt:lpwstr>
  </property>
  <property fmtid="{D5CDD505-2E9C-101B-9397-08002B2CF9AE}" pid="3" name="MediaServiceImageTags">
    <vt:lpwstr/>
  </property>
</Properties>
</file>