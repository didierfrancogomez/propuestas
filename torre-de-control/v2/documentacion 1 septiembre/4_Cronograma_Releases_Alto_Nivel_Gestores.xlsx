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" documentId="11_4174F528F39844C7423C12E6217D21C36E686DE5" xr6:coauthVersionLast="47" xr6:coauthVersionMax="47" xr10:uidLastSave="{8F173FE1-6777-4A9F-8DF4-F37430485E62}"/>
  <bookViews>
    <workbookView xWindow="0" yWindow="0" windowWidth="16384" windowHeight="8192" tabRatio="500" activeTab="2" xr2:uid="{00000000-000D-0000-FFFF-FFFF00000000}"/>
  </bookViews>
  <sheets>
    <sheet name="Entregables Alto Nivel" sheetId="1" r:id="rId1"/>
    <sheet name="Detalle" sheetId="2" state="hidden" r:id="rId2"/>
    <sheet name="Cronograma por Frente" sheetId="3" r:id="rId3"/>
    <sheet name="Vista Gantt (bloques)" sheetId="4" r:id="rId4"/>
  </sheets>
  <definedNames>
    <definedName name="_xlnm._FilterDatabase" localSheetId="2" hidden="1">'Cronograma por Frente'!$A$4:$H$17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3" l="1"/>
  <c r="G17" i="3"/>
  <c r="E17" i="3"/>
  <c r="F17" i="3" s="1"/>
  <c r="D17" i="3"/>
  <c r="H16" i="3"/>
  <c r="G16" i="3"/>
  <c r="E16" i="3"/>
  <c r="F16" i="3" s="1"/>
  <c r="D16" i="3"/>
  <c r="H15" i="3"/>
  <c r="G15" i="3"/>
  <c r="E15" i="3"/>
  <c r="F15" i="3" s="1"/>
  <c r="D15" i="3"/>
  <c r="H14" i="3"/>
  <c r="G14" i="3"/>
  <c r="E14" i="3"/>
  <c r="F14" i="3" s="1"/>
  <c r="D14" i="3"/>
  <c r="H13" i="3"/>
  <c r="G13" i="3"/>
  <c r="E13" i="3"/>
  <c r="F13" i="3" s="1"/>
  <c r="D13" i="3"/>
  <c r="H12" i="3"/>
  <c r="G12" i="3"/>
  <c r="E12" i="3"/>
  <c r="F12" i="3" s="1"/>
  <c r="D12" i="3"/>
  <c r="H11" i="3"/>
  <c r="G11" i="3"/>
  <c r="E11" i="3"/>
  <c r="F11" i="3" s="1"/>
  <c r="D11" i="3"/>
  <c r="H10" i="3"/>
  <c r="G10" i="3"/>
  <c r="E10" i="3"/>
  <c r="F10" i="3" s="1"/>
  <c r="D10" i="3"/>
  <c r="H9" i="3"/>
  <c r="G9" i="3"/>
  <c r="E9" i="3"/>
  <c r="F9" i="3" s="1"/>
  <c r="D9" i="3"/>
  <c r="H8" i="3"/>
  <c r="G8" i="3"/>
  <c r="E8" i="3"/>
  <c r="F8" i="3" s="1"/>
  <c r="D8" i="3"/>
  <c r="H7" i="3"/>
  <c r="G7" i="3"/>
  <c r="E7" i="3"/>
  <c r="F7" i="3" s="1"/>
  <c r="D7" i="3"/>
  <c r="H6" i="3"/>
  <c r="G6" i="3"/>
  <c r="E6" i="3"/>
  <c r="F6" i="3" s="1"/>
  <c r="D6" i="3"/>
  <c r="H5" i="3"/>
  <c r="G5" i="3"/>
  <c r="F5" i="3"/>
  <c r="E5" i="3"/>
  <c r="D5" i="3"/>
</calcChain>
</file>

<file path=xl/sharedStrings.xml><?xml version="1.0" encoding="utf-8"?>
<sst xmlns="http://schemas.openxmlformats.org/spreadsheetml/2006/main" count="777" uniqueCount="231">
  <si>
    <t>Entregables de alto nivel — Roadmap oficial del Caso de Negocio</t>
  </si>
  <si>
    <t>Fuente: Caso de Negocio Gestores - Mayo 2026, sección 6.2.1. Tabla oficial, sin modificar.</t>
  </si>
  <si>
    <t>Etapa</t>
  </si>
  <si>
    <t>Entregable</t>
  </si>
  <si>
    <t>Inicio</t>
  </si>
  <si>
    <t>Fin</t>
  </si>
  <si>
    <t>Estructuración</t>
  </si>
  <si>
    <t>Proyecto Negocio y TI</t>
  </si>
  <si>
    <t>may-26</t>
  </si>
  <si>
    <t>jun-26</t>
  </si>
  <si>
    <t>Release 1</t>
  </si>
  <si>
    <t>Gestor Solicitud</t>
  </si>
  <si>
    <t>oct-26</t>
  </si>
  <si>
    <t>Canales de acceso</t>
  </si>
  <si>
    <t>Release 2</t>
  </si>
  <si>
    <t>Gestor Evaluación</t>
  </si>
  <si>
    <t>feb-27</t>
  </si>
  <si>
    <t>Agente IA transcripción</t>
  </si>
  <si>
    <t>Agente IA pertinencia médica</t>
  </si>
  <si>
    <t>Gestor Coordinación</t>
  </si>
  <si>
    <t>Release 3</t>
  </si>
  <si>
    <t>Gestor Monitoreo</t>
  </si>
  <si>
    <t>abr-27</t>
  </si>
  <si>
    <t>Datalake autorizaciones</t>
  </si>
  <si>
    <t>Estabilización</t>
  </si>
  <si>
    <t>Operación</t>
  </si>
  <si>
    <t>may-27</t>
  </si>
  <si>
    <t>Cierre</t>
  </si>
  <si>
    <t>Proyecto</t>
  </si>
  <si>
    <t>jun-27</t>
  </si>
  <si>
    <t>Notas y supuestos</t>
  </si>
  <si>
    <t>• *La estimación inicial de fin del MVP (jun-27) está en revisión por parte de TI en tiempos y costos, según el propio Caso de Negocio.</t>
  </si>
  <si>
    <t>ID</t>
  </si>
  <si>
    <t>Épica</t>
  </si>
  <si>
    <t>Equipo</t>
  </si>
  <si>
    <t>Release</t>
  </si>
  <si>
    <t>Talla</t>
  </si>
  <si>
    <t>Días</t>
  </si>
  <si>
    <t>Fecha inicio</t>
  </si>
  <si>
    <t>Fecha fin</t>
  </si>
  <si>
    <t>GST-001</t>
  </si>
  <si>
    <t>Canales / Front Externos</t>
  </si>
  <si>
    <t>Frontend (Canales)</t>
  </si>
  <si>
    <t>L</t>
  </si>
  <si>
    <t>GST-002</t>
  </si>
  <si>
    <t>GST-003</t>
  </si>
  <si>
    <t>M</t>
  </si>
  <si>
    <t>GST-004</t>
  </si>
  <si>
    <t>GST-005</t>
  </si>
  <si>
    <t>GST-006</t>
  </si>
  <si>
    <t>Gestor de Solicitud</t>
  </si>
  <si>
    <t>Backend Gestores</t>
  </si>
  <si>
    <t>GST-007</t>
  </si>
  <si>
    <t>GST-008</t>
  </si>
  <si>
    <t>GST-009</t>
  </si>
  <si>
    <t>GST-010</t>
  </si>
  <si>
    <t>GST-011</t>
  </si>
  <si>
    <t>GST-012</t>
  </si>
  <si>
    <t>GST-013</t>
  </si>
  <si>
    <t>GST-014</t>
  </si>
  <si>
    <t>GST-015</t>
  </si>
  <si>
    <t>GST-016</t>
  </si>
  <si>
    <t>GST-017</t>
  </si>
  <si>
    <t>GST-018</t>
  </si>
  <si>
    <t>GST-019</t>
  </si>
  <si>
    <t>Gestor de Evaluación</t>
  </si>
  <si>
    <t>GST-020</t>
  </si>
  <si>
    <t>GST-021</t>
  </si>
  <si>
    <t>GST-022</t>
  </si>
  <si>
    <t>GST-023</t>
  </si>
  <si>
    <t>GST-024</t>
  </si>
  <si>
    <t>GST-025</t>
  </si>
  <si>
    <t>GST-026</t>
  </si>
  <si>
    <t>GST-027</t>
  </si>
  <si>
    <t>GST-028</t>
  </si>
  <si>
    <t>Gestor de Asignación</t>
  </si>
  <si>
    <t>SuraHis (Core)</t>
  </si>
  <si>
    <t>Responsabilidad SuraHis (fuera del cronograma de Gestores)</t>
  </si>
  <si>
    <t>XL</t>
  </si>
  <si>
    <t>GST-029</t>
  </si>
  <si>
    <t>GST-030</t>
  </si>
  <si>
    <t>GST-031</t>
  </si>
  <si>
    <t>GST-032</t>
  </si>
  <si>
    <t>GST-033</t>
  </si>
  <si>
    <t>GST-034</t>
  </si>
  <si>
    <t>Gestor de Coordinación</t>
  </si>
  <si>
    <t>GST-035</t>
  </si>
  <si>
    <t>GST-036</t>
  </si>
  <si>
    <t>GST-037</t>
  </si>
  <si>
    <t>GST-038</t>
  </si>
  <si>
    <t>GST-039</t>
  </si>
  <si>
    <t>S</t>
  </si>
  <si>
    <t>GST-040</t>
  </si>
  <si>
    <t>GST-041</t>
  </si>
  <si>
    <t>Gestor de Prestación</t>
  </si>
  <si>
    <t>Pendiente de asignación de release</t>
  </si>
  <si>
    <t>GST-042</t>
  </si>
  <si>
    <t>GST-043</t>
  </si>
  <si>
    <t>GST-044</t>
  </si>
  <si>
    <t>GST-045</t>
  </si>
  <si>
    <t>Gestor de Monitoreo (Torre de Control)</t>
  </si>
  <si>
    <t>GST-046</t>
  </si>
  <si>
    <t>GST-047</t>
  </si>
  <si>
    <t>GST-048</t>
  </si>
  <si>
    <t>GST-049</t>
  </si>
  <si>
    <t>GST-050</t>
  </si>
  <si>
    <t>GST-051</t>
  </si>
  <si>
    <t>GST-052</t>
  </si>
  <si>
    <t>GST-053</t>
  </si>
  <si>
    <t>GST-054</t>
  </si>
  <si>
    <t>GST-055</t>
  </si>
  <si>
    <t>GST-056</t>
  </si>
  <si>
    <t>GST-057</t>
  </si>
  <si>
    <t>GST-058</t>
  </si>
  <si>
    <t>Interoperabilidad (Prestadores)</t>
  </si>
  <si>
    <t>Interoperabilidad</t>
  </si>
  <si>
    <t>Paralelo (Release 1-3)</t>
  </si>
  <si>
    <t>GST-059</t>
  </si>
  <si>
    <t>GST-060</t>
  </si>
  <si>
    <t>GST-061</t>
  </si>
  <si>
    <t>GST-062</t>
  </si>
  <si>
    <t>NEXO (Asesores)</t>
  </si>
  <si>
    <t>Integración Nexo</t>
  </si>
  <si>
    <t>Paralelo (Release 1-2)</t>
  </si>
  <si>
    <t>GST-063</t>
  </si>
  <si>
    <t>GST-064</t>
  </si>
  <si>
    <t>GST-065</t>
  </si>
  <si>
    <t>GST-066</t>
  </si>
  <si>
    <t>AVA (Asesores)</t>
  </si>
  <si>
    <t>Integración AVA</t>
  </si>
  <si>
    <t>GST-067</t>
  </si>
  <si>
    <t>GST-068</t>
  </si>
  <si>
    <t>GST-069</t>
  </si>
  <si>
    <t>GST-070</t>
  </si>
  <si>
    <t>GST-071</t>
  </si>
  <si>
    <t>GST-072</t>
  </si>
  <si>
    <t>GST-073</t>
  </si>
  <si>
    <t>GST-074</t>
  </si>
  <si>
    <t>GST-075</t>
  </si>
  <si>
    <t>Transversal / Arquitectura y Principios</t>
  </si>
  <si>
    <t>Estructuración + Transversal</t>
  </si>
  <si>
    <t>GST-076</t>
  </si>
  <si>
    <t>GST-077</t>
  </si>
  <si>
    <t>GST-078</t>
  </si>
  <si>
    <t>GST-079</t>
  </si>
  <si>
    <t>GST-080</t>
  </si>
  <si>
    <t>GST-081</t>
  </si>
  <si>
    <t>GST-082</t>
  </si>
  <si>
    <t>SuraHis (Core - dependencia)</t>
  </si>
  <si>
    <t>Transversal</t>
  </si>
  <si>
    <t>GST-083</t>
  </si>
  <si>
    <t>GST-084</t>
  </si>
  <si>
    <t>GST-085</t>
  </si>
  <si>
    <t>Arquitectura / DevOps</t>
  </si>
  <si>
    <t>GST-086</t>
  </si>
  <si>
    <t>GST-087</t>
  </si>
  <si>
    <t>GST-088</t>
  </si>
  <si>
    <t>GST-089</t>
  </si>
  <si>
    <t>GST-090</t>
  </si>
  <si>
    <t>GST-091</t>
  </si>
  <si>
    <t>GST-092</t>
  </si>
  <si>
    <t>GST-093</t>
  </si>
  <si>
    <t>GST-094</t>
  </si>
  <si>
    <t>GST-095</t>
  </si>
  <si>
    <t>GST-096</t>
  </si>
  <si>
    <t>GST-097</t>
  </si>
  <si>
    <t>GST-098</t>
  </si>
  <si>
    <t>GST-099</t>
  </si>
  <si>
    <t>GST-100</t>
  </si>
  <si>
    <t>GST-101</t>
  </si>
  <si>
    <t>GST-102</t>
  </si>
  <si>
    <t>GST-103</t>
  </si>
  <si>
    <t>GST-104</t>
  </si>
  <si>
    <t>GST-105</t>
  </si>
  <si>
    <t>GST-106</t>
  </si>
  <si>
    <t>GST-107</t>
  </si>
  <si>
    <t>GST-108</t>
  </si>
  <si>
    <t>GST-109</t>
  </si>
  <si>
    <t>GST-110</t>
  </si>
  <si>
    <t>GST-111</t>
  </si>
  <si>
    <t>GST-112</t>
  </si>
  <si>
    <t>GST-113</t>
  </si>
  <si>
    <t>GST-114</t>
  </si>
  <si>
    <t>GST-115</t>
  </si>
  <si>
    <t>GST-116</t>
  </si>
  <si>
    <t>GST-117</t>
  </si>
  <si>
    <t>GST-118</t>
  </si>
  <si>
    <t>GST-119</t>
  </si>
  <si>
    <t>GST-120</t>
  </si>
  <si>
    <t>Gestor de Finalización</t>
  </si>
  <si>
    <t>Fuera de alcance MVP</t>
  </si>
  <si>
    <t>GST-121</t>
  </si>
  <si>
    <t>GST-122</t>
  </si>
  <si>
    <t>GST-123</t>
  </si>
  <si>
    <t>GST-124</t>
  </si>
  <si>
    <t>GST-125</t>
  </si>
  <si>
    <t>GST-126</t>
  </si>
  <si>
    <t>GST-127</t>
  </si>
  <si>
    <t>Cronograma de releases — detalle por frente y equipo</t>
  </si>
  <si>
    <t>Agregado a partir de las 127 estimaciones por HU (ver archivo 3_Estimaciones_por_HU). Fechas y días recalculados con fórmulas sobre la hoja Detalle.</t>
  </si>
  <si>
    <t>Frente / Épica</t>
  </si>
  <si>
    <t>Equipo(s) involucrados</t>
  </si>
  <si>
    <t># Entregables</t>
  </si>
  <si>
    <t>Días hábiles totales</t>
  </si>
  <si>
    <t>Días c/margen 30%</t>
  </si>
  <si>
    <t>Fecha inicio propuesta</t>
  </si>
  <si>
    <t>Fecha fin propuesta</t>
  </si>
  <si>
    <t>Arquitectura / DevOps, Backend Gestores</t>
  </si>
  <si>
    <t>Backend Gestores, Interoperabilidad</t>
  </si>
  <si>
    <t>• Filas con fecha '—' corresponden a frentes sin equipo propio asignado en el cronograma de Gestores (p. ej. Gestor de Asignación y SuraHis son responsabilidad del core, y Gestor de Prestación/Finalización aún no tienen arquitectura ni equipo asignado).</t>
  </si>
  <si>
    <t>• El detalle HU por HU (127 filas) está en el archivo '3_Estimaciones_por_HU_Gestores.xlsx'; este cronograma es su agregado por Release y Frente.</t>
  </si>
  <si>
    <t>Vista Gantt de releases (bloques mensuales)</t>
  </si>
  <si>
    <t>Cada celda sombreada indica que ese release/frente tiene actividad estimada en ese mes, según la hoja 'Cronograma por Frente'.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</si>
  <si>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</si>
  <si>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</si>
  <si>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</si>
  <si>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</si>
  <si>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</si>
  <si>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</si>
  <si>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</si>
  <si>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</si>
  <si>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</si>
  <si>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</si>
  <si>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</si>
  <si>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</si>
  <si>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</si>
  <si>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</si>
  <si>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Gestor de Solicitud + Canales de acceso</t>
  </si>
  <si>
    <t>Gestor de Evaluación + Agente IA transcripción + Agente IA pertinencia médica + Gestor de Coordinación</t>
  </si>
  <si>
    <t>Gestor de Monitoreo + Datalake de autorizaciones</t>
  </si>
  <si>
    <t>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</si>
</sst>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"/>
  </numFmts>
  <fonts count="9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04040"/>
      <name val="Arial"/>
      <charset val="1"/>
    </font>
    <font>
      <b/>
      <sz val="10"/>
      <color rgb="FFFFFFFF"/>
      <name val="Arial"/>
      <charset val="1"/>
    </font>
    <font>
      <b/>
      <sz val="9.5"/>
      <color rgb="FF000000"/>
      <name val="Arial"/>
      <charset val="1"/>
    </font>
    <font>
      <sz val="9.5"/>
      <color rgb="FF000000"/>
      <name val="Arial"/>
      <charset val="1"/>
    </font>
    <font>
      <b/>
      <sz val="11"/>
      <color rgb="FF1F3864"/>
      <name val="Arial"/>
      <charset val="1"/>
    </font>
    <font>
      <i/>
      <sz val="9"/>
      <color rgb="FF404040"/>
      <name val="Arial"/>
      <charset val="1"/>
    </font>
    <font>
      <b/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2F3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404040"/>
      </patternFill>
    </fill>
    <fill>
      <patternFill patternType="solid">
        <fgColor rgb="FF2E7D32"/>
        <bgColor rgb="FF008000"/>
      </patternFill>
    </fill>
    <fill>
      <patternFill patternType="solid">
        <fgColor rgb="FFC55A11"/>
        <bgColor rgb="FF993300"/>
      </patternFill>
    </fill>
    <fill>
      <patternFill patternType="solid">
        <fgColor rgb="FFC9A227"/>
        <bgColor rgb="FF99C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8" fillId="0" borderId="0" xfId="0" applyFont="1"/>
    <xf numFmtId="164" fontId="0" fillId="0" borderId="0" xfId="0" applyNumberFormat="1"/>
    <xf numFmtId="0" fontId="5" fillId="0" borderId="1" xfId="0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165" fontId="5" fillId="5" borderId="1" xfId="0" applyNumberFormat="1" applyFont="1" applyFill="1" applyBorder="1" applyAlignment="1">
      <alignment horizontal="center" vertical="top" wrapText="1"/>
    </xf>
    <xf numFmtId="0" fontId="0" fillId="6" borderId="1" xfId="0" applyFill="1" applyBorder="1"/>
    <xf numFmtId="0" fontId="0" fillId="0" borderId="1" xfId="0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C55A11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2E539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pane ySplit="4" topLeftCell="A5" activePane="bottomLeft" state="frozen"/>
      <selection pane="bottomLeft" activeCell="B10" sqref="B10"/>
    </sheetView>
  </sheetViews>
  <sheetFormatPr defaultColWidth="8.7109375" defaultRowHeight="15"/>
  <cols>
    <col min="1" max="1" width="18" customWidth="1"/>
    <col min="2" max="2" width="32" customWidth="1"/>
    <col min="3" max="4" width="14" customWidth="1"/>
  </cols>
  <sheetData>
    <row r="1" spans="1:4" ht="27.75" customHeight="1">
      <c r="A1" s="3" t="s">
        <v>0</v>
      </c>
      <c r="B1" s="3"/>
      <c r="C1" s="3"/>
      <c r="D1" s="3"/>
    </row>
    <row r="2" spans="1:4" ht="15" customHeight="1">
      <c r="A2" s="2" t="s">
        <v>1</v>
      </c>
      <c r="B2" s="2"/>
      <c r="C2" s="2"/>
      <c r="D2" s="2"/>
    </row>
    <row r="4" spans="1:4" ht="31.5" customHeight="1">
      <c r="A4" s="4" t="s">
        <v>2</v>
      </c>
      <c r="B4" s="4" t="s">
        <v>3</v>
      </c>
      <c r="C4" s="4" t="s">
        <v>4</v>
      </c>
      <c r="D4" s="4" t="s">
        <v>5</v>
      </c>
    </row>
    <row r="5" spans="1:4">
      <c r="A5" s="5" t="s">
        <v>6</v>
      </c>
      <c r="B5" s="6" t="s">
        <v>7</v>
      </c>
      <c r="C5" s="6" t="s">
        <v>8</v>
      </c>
      <c r="D5" s="6" t="s">
        <v>9</v>
      </c>
    </row>
    <row r="6" spans="1:4">
      <c r="A6" s="7" t="s">
        <v>10</v>
      </c>
      <c r="B6" s="8" t="s">
        <v>11</v>
      </c>
      <c r="C6" s="8" t="s">
        <v>9</v>
      </c>
      <c r="D6" s="8" t="s">
        <v>12</v>
      </c>
    </row>
    <row r="7" spans="1:4">
      <c r="A7" s="5" t="s">
        <v>10</v>
      </c>
      <c r="B7" s="6" t="s">
        <v>13</v>
      </c>
      <c r="C7" s="6" t="s">
        <v>9</v>
      </c>
      <c r="D7" s="6" t="s">
        <v>12</v>
      </c>
    </row>
    <row r="8" spans="1:4">
      <c r="A8" s="7" t="s">
        <v>14</v>
      </c>
      <c r="B8" s="8" t="s">
        <v>15</v>
      </c>
      <c r="C8" s="8" t="s">
        <v>12</v>
      </c>
      <c r="D8" s="8" t="s">
        <v>16</v>
      </c>
    </row>
    <row r="9" spans="1:4">
      <c r="A9" s="5" t="s">
        <v>14</v>
      </c>
      <c r="B9" s="6" t="s">
        <v>17</v>
      </c>
      <c r="C9" s="6" t="s">
        <v>12</v>
      </c>
      <c r="D9" s="6" t="s">
        <v>16</v>
      </c>
    </row>
    <row r="10" spans="1:4">
      <c r="A10" s="7" t="s">
        <v>14</v>
      </c>
      <c r="B10" s="8" t="s">
        <v>18</v>
      </c>
      <c r="C10" s="8" t="s">
        <v>12</v>
      </c>
      <c r="D10" s="8" t="s">
        <v>16</v>
      </c>
    </row>
    <row r="11" spans="1:4">
      <c r="A11" s="5" t="s">
        <v>14</v>
      </c>
      <c r="B11" s="6" t="s">
        <v>19</v>
      </c>
      <c r="C11" s="6" t="s">
        <v>12</v>
      </c>
      <c r="D11" s="6" t="s">
        <v>16</v>
      </c>
    </row>
    <row r="12" spans="1:4">
      <c r="A12" s="7" t="s">
        <v>20</v>
      </c>
      <c r="B12" s="8" t="s">
        <v>21</v>
      </c>
      <c r="C12" s="8" t="s">
        <v>16</v>
      </c>
      <c r="D12" s="8" t="s">
        <v>22</v>
      </c>
    </row>
    <row r="13" spans="1:4">
      <c r="A13" s="5" t="s">
        <v>20</v>
      </c>
      <c r="B13" s="6" t="s">
        <v>23</v>
      </c>
      <c r="C13" s="6" t="s">
        <v>16</v>
      </c>
      <c r="D13" s="6" t="s">
        <v>22</v>
      </c>
    </row>
    <row r="14" spans="1:4">
      <c r="A14" s="7" t="s">
        <v>24</v>
      </c>
      <c r="B14" s="8" t="s">
        <v>25</v>
      </c>
      <c r="C14" s="8" t="s">
        <v>22</v>
      </c>
      <c r="D14" s="8" t="s">
        <v>26</v>
      </c>
    </row>
    <row r="15" spans="1:4">
      <c r="A15" s="5" t="s">
        <v>27</v>
      </c>
      <c r="B15" s="6" t="s">
        <v>28</v>
      </c>
      <c r="C15" s="6" t="s">
        <v>26</v>
      </c>
      <c r="D15" s="6" t="s">
        <v>29</v>
      </c>
    </row>
    <row r="17" spans="1:4">
      <c r="A17" s="22" t="s">
        <v>30</v>
      </c>
      <c r="B17" s="22"/>
      <c r="C17" s="22"/>
      <c r="D17" s="22"/>
    </row>
    <row r="18" spans="1:4" ht="25.5" customHeight="1">
      <c r="A18" s="1" t="s">
        <v>31</v>
      </c>
      <c r="B18" s="1"/>
      <c r="C18" s="1"/>
      <c r="D18" s="1"/>
    </row>
  </sheetData>
  <mergeCells count="4">
    <mergeCell ref="A1:D1"/>
    <mergeCell ref="A2:D2"/>
    <mergeCell ref="A17:D17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zoomScaleNormal="100" workbookViewId="0"/>
  </sheetViews>
  <sheetFormatPr defaultColWidth="8.7109375" defaultRowHeight="15"/>
  <cols>
    <col min="1" max="1" width="9" customWidth="1"/>
    <col min="2" max="2" width="24" customWidth="1"/>
    <col min="3" max="3" width="20" customWidth="1"/>
    <col min="4" max="4" width="24" customWidth="1"/>
    <col min="5" max="6" width="7" customWidth="1"/>
    <col min="7" max="8" width="13" customWidth="1"/>
  </cols>
  <sheetData>
    <row r="1" spans="1:8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</row>
    <row r="2" spans="1:8">
      <c r="A2" t="s">
        <v>40</v>
      </c>
      <c r="B2" t="s">
        <v>41</v>
      </c>
      <c r="C2" t="s">
        <v>42</v>
      </c>
      <c r="D2" t="s">
        <v>10</v>
      </c>
      <c r="E2" t="s">
        <v>43</v>
      </c>
      <c r="F2">
        <v>10</v>
      </c>
      <c r="G2" s="10">
        <v>46174</v>
      </c>
      <c r="H2" s="10">
        <v>46185</v>
      </c>
    </row>
    <row r="3" spans="1:8">
      <c r="A3" t="s">
        <v>44</v>
      </c>
      <c r="B3" t="s">
        <v>41</v>
      </c>
      <c r="C3" t="s">
        <v>42</v>
      </c>
      <c r="D3" t="s">
        <v>10</v>
      </c>
      <c r="E3" t="s">
        <v>43</v>
      </c>
      <c r="F3">
        <v>10</v>
      </c>
      <c r="G3" s="10">
        <v>46174</v>
      </c>
      <c r="H3" s="10">
        <v>46185</v>
      </c>
    </row>
    <row r="4" spans="1:8">
      <c r="A4" t="s">
        <v>45</v>
      </c>
      <c r="B4" t="s">
        <v>41</v>
      </c>
      <c r="C4" t="s">
        <v>42</v>
      </c>
      <c r="D4" t="s">
        <v>10</v>
      </c>
      <c r="E4" t="s">
        <v>46</v>
      </c>
      <c r="F4">
        <v>5</v>
      </c>
      <c r="G4" s="10">
        <v>46188</v>
      </c>
      <c r="H4" s="10">
        <v>46192</v>
      </c>
    </row>
    <row r="5" spans="1:8">
      <c r="A5" t="s">
        <v>47</v>
      </c>
      <c r="B5" t="s">
        <v>41</v>
      </c>
      <c r="C5" t="s">
        <v>42</v>
      </c>
      <c r="D5" t="s">
        <v>10</v>
      </c>
      <c r="E5" t="s">
        <v>46</v>
      </c>
      <c r="F5">
        <v>5</v>
      </c>
      <c r="G5" s="10">
        <v>46188</v>
      </c>
      <c r="H5" s="10">
        <v>46192</v>
      </c>
    </row>
    <row r="6" spans="1:8">
      <c r="A6" t="s">
        <v>48</v>
      </c>
      <c r="B6" t="s">
        <v>41</v>
      </c>
      <c r="C6" t="s">
        <v>42</v>
      </c>
      <c r="D6" t="s">
        <v>10</v>
      </c>
      <c r="E6" t="s">
        <v>46</v>
      </c>
      <c r="F6">
        <v>5</v>
      </c>
      <c r="G6" s="10">
        <v>46195</v>
      </c>
      <c r="H6" s="10">
        <v>46199</v>
      </c>
    </row>
    <row r="7" spans="1:8">
      <c r="A7" t="s">
        <v>49</v>
      </c>
      <c r="B7" t="s">
        <v>50</v>
      </c>
      <c r="C7" t="s">
        <v>51</v>
      </c>
      <c r="D7" t="s">
        <v>10</v>
      </c>
      <c r="E7" t="s">
        <v>46</v>
      </c>
      <c r="F7">
        <v>5</v>
      </c>
      <c r="G7" s="10">
        <v>46174</v>
      </c>
      <c r="H7" s="10">
        <v>46178</v>
      </c>
    </row>
    <row r="8" spans="1:8">
      <c r="A8" t="s">
        <v>52</v>
      </c>
      <c r="B8" t="s">
        <v>50</v>
      </c>
      <c r="C8" t="s">
        <v>51</v>
      </c>
      <c r="D8" t="s">
        <v>10</v>
      </c>
      <c r="E8" t="s">
        <v>43</v>
      </c>
      <c r="F8">
        <v>10</v>
      </c>
      <c r="G8" s="10">
        <v>46174</v>
      </c>
      <c r="H8" s="10">
        <v>46185</v>
      </c>
    </row>
    <row r="9" spans="1:8">
      <c r="A9" t="s">
        <v>53</v>
      </c>
      <c r="B9" t="s">
        <v>50</v>
      </c>
      <c r="C9" t="s">
        <v>51</v>
      </c>
      <c r="D9" t="s">
        <v>10</v>
      </c>
      <c r="E9" t="s">
        <v>46</v>
      </c>
      <c r="F9">
        <v>5</v>
      </c>
      <c r="G9" s="10">
        <v>46174</v>
      </c>
      <c r="H9" s="10">
        <v>46178</v>
      </c>
    </row>
    <row r="10" spans="1:8">
      <c r="A10" t="s">
        <v>54</v>
      </c>
      <c r="B10" t="s">
        <v>50</v>
      </c>
      <c r="C10" t="s">
        <v>51</v>
      </c>
      <c r="D10" t="s">
        <v>10</v>
      </c>
      <c r="E10" t="s">
        <v>46</v>
      </c>
      <c r="F10">
        <v>5</v>
      </c>
      <c r="G10" s="10">
        <v>46181</v>
      </c>
      <c r="H10" s="10">
        <v>46185</v>
      </c>
    </row>
    <row r="11" spans="1:8">
      <c r="A11" t="s">
        <v>55</v>
      </c>
      <c r="B11" t="s">
        <v>50</v>
      </c>
      <c r="C11" t="s">
        <v>51</v>
      </c>
      <c r="D11" t="s">
        <v>10</v>
      </c>
      <c r="E11" t="s">
        <v>43</v>
      </c>
      <c r="F11">
        <v>10</v>
      </c>
      <c r="G11" s="10">
        <v>46188</v>
      </c>
      <c r="H11" s="10">
        <v>46199</v>
      </c>
    </row>
    <row r="12" spans="1:8">
      <c r="A12" t="s">
        <v>56</v>
      </c>
      <c r="B12" t="s">
        <v>50</v>
      </c>
      <c r="C12" t="s">
        <v>51</v>
      </c>
      <c r="D12" t="s">
        <v>10</v>
      </c>
      <c r="E12" t="s">
        <v>46</v>
      </c>
      <c r="F12">
        <v>5</v>
      </c>
      <c r="G12" s="10">
        <v>46181</v>
      </c>
      <c r="H12" s="10">
        <v>46185</v>
      </c>
    </row>
    <row r="13" spans="1:8">
      <c r="A13" t="s">
        <v>57</v>
      </c>
      <c r="B13" t="s">
        <v>50</v>
      </c>
      <c r="C13" t="s">
        <v>51</v>
      </c>
      <c r="D13" t="s">
        <v>10</v>
      </c>
      <c r="E13" t="s">
        <v>46</v>
      </c>
      <c r="F13">
        <v>5</v>
      </c>
      <c r="G13" s="10">
        <v>46188</v>
      </c>
      <c r="H13" s="10">
        <v>46192</v>
      </c>
    </row>
    <row r="14" spans="1:8">
      <c r="A14" t="s">
        <v>58</v>
      </c>
      <c r="B14" t="s">
        <v>50</v>
      </c>
      <c r="C14" t="s">
        <v>51</v>
      </c>
      <c r="D14" t="s">
        <v>10</v>
      </c>
      <c r="E14" t="s">
        <v>43</v>
      </c>
      <c r="F14">
        <v>10</v>
      </c>
      <c r="G14" s="10">
        <v>46202</v>
      </c>
      <c r="H14" s="10">
        <v>46213</v>
      </c>
    </row>
    <row r="15" spans="1:8">
      <c r="A15" t="s">
        <v>59</v>
      </c>
      <c r="B15" t="s">
        <v>50</v>
      </c>
      <c r="C15" t="s">
        <v>51</v>
      </c>
      <c r="D15" t="s">
        <v>10</v>
      </c>
      <c r="E15" t="s">
        <v>43</v>
      </c>
      <c r="F15">
        <v>10</v>
      </c>
      <c r="G15" s="10">
        <v>46188</v>
      </c>
      <c r="H15" s="10">
        <v>46199</v>
      </c>
    </row>
    <row r="16" spans="1:8">
      <c r="A16" t="s">
        <v>60</v>
      </c>
      <c r="B16" t="s">
        <v>50</v>
      </c>
      <c r="C16" t="s">
        <v>51</v>
      </c>
      <c r="D16" t="s">
        <v>10</v>
      </c>
      <c r="E16" t="s">
        <v>43</v>
      </c>
      <c r="F16">
        <v>10</v>
      </c>
      <c r="G16" s="10">
        <v>46195</v>
      </c>
      <c r="H16" s="10">
        <v>46206</v>
      </c>
    </row>
    <row r="17" spans="1:8">
      <c r="A17" t="s">
        <v>61</v>
      </c>
      <c r="B17" t="s">
        <v>50</v>
      </c>
      <c r="C17" t="s">
        <v>51</v>
      </c>
      <c r="D17" t="s">
        <v>10</v>
      </c>
      <c r="E17" t="s">
        <v>46</v>
      </c>
      <c r="F17">
        <v>5</v>
      </c>
      <c r="G17" s="10">
        <v>46216</v>
      </c>
      <c r="H17" s="10">
        <v>46220</v>
      </c>
    </row>
    <row r="18" spans="1:8">
      <c r="A18" t="s">
        <v>62</v>
      </c>
      <c r="B18" t="s">
        <v>50</v>
      </c>
      <c r="C18" t="s">
        <v>51</v>
      </c>
      <c r="D18" t="s">
        <v>10</v>
      </c>
      <c r="E18" t="s">
        <v>43</v>
      </c>
      <c r="F18">
        <v>10</v>
      </c>
      <c r="G18" s="10">
        <v>46202</v>
      </c>
      <c r="H18" s="10">
        <v>46213</v>
      </c>
    </row>
    <row r="19" spans="1:8">
      <c r="A19" t="s">
        <v>63</v>
      </c>
      <c r="B19" t="s">
        <v>50</v>
      </c>
      <c r="C19" t="s">
        <v>51</v>
      </c>
      <c r="D19" t="s">
        <v>10</v>
      </c>
      <c r="E19" t="s">
        <v>43</v>
      </c>
      <c r="F19">
        <v>10</v>
      </c>
      <c r="G19" s="10">
        <v>46209</v>
      </c>
      <c r="H19" s="10">
        <v>46220</v>
      </c>
    </row>
    <row r="20" spans="1:8">
      <c r="A20" t="s">
        <v>64</v>
      </c>
      <c r="B20" t="s">
        <v>65</v>
      </c>
      <c r="C20" t="s">
        <v>51</v>
      </c>
      <c r="D20" t="s">
        <v>14</v>
      </c>
      <c r="E20" t="s">
        <v>43</v>
      </c>
      <c r="F20">
        <v>10</v>
      </c>
      <c r="G20" s="10">
        <v>46296</v>
      </c>
      <c r="H20" s="10">
        <v>46309</v>
      </c>
    </row>
    <row r="21" spans="1:8">
      <c r="A21" t="s">
        <v>66</v>
      </c>
      <c r="B21" t="s">
        <v>65</v>
      </c>
      <c r="C21" t="s">
        <v>51</v>
      </c>
      <c r="D21" t="s">
        <v>14</v>
      </c>
      <c r="E21" t="s">
        <v>43</v>
      </c>
      <c r="F21">
        <v>10</v>
      </c>
      <c r="G21" s="10">
        <v>46296</v>
      </c>
      <c r="H21" s="10">
        <v>46309</v>
      </c>
    </row>
    <row r="22" spans="1:8">
      <c r="A22" t="s">
        <v>67</v>
      </c>
      <c r="B22" t="s">
        <v>65</v>
      </c>
      <c r="C22" t="s">
        <v>51</v>
      </c>
      <c r="D22" t="s">
        <v>14</v>
      </c>
      <c r="E22" t="s">
        <v>43</v>
      </c>
      <c r="F22">
        <v>10</v>
      </c>
      <c r="G22" s="10">
        <v>46310</v>
      </c>
      <c r="H22" s="10">
        <v>46323</v>
      </c>
    </row>
    <row r="23" spans="1:8">
      <c r="A23" t="s">
        <v>68</v>
      </c>
      <c r="B23" t="s">
        <v>65</v>
      </c>
      <c r="C23" t="s">
        <v>51</v>
      </c>
      <c r="D23" t="s">
        <v>14</v>
      </c>
      <c r="E23" t="s">
        <v>43</v>
      </c>
      <c r="F23">
        <v>10</v>
      </c>
      <c r="G23" s="10">
        <v>46310</v>
      </c>
      <c r="H23" s="10">
        <v>46323</v>
      </c>
    </row>
    <row r="24" spans="1:8">
      <c r="A24" t="s">
        <v>69</v>
      </c>
      <c r="B24" t="s">
        <v>65</v>
      </c>
      <c r="C24" t="s">
        <v>51</v>
      </c>
      <c r="D24" t="s">
        <v>14</v>
      </c>
      <c r="E24" t="s">
        <v>43</v>
      </c>
      <c r="F24">
        <v>10</v>
      </c>
      <c r="G24" s="10">
        <v>46324</v>
      </c>
      <c r="H24" s="10">
        <v>46337</v>
      </c>
    </row>
    <row r="25" spans="1:8">
      <c r="A25" t="s">
        <v>70</v>
      </c>
      <c r="B25" t="s">
        <v>65</v>
      </c>
      <c r="C25" t="s">
        <v>51</v>
      </c>
      <c r="D25" t="s">
        <v>14</v>
      </c>
      <c r="E25" t="s">
        <v>43</v>
      </c>
      <c r="F25">
        <v>10</v>
      </c>
      <c r="G25" s="10">
        <v>46324</v>
      </c>
      <c r="H25" s="10">
        <v>46337</v>
      </c>
    </row>
    <row r="26" spans="1:8">
      <c r="A26" t="s">
        <v>71</v>
      </c>
      <c r="B26" t="s">
        <v>65</v>
      </c>
      <c r="C26" t="s">
        <v>51</v>
      </c>
      <c r="D26" t="s">
        <v>14</v>
      </c>
      <c r="E26" t="s">
        <v>46</v>
      </c>
      <c r="F26">
        <v>5</v>
      </c>
      <c r="G26" s="10">
        <v>46338</v>
      </c>
      <c r="H26" s="10">
        <v>46344</v>
      </c>
    </row>
    <row r="27" spans="1:8">
      <c r="A27" t="s">
        <v>72</v>
      </c>
      <c r="B27" t="s">
        <v>65</v>
      </c>
      <c r="C27" t="s">
        <v>51</v>
      </c>
      <c r="D27" t="s">
        <v>14</v>
      </c>
      <c r="E27" t="s">
        <v>43</v>
      </c>
      <c r="F27">
        <v>10</v>
      </c>
      <c r="G27" s="10">
        <v>46338</v>
      </c>
      <c r="H27" s="10">
        <v>46351</v>
      </c>
    </row>
    <row r="28" spans="1:8">
      <c r="A28" t="s">
        <v>73</v>
      </c>
      <c r="B28" t="s">
        <v>65</v>
      </c>
      <c r="C28" t="s">
        <v>51</v>
      </c>
      <c r="D28" t="s">
        <v>14</v>
      </c>
      <c r="E28" t="s">
        <v>43</v>
      </c>
      <c r="F28">
        <v>10</v>
      </c>
      <c r="G28" s="10">
        <v>46345</v>
      </c>
      <c r="H28" s="10">
        <v>46358</v>
      </c>
    </row>
    <row r="29" spans="1:8">
      <c r="A29" t="s">
        <v>74</v>
      </c>
      <c r="B29" t="s">
        <v>75</v>
      </c>
      <c r="C29" t="s">
        <v>76</v>
      </c>
      <c r="D29" t="s">
        <v>77</v>
      </c>
      <c r="E29" t="s">
        <v>78</v>
      </c>
      <c r="F29">
        <v>20</v>
      </c>
      <c r="G29" s="10"/>
      <c r="H29" s="10"/>
    </row>
    <row r="30" spans="1:8">
      <c r="A30" t="s">
        <v>79</v>
      </c>
      <c r="B30" t="s">
        <v>75</v>
      </c>
      <c r="C30" t="s">
        <v>76</v>
      </c>
      <c r="D30" t="s">
        <v>77</v>
      </c>
      <c r="E30" t="s">
        <v>46</v>
      </c>
      <c r="F30">
        <v>5</v>
      </c>
      <c r="G30" s="10"/>
      <c r="H30" s="10"/>
    </row>
    <row r="31" spans="1:8">
      <c r="A31" t="s">
        <v>80</v>
      </c>
      <c r="B31" t="s">
        <v>75</v>
      </c>
      <c r="C31" t="s">
        <v>76</v>
      </c>
      <c r="D31" t="s">
        <v>77</v>
      </c>
      <c r="E31" t="s">
        <v>46</v>
      </c>
      <c r="F31">
        <v>5</v>
      </c>
      <c r="G31" s="10"/>
      <c r="H31" s="10"/>
    </row>
    <row r="32" spans="1:8">
      <c r="A32" t="s">
        <v>81</v>
      </c>
      <c r="B32" t="s">
        <v>75</v>
      </c>
      <c r="C32" t="s">
        <v>76</v>
      </c>
      <c r="D32" t="s">
        <v>77</v>
      </c>
      <c r="E32" t="s">
        <v>46</v>
      </c>
      <c r="F32">
        <v>5</v>
      </c>
      <c r="G32" s="10"/>
      <c r="H32" s="10"/>
    </row>
    <row r="33" spans="1:8">
      <c r="A33" t="s">
        <v>82</v>
      </c>
      <c r="B33" t="s">
        <v>75</v>
      </c>
      <c r="C33" t="s">
        <v>76</v>
      </c>
      <c r="D33" t="s">
        <v>77</v>
      </c>
      <c r="E33" t="s">
        <v>43</v>
      </c>
      <c r="F33">
        <v>10</v>
      </c>
      <c r="G33" s="10"/>
      <c r="H33" s="10"/>
    </row>
    <row r="34" spans="1:8">
      <c r="A34" t="s">
        <v>83</v>
      </c>
      <c r="B34" t="s">
        <v>75</v>
      </c>
      <c r="C34" t="s">
        <v>76</v>
      </c>
      <c r="D34" t="s">
        <v>77</v>
      </c>
      <c r="E34" t="s">
        <v>78</v>
      </c>
      <c r="F34">
        <v>20</v>
      </c>
      <c r="G34" s="10"/>
      <c r="H34" s="10"/>
    </row>
    <row r="35" spans="1:8">
      <c r="A35" t="s">
        <v>84</v>
      </c>
      <c r="B35" t="s">
        <v>85</v>
      </c>
      <c r="C35" t="s">
        <v>51</v>
      </c>
      <c r="D35" t="s">
        <v>14</v>
      </c>
      <c r="E35" t="s">
        <v>43</v>
      </c>
      <c r="F35">
        <v>10</v>
      </c>
      <c r="G35" s="10">
        <v>46296</v>
      </c>
      <c r="H35" s="10">
        <v>46309</v>
      </c>
    </row>
    <row r="36" spans="1:8">
      <c r="A36" t="s">
        <v>86</v>
      </c>
      <c r="B36" t="s">
        <v>85</v>
      </c>
      <c r="C36" t="s">
        <v>51</v>
      </c>
      <c r="D36" t="s">
        <v>14</v>
      </c>
      <c r="E36" t="s">
        <v>43</v>
      </c>
      <c r="F36">
        <v>10</v>
      </c>
      <c r="G36" s="10">
        <v>46296</v>
      </c>
      <c r="H36" s="10">
        <v>46309</v>
      </c>
    </row>
    <row r="37" spans="1:8">
      <c r="A37" t="s">
        <v>87</v>
      </c>
      <c r="B37" t="s">
        <v>85</v>
      </c>
      <c r="C37" t="s">
        <v>51</v>
      </c>
      <c r="D37" t="s">
        <v>14</v>
      </c>
      <c r="E37" t="s">
        <v>78</v>
      </c>
      <c r="F37">
        <v>20</v>
      </c>
      <c r="G37" s="10">
        <v>46310</v>
      </c>
      <c r="H37" s="10">
        <v>46337</v>
      </c>
    </row>
    <row r="38" spans="1:8">
      <c r="A38" t="s">
        <v>88</v>
      </c>
      <c r="B38" t="s">
        <v>85</v>
      </c>
      <c r="C38" t="s">
        <v>51</v>
      </c>
      <c r="D38" t="s">
        <v>14</v>
      </c>
      <c r="E38" t="s">
        <v>43</v>
      </c>
      <c r="F38">
        <v>10</v>
      </c>
      <c r="G38" s="10">
        <v>46310</v>
      </c>
      <c r="H38" s="10">
        <v>46323</v>
      </c>
    </row>
    <row r="39" spans="1:8">
      <c r="A39" t="s">
        <v>89</v>
      </c>
      <c r="B39" t="s">
        <v>85</v>
      </c>
      <c r="C39" t="s">
        <v>51</v>
      </c>
      <c r="D39" t="s">
        <v>14</v>
      </c>
      <c r="E39" t="s">
        <v>43</v>
      </c>
      <c r="F39">
        <v>10</v>
      </c>
      <c r="G39" s="10">
        <v>46338</v>
      </c>
      <c r="H39" s="10">
        <v>46351</v>
      </c>
    </row>
    <row r="40" spans="1:8">
      <c r="A40" t="s">
        <v>90</v>
      </c>
      <c r="B40" t="s">
        <v>85</v>
      </c>
      <c r="C40" t="s">
        <v>51</v>
      </c>
      <c r="D40" t="s">
        <v>14</v>
      </c>
      <c r="E40" t="s">
        <v>91</v>
      </c>
      <c r="F40">
        <v>2</v>
      </c>
      <c r="G40" s="10">
        <v>46324</v>
      </c>
      <c r="H40" s="10">
        <v>46325</v>
      </c>
    </row>
    <row r="41" spans="1:8">
      <c r="A41" t="s">
        <v>92</v>
      </c>
      <c r="B41" t="s">
        <v>85</v>
      </c>
      <c r="C41" t="s">
        <v>51</v>
      </c>
      <c r="D41" t="s">
        <v>14</v>
      </c>
      <c r="E41" t="s">
        <v>43</v>
      </c>
      <c r="F41">
        <v>10</v>
      </c>
      <c r="G41" s="10">
        <v>46352</v>
      </c>
      <c r="H41" s="10">
        <v>46365</v>
      </c>
    </row>
    <row r="42" spans="1:8">
      <c r="A42" t="s">
        <v>93</v>
      </c>
      <c r="B42" t="s">
        <v>94</v>
      </c>
      <c r="C42" t="s">
        <v>51</v>
      </c>
      <c r="D42" t="s">
        <v>95</v>
      </c>
      <c r="E42" t="s">
        <v>78</v>
      </c>
      <c r="F42">
        <v>20</v>
      </c>
      <c r="G42" s="10"/>
      <c r="H42" s="10"/>
    </row>
    <row r="43" spans="1:8">
      <c r="A43" t="s">
        <v>96</v>
      </c>
      <c r="B43" t="s">
        <v>94</v>
      </c>
      <c r="C43" t="s">
        <v>51</v>
      </c>
      <c r="D43" t="s">
        <v>95</v>
      </c>
      <c r="E43" t="s">
        <v>43</v>
      </c>
      <c r="F43">
        <v>10</v>
      </c>
      <c r="G43" s="10"/>
      <c r="H43" s="10"/>
    </row>
    <row r="44" spans="1:8">
      <c r="A44" t="s">
        <v>97</v>
      </c>
      <c r="B44" t="s">
        <v>94</v>
      </c>
      <c r="C44" t="s">
        <v>51</v>
      </c>
      <c r="D44" t="s">
        <v>95</v>
      </c>
      <c r="E44" t="s">
        <v>46</v>
      </c>
      <c r="F44">
        <v>5</v>
      </c>
      <c r="G44" s="10"/>
      <c r="H44" s="10"/>
    </row>
    <row r="45" spans="1:8">
      <c r="A45" t="s">
        <v>98</v>
      </c>
      <c r="B45" t="s">
        <v>94</v>
      </c>
      <c r="C45" t="s">
        <v>51</v>
      </c>
      <c r="D45" t="s">
        <v>95</v>
      </c>
      <c r="E45" t="s">
        <v>46</v>
      </c>
      <c r="F45">
        <v>5</v>
      </c>
      <c r="G45" s="10"/>
      <c r="H45" s="10"/>
    </row>
    <row r="46" spans="1:8">
      <c r="A46" t="s">
        <v>99</v>
      </c>
      <c r="B46" t="s">
        <v>100</v>
      </c>
      <c r="C46" t="s">
        <v>51</v>
      </c>
      <c r="D46" t="s">
        <v>20</v>
      </c>
      <c r="E46" t="s">
        <v>46</v>
      </c>
      <c r="F46">
        <v>5</v>
      </c>
      <c r="G46" s="10">
        <v>46419</v>
      </c>
      <c r="H46" s="10">
        <v>46423</v>
      </c>
    </row>
    <row r="47" spans="1:8">
      <c r="A47" t="s">
        <v>101</v>
      </c>
      <c r="B47" t="s">
        <v>100</v>
      </c>
      <c r="C47" t="s">
        <v>51</v>
      </c>
      <c r="D47" t="s">
        <v>20</v>
      </c>
      <c r="E47" t="s">
        <v>46</v>
      </c>
      <c r="F47">
        <v>5</v>
      </c>
      <c r="G47" s="10">
        <v>46419</v>
      </c>
      <c r="H47" s="10">
        <v>46423</v>
      </c>
    </row>
    <row r="48" spans="1:8">
      <c r="A48" t="s">
        <v>102</v>
      </c>
      <c r="B48" t="s">
        <v>100</v>
      </c>
      <c r="C48" t="s">
        <v>51</v>
      </c>
      <c r="D48" t="s">
        <v>20</v>
      </c>
      <c r="E48" t="s">
        <v>43</v>
      </c>
      <c r="F48">
        <v>10</v>
      </c>
      <c r="G48" s="10">
        <v>46426</v>
      </c>
      <c r="H48" s="10">
        <v>46437</v>
      </c>
    </row>
    <row r="49" spans="1:8">
      <c r="A49" t="s">
        <v>103</v>
      </c>
      <c r="B49" t="s">
        <v>100</v>
      </c>
      <c r="C49" t="s">
        <v>51</v>
      </c>
      <c r="D49" t="s">
        <v>20</v>
      </c>
      <c r="E49" t="s">
        <v>43</v>
      </c>
      <c r="F49">
        <v>10</v>
      </c>
      <c r="G49" s="10">
        <v>46426</v>
      </c>
      <c r="H49" s="10">
        <v>46437</v>
      </c>
    </row>
    <row r="50" spans="1:8">
      <c r="A50" t="s">
        <v>104</v>
      </c>
      <c r="B50" t="s">
        <v>100</v>
      </c>
      <c r="C50" t="s">
        <v>51</v>
      </c>
      <c r="D50" t="s">
        <v>20</v>
      </c>
      <c r="E50" t="s">
        <v>46</v>
      </c>
      <c r="F50">
        <v>5</v>
      </c>
      <c r="G50" s="10">
        <v>46440</v>
      </c>
      <c r="H50" s="10">
        <v>46444</v>
      </c>
    </row>
    <row r="51" spans="1:8">
      <c r="A51" t="s">
        <v>105</v>
      </c>
      <c r="B51" t="s">
        <v>100</v>
      </c>
      <c r="C51" t="s">
        <v>51</v>
      </c>
      <c r="D51" t="s">
        <v>20</v>
      </c>
      <c r="E51" t="s">
        <v>46</v>
      </c>
      <c r="F51">
        <v>5</v>
      </c>
      <c r="G51" s="10">
        <v>46440</v>
      </c>
      <c r="H51" s="10">
        <v>46444</v>
      </c>
    </row>
    <row r="52" spans="1:8">
      <c r="A52" t="s">
        <v>106</v>
      </c>
      <c r="B52" t="s">
        <v>100</v>
      </c>
      <c r="C52" t="s">
        <v>51</v>
      </c>
      <c r="D52" t="s">
        <v>20</v>
      </c>
      <c r="E52" t="s">
        <v>43</v>
      </c>
      <c r="F52">
        <v>10</v>
      </c>
      <c r="G52" s="10">
        <v>46447</v>
      </c>
      <c r="H52" s="10">
        <v>46458</v>
      </c>
    </row>
    <row r="53" spans="1:8">
      <c r="A53" t="s">
        <v>107</v>
      </c>
      <c r="B53" t="s">
        <v>100</v>
      </c>
      <c r="C53" t="s">
        <v>51</v>
      </c>
      <c r="D53" t="s">
        <v>20</v>
      </c>
      <c r="E53" t="s">
        <v>43</v>
      </c>
      <c r="F53">
        <v>10</v>
      </c>
      <c r="G53" s="10">
        <v>46447</v>
      </c>
      <c r="H53" s="10">
        <v>46458</v>
      </c>
    </row>
    <row r="54" spans="1:8">
      <c r="A54" t="s">
        <v>108</v>
      </c>
      <c r="B54" t="s">
        <v>100</v>
      </c>
      <c r="C54" t="s">
        <v>51</v>
      </c>
      <c r="D54" t="s">
        <v>20</v>
      </c>
      <c r="E54" t="s">
        <v>46</v>
      </c>
      <c r="F54">
        <v>5</v>
      </c>
      <c r="G54" s="10">
        <v>46461</v>
      </c>
      <c r="H54" s="10">
        <v>46465</v>
      </c>
    </row>
    <row r="55" spans="1:8">
      <c r="A55" t="s">
        <v>109</v>
      </c>
      <c r="B55" t="s">
        <v>41</v>
      </c>
      <c r="C55" t="s">
        <v>42</v>
      </c>
      <c r="D55" t="s">
        <v>10</v>
      </c>
      <c r="E55" t="s">
        <v>78</v>
      </c>
      <c r="F55">
        <v>20</v>
      </c>
      <c r="G55" s="10">
        <v>46195</v>
      </c>
      <c r="H55" s="10">
        <v>46220</v>
      </c>
    </row>
    <row r="56" spans="1:8">
      <c r="A56" t="s">
        <v>110</v>
      </c>
      <c r="B56" t="s">
        <v>41</v>
      </c>
      <c r="C56" t="s">
        <v>42</v>
      </c>
      <c r="D56" t="s">
        <v>10</v>
      </c>
      <c r="E56" t="s">
        <v>43</v>
      </c>
      <c r="F56">
        <v>10</v>
      </c>
      <c r="G56" s="10">
        <v>46202</v>
      </c>
      <c r="H56" s="10">
        <v>46213</v>
      </c>
    </row>
    <row r="57" spans="1:8">
      <c r="A57" t="s">
        <v>111</v>
      </c>
      <c r="B57" t="s">
        <v>41</v>
      </c>
      <c r="C57" t="s">
        <v>42</v>
      </c>
      <c r="D57" t="s">
        <v>10</v>
      </c>
      <c r="E57" t="s">
        <v>78</v>
      </c>
      <c r="F57">
        <v>20</v>
      </c>
      <c r="G57" s="10">
        <v>46223</v>
      </c>
      <c r="H57" s="10">
        <v>46248</v>
      </c>
    </row>
    <row r="58" spans="1:8">
      <c r="A58" t="s">
        <v>112</v>
      </c>
      <c r="B58" t="s">
        <v>41</v>
      </c>
      <c r="C58" t="s">
        <v>42</v>
      </c>
      <c r="D58" t="s">
        <v>10</v>
      </c>
      <c r="E58" t="s">
        <v>43</v>
      </c>
      <c r="F58">
        <v>10</v>
      </c>
      <c r="G58" s="10">
        <v>46216</v>
      </c>
      <c r="H58" s="10">
        <v>46227</v>
      </c>
    </row>
    <row r="59" spans="1:8">
      <c r="A59" t="s">
        <v>113</v>
      </c>
      <c r="B59" t="s">
        <v>114</v>
      </c>
      <c r="C59" t="s">
        <v>115</v>
      </c>
      <c r="D59" t="s">
        <v>116</v>
      </c>
      <c r="E59" t="s">
        <v>43</v>
      </c>
      <c r="F59">
        <v>10</v>
      </c>
      <c r="G59" s="10">
        <v>46143</v>
      </c>
      <c r="H59" s="10">
        <v>46156</v>
      </c>
    </row>
    <row r="60" spans="1:8">
      <c r="A60" t="s">
        <v>117</v>
      </c>
      <c r="B60" t="s">
        <v>114</v>
      </c>
      <c r="C60" t="s">
        <v>115</v>
      </c>
      <c r="D60" t="s">
        <v>116</v>
      </c>
      <c r="E60" t="s">
        <v>43</v>
      </c>
      <c r="F60">
        <v>10</v>
      </c>
      <c r="G60" s="10">
        <v>46157</v>
      </c>
      <c r="H60" s="10">
        <v>46170</v>
      </c>
    </row>
    <row r="61" spans="1:8">
      <c r="A61" t="s">
        <v>118</v>
      </c>
      <c r="B61" t="s">
        <v>114</v>
      </c>
      <c r="C61" t="s">
        <v>115</v>
      </c>
      <c r="D61" t="s">
        <v>116</v>
      </c>
      <c r="E61" t="s">
        <v>43</v>
      </c>
      <c r="F61">
        <v>10</v>
      </c>
      <c r="G61" s="10">
        <v>46171</v>
      </c>
      <c r="H61" s="10">
        <v>46184</v>
      </c>
    </row>
    <row r="62" spans="1:8">
      <c r="A62" t="s">
        <v>119</v>
      </c>
      <c r="B62" t="s">
        <v>114</v>
      </c>
      <c r="C62" t="s">
        <v>115</v>
      </c>
      <c r="D62" t="s">
        <v>116</v>
      </c>
      <c r="E62" t="s">
        <v>46</v>
      </c>
      <c r="F62">
        <v>5</v>
      </c>
      <c r="G62" s="10">
        <v>46185</v>
      </c>
      <c r="H62" s="10">
        <v>46191</v>
      </c>
    </row>
    <row r="63" spans="1:8">
      <c r="A63" t="s">
        <v>120</v>
      </c>
      <c r="B63" t="s">
        <v>121</v>
      </c>
      <c r="C63" t="s">
        <v>122</v>
      </c>
      <c r="D63" t="s">
        <v>123</v>
      </c>
      <c r="E63" t="s">
        <v>43</v>
      </c>
      <c r="F63">
        <v>10</v>
      </c>
      <c r="G63" s="10">
        <v>46143</v>
      </c>
      <c r="H63" s="10">
        <v>46156</v>
      </c>
    </row>
    <row r="64" spans="1:8">
      <c r="A64" t="s">
        <v>124</v>
      </c>
      <c r="B64" t="s">
        <v>121</v>
      </c>
      <c r="C64" t="s">
        <v>122</v>
      </c>
      <c r="D64" t="s">
        <v>123</v>
      </c>
      <c r="E64" t="s">
        <v>43</v>
      </c>
      <c r="F64">
        <v>10</v>
      </c>
      <c r="G64" s="10">
        <v>46157</v>
      </c>
      <c r="H64" s="10">
        <v>46170</v>
      </c>
    </row>
    <row r="65" spans="1:8">
      <c r="A65" t="s">
        <v>125</v>
      </c>
      <c r="B65" t="s">
        <v>121</v>
      </c>
      <c r="C65" t="s">
        <v>122</v>
      </c>
      <c r="D65" t="s">
        <v>123</v>
      </c>
      <c r="E65" t="s">
        <v>43</v>
      </c>
      <c r="F65">
        <v>10</v>
      </c>
      <c r="G65" s="10">
        <v>46171</v>
      </c>
      <c r="H65" s="10">
        <v>46184</v>
      </c>
    </row>
    <row r="66" spans="1:8">
      <c r="A66" t="s">
        <v>126</v>
      </c>
      <c r="B66" t="s">
        <v>121</v>
      </c>
      <c r="C66" t="s">
        <v>122</v>
      </c>
      <c r="D66" t="s">
        <v>123</v>
      </c>
      <c r="E66" t="s">
        <v>43</v>
      </c>
      <c r="F66">
        <v>10</v>
      </c>
      <c r="G66" s="10">
        <v>46185</v>
      </c>
      <c r="H66" s="10">
        <v>46198</v>
      </c>
    </row>
    <row r="67" spans="1:8">
      <c r="A67" t="s">
        <v>127</v>
      </c>
      <c r="B67" t="s">
        <v>128</v>
      </c>
      <c r="C67" t="s">
        <v>129</v>
      </c>
      <c r="D67" t="s">
        <v>116</v>
      </c>
      <c r="E67" t="s">
        <v>43</v>
      </c>
      <c r="F67">
        <v>10</v>
      </c>
      <c r="G67" s="10">
        <v>46143</v>
      </c>
      <c r="H67" s="10">
        <v>46156</v>
      </c>
    </row>
    <row r="68" spans="1:8">
      <c r="A68" t="s">
        <v>130</v>
      </c>
      <c r="B68" t="s">
        <v>128</v>
      </c>
      <c r="C68" t="s">
        <v>129</v>
      </c>
      <c r="D68" t="s">
        <v>116</v>
      </c>
      <c r="E68" t="s">
        <v>43</v>
      </c>
      <c r="F68">
        <v>10</v>
      </c>
      <c r="G68" s="10">
        <v>46157</v>
      </c>
      <c r="H68" s="10">
        <v>46170</v>
      </c>
    </row>
    <row r="69" spans="1:8">
      <c r="A69" t="s">
        <v>131</v>
      </c>
      <c r="B69" t="s">
        <v>128</v>
      </c>
      <c r="C69" t="s">
        <v>129</v>
      </c>
      <c r="D69" t="s">
        <v>116</v>
      </c>
      <c r="E69" t="s">
        <v>43</v>
      </c>
      <c r="F69">
        <v>10</v>
      </c>
      <c r="G69" s="10">
        <v>46171</v>
      </c>
      <c r="H69" s="10">
        <v>46184</v>
      </c>
    </row>
    <row r="70" spans="1:8">
      <c r="A70" t="s">
        <v>132</v>
      </c>
      <c r="B70" t="s">
        <v>114</v>
      </c>
      <c r="C70" t="s">
        <v>115</v>
      </c>
      <c r="D70" t="s">
        <v>116</v>
      </c>
      <c r="E70" t="s">
        <v>78</v>
      </c>
      <c r="F70">
        <v>20</v>
      </c>
      <c r="G70" s="10">
        <v>46192</v>
      </c>
      <c r="H70" s="10">
        <v>46219</v>
      </c>
    </row>
    <row r="71" spans="1:8">
      <c r="A71" t="s">
        <v>133</v>
      </c>
      <c r="B71" t="s">
        <v>114</v>
      </c>
      <c r="C71" t="s">
        <v>115</v>
      </c>
      <c r="D71" t="s">
        <v>116</v>
      </c>
      <c r="E71" t="s">
        <v>78</v>
      </c>
      <c r="F71">
        <v>20</v>
      </c>
      <c r="G71" s="10">
        <v>46220</v>
      </c>
      <c r="H71" s="10">
        <v>46247</v>
      </c>
    </row>
    <row r="72" spans="1:8">
      <c r="A72" t="s">
        <v>134</v>
      </c>
      <c r="B72" t="s">
        <v>114</v>
      </c>
      <c r="C72" t="s">
        <v>115</v>
      </c>
      <c r="D72" t="s">
        <v>116</v>
      </c>
      <c r="E72" t="s">
        <v>43</v>
      </c>
      <c r="F72">
        <v>10</v>
      </c>
      <c r="G72" s="10">
        <v>46248</v>
      </c>
      <c r="H72" s="10">
        <v>46261</v>
      </c>
    </row>
    <row r="73" spans="1:8">
      <c r="A73" t="s">
        <v>135</v>
      </c>
      <c r="B73" t="s">
        <v>114</v>
      </c>
      <c r="C73" t="s">
        <v>115</v>
      </c>
      <c r="D73" t="s">
        <v>116</v>
      </c>
      <c r="E73" t="s">
        <v>78</v>
      </c>
      <c r="F73">
        <v>20</v>
      </c>
      <c r="G73" s="10">
        <v>46262</v>
      </c>
      <c r="H73" s="10">
        <v>46289</v>
      </c>
    </row>
    <row r="74" spans="1:8">
      <c r="A74" t="s">
        <v>136</v>
      </c>
      <c r="B74" t="s">
        <v>41</v>
      </c>
      <c r="C74" t="s">
        <v>42</v>
      </c>
      <c r="D74" t="s">
        <v>10</v>
      </c>
      <c r="E74" t="s">
        <v>43</v>
      </c>
      <c r="F74">
        <v>10</v>
      </c>
      <c r="G74" s="10">
        <v>46251</v>
      </c>
      <c r="H74" s="10">
        <v>46262</v>
      </c>
    </row>
    <row r="75" spans="1:8">
      <c r="A75" t="s">
        <v>137</v>
      </c>
      <c r="B75" t="s">
        <v>85</v>
      </c>
      <c r="C75" t="s">
        <v>51</v>
      </c>
      <c r="D75" t="s">
        <v>14</v>
      </c>
      <c r="E75" t="s">
        <v>78</v>
      </c>
      <c r="F75">
        <v>20</v>
      </c>
      <c r="G75" s="10">
        <v>46328</v>
      </c>
      <c r="H75" s="10">
        <v>46353</v>
      </c>
    </row>
    <row r="76" spans="1:8">
      <c r="A76" t="s">
        <v>138</v>
      </c>
      <c r="B76" t="s">
        <v>139</v>
      </c>
      <c r="C76" t="s">
        <v>51</v>
      </c>
      <c r="D76" t="s">
        <v>140</v>
      </c>
      <c r="E76" t="s">
        <v>43</v>
      </c>
      <c r="F76">
        <v>10</v>
      </c>
      <c r="G76" s="10">
        <v>46143</v>
      </c>
      <c r="H76" s="10">
        <v>46156</v>
      </c>
    </row>
    <row r="77" spans="1:8">
      <c r="A77" t="s">
        <v>141</v>
      </c>
      <c r="B77" t="s">
        <v>50</v>
      </c>
      <c r="C77" t="s">
        <v>51</v>
      </c>
      <c r="D77" t="s">
        <v>10</v>
      </c>
      <c r="E77" t="s">
        <v>78</v>
      </c>
      <c r="F77">
        <v>20</v>
      </c>
      <c r="G77" s="10">
        <v>46223</v>
      </c>
      <c r="H77" s="10">
        <v>46248</v>
      </c>
    </row>
    <row r="78" spans="1:8">
      <c r="A78" t="s">
        <v>142</v>
      </c>
      <c r="B78" t="s">
        <v>114</v>
      </c>
      <c r="C78" t="s">
        <v>51</v>
      </c>
      <c r="D78" t="s">
        <v>116</v>
      </c>
      <c r="E78" t="s">
        <v>43</v>
      </c>
      <c r="F78">
        <v>10</v>
      </c>
      <c r="G78" s="10">
        <v>46290</v>
      </c>
      <c r="H78" s="10">
        <v>46303</v>
      </c>
    </row>
    <row r="79" spans="1:8">
      <c r="A79" t="s">
        <v>143</v>
      </c>
      <c r="B79" t="s">
        <v>139</v>
      </c>
      <c r="C79" t="s">
        <v>51</v>
      </c>
      <c r="D79" t="s">
        <v>140</v>
      </c>
      <c r="E79" t="s">
        <v>43</v>
      </c>
      <c r="F79">
        <v>10</v>
      </c>
      <c r="G79" s="10">
        <v>46143</v>
      </c>
      <c r="H79" s="10">
        <v>46156</v>
      </c>
    </row>
    <row r="80" spans="1:8">
      <c r="A80" t="s">
        <v>144</v>
      </c>
      <c r="B80" t="s">
        <v>114</v>
      </c>
      <c r="C80" t="s">
        <v>115</v>
      </c>
      <c r="D80" t="s">
        <v>116</v>
      </c>
      <c r="E80" t="s">
        <v>78</v>
      </c>
      <c r="F80">
        <v>20</v>
      </c>
      <c r="G80" s="10">
        <v>46304</v>
      </c>
      <c r="H80" s="10">
        <v>46331</v>
      </c>
    </row>
    <row r="81" spans="1:8">
      <c r="A81" t="s">
        <v>145</v>
      </c>
      <c r="B81" t="s">
        <v>114</v>
      </c>
      <c r="C81" t="s">
        <v>115</v>
      </c>
      <c r="D81" t="s">
        <v>116</v>
      </c>
      <c r="E81" t="s">
        <v>43</v>
      </c>
      <c r="F81">
        <v>10</v>
      </c>
      <c r="G81" s="10">
        <v>46332</v>
      </c>
      <c r="H81" s="10">
        <v>46345</v>
      </c>
    </row>
    <row r="82" spans="1:8">
      <c r="A82" t="s">
        <v>146</v>
      </c>
      <c r="B82" t="s">
        <v>114</v>
      </c>
      <c r="C82" t="s">
        <v>115</v>
      </c>
      <c r="D82" t="s">
        <v>116</v>
      </c>
      <c r="E82" t="s">
        <v>43</v>
      </c>
      <c r="F82">
        <v>10</v>
      </c>
      <c r="G82" s="10">
        <v>46346</v>
      </c>
      <c r="H82" s="10">
        <v>46359</v>
      </c>
    </row>
    <row r="83" spans="1:8">
      <c r="A83" t="s">
        <v>147</v>
      </c>
      <c r="B83" t="s">
        <v>148</v>
      </c>
      <c r="C83" t="s">
        <v>76</v>
      </c>
      <c r="D83" t="s">
        <v>149</v>
      </c>
      <c r="E83" t="s">
        <v>43</v>
      </c>
      <c r="F83">
        <v>10</v>
      </c>
      <c r="G83" s="10">
        <v>46143</v>
      </c>
      <c r="H83" s="10">
        <v>46156</v>
      </c>
    </row>
    <row r="84" spans="1:8">
      <c r="A84" t="s">
        <v>150</v>
      </c>
      <c r="B84" t="s">
        <v>114</v>
      </c>
      <c r="C84" t="s">
        <v>115</v>
      </c>
      <c r="D84" t="s">
        <v>116</v>
      </c>
      <c r="E84" t="s">
        <v>43</v>
      </c>
      <c r="F84">
        <v>10</v>
      </c>
      <c r="G84" s="10">
        <v>46360</v>
      </c>
      <c r="H84" s="10">
        <v>46373</v>
      </c>
    </row>
    <row r="85" spans="1:8">
      <c r="A85" t="s">
        <v>151</v>
      </c>
      <c r="B85" t="s">
        <v>114</v>
      </c>
      <c r="C85" t="s">
        <v>115</v>
      </c>
      <c r="D85" t="s">
        <v>116</v>
      </c>
      <c r="E85" t="s">
        <v>46</v>
      </c>
      <c r="F85">
        <v>5</v>
      </c>
      <c r="G85" s="10">
        <v>46374</v>
      </c>
      <c r="H85" s="10">
        <v>46380</v>
      </c>
    </row>
    <row r="86" spans="1:8">
      <c r="A86" t="s">
        <v>152</v>
      </c>
      <c r="B86" t="s">
        <v>139</v>
      </c>
      <c r="C86" t="s">
        <v>153</v>
      </c>
      <c r="D86" t="s">
        <v>140</v>
      </c>
      <c r="E86" t="s">
        <v>78</v>
      </c>
      <c r="F86">
        <v>20</v>
      </c>
      <c r="G86" s="10">
        <v>46157</v>
      </c>
      <c r="H86" s="10">
        <v>46184</v>
      </c>
    </row>
    <row r="87" spans="1:8">
      <c r="A87" t="s">
        <v>154</v>
      </c>
      <c r="B87" t="s">
        <v>139</v>
      </c>
      <c r="C87" t="s">
        <v>153</v>
      </c>
      <c r="D87" t="s">
        <v>140</v>
      </c>
      <c r="E87" t="s">
        <v>43</v>
      </c>
      <c r="F87">
        <v>10</v>
      </c>
      <c r="G87" s="10">
        <v>46157</v>
      </c>
      <c r="H87" s="10">
        <v>46170</v>
      </c>
    </row>
    <row r="88" spans="1:8">
      <c r="A88" t="s">
        <v>155</v>
      </c>
      <c r="B88" t="s">
        <v>139</v>
      </c>
      <c r="C88" t="s">
        <v>153</v>
      </c>
      <c r="D88" t="s">
        <v>140</v>
      </c>
      <c r="E88" t="s">
        <v>78</v>
      </c>
      <c r="F88">
        <v>20</v>
      </c>
      <c r="G88" s="10">
        <v>46185</v>
      </c>
      <c r="H88" s="10">
        <v>46212</v>
      </c>
    </row>
    <row r="89" spans="1:8">
      <c r="A89" t="s">
        <v>156</v>
      </c>
      <c r="B89" t="s">
        <v>139</v>
      </c>
      <c r="C89" t="s">
        <v>153</v>
      </c>
      <c r="D89" t="s">
        <v>140</v>
      </c>
      <c r="E89" t="s">
        <v>91</v>
      </c>
      <c r="F89">
        <v>2</v>
      </c>
      <c r="G89" s="10">
        <v>46171</v>
      </c>
      <c r="H89" s="10">
        <v>46174</v>
      </c>
    </row>
    <row r="90" spans="1:8">
      <c r="A90" t="s">
        <v>157</v>
      </c>
      <c r="B90" t="s">
        <v>139</v>
      </c>
      <c r="C90" t="s">
        <v>153</v>
      </c>
      <c r="D90" t="s">
        <v>140</v>
      </c>
      <c r="E90" t="s">
        <v>46</v>
      </c>
      <c r="F90">
        <v>5</v>
      </c>
      <c r="G90" s="10">
        <v>46213</v>
      </c>
      <c r="H90" s="10">
        <v>46219</v>
      </c>
    </row>
    <row r="91" spans="1:8">
      <c r="A91" t="s">
        <v>158</v>
      </c>
      <c r="B91" t="s">
        <v>139</v>
      </c>
      <c r="C91" t="s">
        <v>153</v>
      </c>
      <c r="D91" t="s">
        <v>140</v>
      </c>
      <c r="E91" t="s">
        <v>78</v>
      </c>
      <c r="F91">
        <v>20</v>
      </c>
      <c r="G91" s="10">
        <v>46175</v>
      </c>
      <c r="H91" s="10">
        <v>46202</v>
      </c>
    </row>
    <row r="92" spans="1:8">
      <c r="A92" t="s">
        <v>159</v>
      </c>
      <c r="B92" t="s">
        <v>139</v>
      </c>
      <c r="C92" t="s">
        <v>153</v>
      </c>
      <c r="D92" t="s">
        <v>140</v>
      </c>
      <c r="E92" t="s">
        <v>46</v>
      </c>
      <c r="F92">
        <v>5</v>
      </c>
      <c r="G92" s="10">
        <v>46220</v>
      </c>
      <c r="H92" s="10">
        <v>46226</v>
      </c>
    </row>
    <row r="93" spans="1:8">
      <c r="A93" t="s">
        <v>160</v>
      </c>
      <c r="B93" t="s">
        <v>139</v>
      </c>
      <c r="C93" t="s">
        <v>153</v>
      </c>
      <c r="D93" t="s">
        <v>140</v>
      </c>
      <c r="E93" t="s">
        <v>46</v>
      </c>
      <c r="F93">
        <v>5</v>
      </c>
      <c r="G93" s="10">
        <v>46203</v>
      </c>
      <c r="H93" s="10">
        <v>46209</v>
      </c>
    </row>
    <row r="94" spans="1:8">
      <c r="A94" t="s">
        <v>161</v>
      </c>
      <c r="B94" t="s">
        <v>50</v>
      </c>
      <c r="C94" t="s">
        <v>153</v>
      </c>
      <c r="D94" t="s">
        <v>10</v>
      </c>
      <c r="E94" t="s">
        <v>43</v>
      </c>
      <c r="F94">
        <v>10</v>
      </c>
      <c r="G94" s="10">
        <v>46216</v>
      </c>
      <c r="H94" s="10">
        <v>46227</v>
      </c>
    </row>
    <row r="95" spans="1:8">
      <c r="A95" t="s">
        <v>162</v>
      </c>
      <c r="B95" t="s">
        <v>50</v>
      </c>
      <c r="C95" t="s">
        <v>153</v>
      </c>
      <c r="D95" t="s">
        <v>10</v>
      </c>
      <c r="E95" t="s">
        <v>43</v>
      </c>
      <c r="F95">
        <v>10</v>
      </c>
      <c r="G95" s="10">
        <v>46223</v>
      </c>
      <c r="H95" s="10">
        <v>46234</v>
      </c>
    </row>
    <row r="96" spans="1:8">
      <c r="A96" t="s">
        <v>163</v>
      </c>
      <c r="B96" t="s">
        <v>50</v>
      </c>
      <c r="C96" t="s">
        <v>153</v>
      </c>
      <c r="D96" t="s">
        <v>10</v>
      </c>
      <c r="E96" t="s">
        <v>46</v>
      </c>
      <c r="F96">
        <v>5</v>
      </c>
      <c r="G96" s="10">
        <v>46251</v>
      </c>
      <c r="H96" s="10">
        <v>46255</v>
      </c>
    </row>
    <row r="97" spans="1:8">
      <c r="A97" t="s">
        <v>164</v>
      </c>
      <c r="B97" t="s">
        <v>50</v>
      </c>
      <c r="C97" t="s">
        <v>153</v>
      </c>
      <c r="D97" t="s">
        <v>10</v>
      </c>
      <c r="E97" t="s">
        <v>43</v>
      </c>
      <c r="F97">
        <v>10</v>
      </c>
      <c r="G97" s="10">
        <v>46230</v>
      </c>
      <c r="H97" s="10">
        <v>46241</v>
      </c>
    </row>
    <row r="98" spans="1:8">
      <c r="A98" t="s">
        <v>165</v>
      </c>
      <c r="B98" t="s">
        <v>50</v>
      </c>
      <c r="C98" t="s">
        <v>153</v>
      </c>
      <c r="D98" t="s">
        <v>10</v>
      </c>
      <c r="E98" t="s">
        <v>78</v>
      </c>
      <c r="F98">
        <v>20</v>
      </c>
      <c r="G98" s="10">
        <v>46237</v>
      </c>
      <c r="H98" s="10">
        <v>46262</v>
      </c>
    </row>
    <row r="99" spans="1:8">
      <c r="A99" t="s">
        <v>166</v>
      </c>
      <c r="B99" t="s">
        <v>50</v>
      </c>
      <c r="C99" t="s">
        <v>153</v>
      </c>
      <c r="D99" t="s">
        <v>10</v>
      </c>
      <c r="E99" t="s">
        <v>43</v>
      </c>
      <c r="F99">
        <v>10</v>
      </c>
      <c r="G99" s="10">
        <v>46258</v>
      </c>
      <c r="H99" s="10">
        <v>46269</v>
      </c>
    </row>
    <row r="100" spans="1:8">
      <c r="A100" t="s">
        <v>167</v>
      </c>
      <c r="B100" t="s">
        <v>50</v>
      </c>
      <c r="C100" t="s">
        <v>153</v>
      </c>
      <c r="D100" t="s">
        <v>10</v>
      </c>
      <c r="E100" t="s">
        <v>46</v>
      </c>
      <c r="F100">
        <v>5</v>
      </c>
      <c r="G100" s="10">
        <v>46244</v>
      </c>
      <c r="H100" s="10">
        <v>46248</v>
      </c>
    </row>
    <row r="101" spans="1:8">
      <c r="A101" t="s">
        <v>168</v>
      </c>
      <c r="B101" t="s">
        <v>50</v>
      </c>
      <c r="C101" t="s">
        <v>153</v>
      </c>
      <c r="D101" t="s">
        <v>10</v>
      </c>
      <c r="E101" t="s">
        <v>46</v>
      </c>
      <c r="F101">
        <v>5</v>
      </c>
      <c r="G101" s="10">
        <v>46265</v>
      </c>
      <c r="H101" s="10">
        <v>46269</v>
      </c>
    </row>
    <row r="102" spans="1:8">
      <c r="A102" t="s">
        <v>169</v>
      </c>
      <c r="B102" t="s">
        <v>65</v>
      </c>
      <c r="C102" t="s">
        <v>153</v>
      </c>
      <c r="D102" t="s">
        <v>14</v>
      </c>
      <c r="E102" t="s">
        <v>46</v>
      </c>
      <c r="F102">
        <v>5</v>
      </c>
      <c r="G102" s="10">
        <v>46352</v>
      </c>
      <c r="H102" s="10">
        <v>46358</v>
      </c>
    </row>
    <row r="103" spans="1:8">
      <c r="A103" t="s">
        <v>170</v>
      </c>
      <c r="B103" t="s">
        <v>65</v>
      </c>
      <c r="C103" t="s">
        <v>153</v>
      </c>
      <c r="D103" t="s">
        <v>14</v>
      </c>
      <c r="E103" t="s">
        <v>43</v>
      </c>
      <c r="F103">
        <v>10</v>
      </c>
      <c r="G103" s="10">
        <v>46359</v>
      </c>
      <c r="H103" s="10">
        <v>46372</v>
      </c>
    </row>
    <row r="104" spans="1:8">
      <c r="A104" t="s">
        <v>171</v>
      </c>
      <c r="B104" t="s">
        <v>65</v>
      </c>
      <c r="C104" t="s">
        <v>153</v>
      </c>
      <c r="D104" t="s">
        <v>14</v>
      </c>
      <c r="E104" t="s">
        <v>78</v>
      </c>
      <c r="F104">
        <v>20</v>
      </c>
      <c r="G104" s="10">
        <v>46359</v>
      </c>
      <c r="H104" s="10">
        <v>46386</v>
      </c>
    </row>
    <row r="105" spans="1:8">
      <c r="A105" t="s">
        <v>172</v>
      </c>
      <c r="B105" t="s">
        <v>65</v>
      </c>
      <c r="C105" t="s">
        <v>153</v>
      </c>
      <c r="D105" t="s">
        <v>14</v>
      </c>
      <c r="E105" t="s">
        <v>43</v>
      </c>
      <c r="F105">
        <v>10</v>
      </c>
      <c r="G105" s="10">
        <v>46373</v>
      </c>
      <c r="H105" s="10">
        <v>46386</v>
      </c>
    </row>
    <row r="106" spans="1:8">
      <c r="A106" t="s">
        <v>173</v>
      </c>
      <c r="B106" t="s">
        <v>65</v>
      </c>
      <c r="C106" t="s">
        <v>153</v>
      </c>
      <c r="D106" t="s">
        <v>14</v>
      </c>
      <c r="E106" t="s">
        <v>46</v>
      </c>
      <c r="F106">
        <v>5</v>
      </c>
      <c r="G106" s="10">
        <v>46387</v>
      </c>
      <c r="H106" s="10">
        <v>46393</v>
      </c>
    </row>
    <row r="107" spans="1:8">
      <c r="A107" t="s">
        <v>174</v>
      </c>
      <c r="B107" t="s">
        <v>65</v>
      </c>
      <c r="C107" t="s">
        <v>153</v>
      </c>
      <c r="D107" t="s">
        <v>14</v>
      </c>
      <c r="E107" t="s">
        <v>46</v>
      </c>
      <c r="F107">
        <v>5</v>
      </c>
      <c r="G107" s="10">
        <v>46387</v>
      </c>
      <c r="H107" s="10">
        <v>46393</v>
      </c>
    </row>
    <row r="108" spans="1:8">
      <c r="A108" t="s">
        <v>175</v>
      </c>
      <c r="B108" t="s">
        <v>85</v>
      </c>
      <c r="C108" t="s">
        <v>153</v>
      </c>
      <c r="D108" t="s">
        <v>14</v>
      </c>
      <c r="E108" t="s">
        <v>43</v>
      </c>
      <c r="F108">
        <v>10</v>
      </c>
      <c r="G108" s="10">
        <v>46366</v>
      </c>
      <c r="H108" s="10">
        <v>46379</v>
      </c>
    </row>
    <row r="109" spans="1:8">
      <c r="A109" t="s">
        <v>176</v>
      </c>
      <c r="B109" t="s">
        <v>85</v>
      </c>
      <c r="C109" t="s">
        <v>153</v>
      </c>
      <c r="D109" t="s">
        <v>14</v>
      </c>
      <c r="E109" t="s">
        <v>43</v>
      </c>
      <c r="F109">
        <v>10</v>
      </c>
      <c r="G109" s="10">
        <v>46356</v>
      </c>
      <c r="H109" s="10">
        <v>46367</v>
      </c>
    </row>
    <row r="110" spans="1:8">
      <c r="A110" t="s">
        <v>177</v>
      </c>
      <c r="B110" t="s">
        <v>85</v>
      </c>
      <c r="C110" t="s">
        <v>153</v>
      </c>
      <c r="D110" t="s">
        <v>14</v>
      </c>
      <c r="E110" t="s">
        <v>43</v>
      </c>
      <c r="F110">
        <v>10</v>
      </c>
      <c r="G110" s="10">
        <v>46380</v>
      </c>
      <c r="H110" s="10">
        <v>46393</v>
      </c>
    </row>
    <row r="111" spans="1:8">
      <c r="A111" t="s">
        <v>178</v>
      </c>
      <c r="B111" t="s">
        <v>85</v>
      </c>
      <c r="C111" t="s">
        <v>153</v>
      </c>
      <c r="D111" t="s">
        <v>14</v>
      </c>
      <c r="E111" t="s">
        <v>43</v>
      </c>
      <c r="F111">
        <v>10</v>
      </c>
      <c r="G111" s="10">
        <v>46370</v>
      </c>
      <c r="H111" s="10">
        <v>46381</v>
      </c>
    </row>
    <row r="112" spans="1:8">
      <c r="A112" t="s">
        <v>179</v>
      </c>
      <c r="B112" t="s">
        <v>85</v>
      </c>
      <c r="C112" t="s">
        <v>153</v>
      </c>
      <c r="D112" t="s">
        <v>14</v>
      </c>
      <c r="E112" t="s">
        <v>46</v>
      </c>
      <c r="F112">
        <v>5</v>
      </c>
      <c r="G112" s="10">
        <v>46394</v>
      </c>
      <c r="H112" s="10">
        <v>46400</v>
      </c>
    </row>
    <row r="113" spans="1:8">
      <c r="A113" t="s">
        <v>180</v>
      </c>
      <c r="B113" t="s">
        <v>85</v>
      </c>
      <c r="C113" t="s">
        <v>153</v>
      </c>
      <c r="D113" t="s">
        <v>14</v>
      </c>
      <c r="E113" t="s">
        <v>46</v>
      </c>
      <c r="F113">
        <v>5</v>
      </c>
      <c r="G113" s="10">
        <v>46384</v>
      </c>
      <c r="H113" s="10">
        <v>46388</v>
      </c>
    </row>
    <row r="114" spans="1:8">
      <c r="A114" t="s">
        <v>181</v>
      </c>
      <c r="B114" t="s">
        <v>94</v>
      </c>
      <c r="C114" t="s">
        <v>153</v>
      </c>
      <c r="D114" t="s">
        <v>95</v>
      </c>
      <c r="E114" t="s">
        <v>43</v>
      </c>
      <c r="F114">
        <v>10</v>
      </c>
      <c r="G114" s="10"/>
      <c r="H114" s="10"/>
    </row>
    <row r="115" spans="1:8">
      <c r="A115" t="s">
        <v>182</v>
      </c>
      <c r="B115" t="s">
        <v>94</v>
      </c>
      <c r="C115" t="s">
        <v>153</v>
      </c>
      <c r="D115" t="s">
        <v>95</v>
      </c>
      <c r="E115" t="s">
        <v>78</v>
      </c>
      <c r="F115">
        <v>20</v>
      </c>
      <c r="G115" s="10"/>
      <c r="H115" s="10"/>
    </row>
    <row r="116" spans="1:8">
      <c r="A116" t="s">
        <v>183</v>
      </c>
      <c r="B116" t="s">
        <v>100</v>
      </c>
      <c r="C116" t="s">
        <v>153</v>
      </c>
      <c r="D116" t="s">
        <v>20</v>
      </c>
      <c r="E116" t="s">
        <v>78</v>
      </c>
      <c r="F116">
        <v>20</v>
      </c>
      <c r="G116" s="10">
        <v>46461</v>
      </c>
      <c r="H116" s="10">
        <v>46486</v>
      </c>
    </row>
    <row r="117" spans="1:8">
      <c r="A117" t="s">
        <v>184</v>
      </c>
      <c r="B117" t="s">
        <v>100</v>
      </c>
      <c r="C117" t="s">
        <v>153</v>
      </c>
      <c r="D117" t="s">
        <v>20</v>
      </c>
      <c r="E117" t="s">
        <v>46</v>
      </c>
      <c r="F117">
        <v>5</v>
      </c>
      <c r="G117" s="10">
        <v>46468</v>
      </c>
      <c r="H117" s="10">
        <v>46472</v>
      </c>
    </row>
    <row r="118" spans="1:8">
      <c r="A118" t="s">
        <v>185</v>
      </c>
      <c r="B118" t="s">
        <v>100</v>
      </c>
      <c r="C118" t="s">
        <v>153</v>
      </c>
      <c r="D118" t="s">
        <v>20</v>
      </c>
      <c r="E118" t="s">
        <v>91</v>
      </c>
      <c r="F118">
        <v>2</v>
      </c>
      <c r="G118" s="10">
        <v>46489</v>
      </c>
      <c r="H118" s="10">
        <v>46490</v>
      </c>
    </row>
    <row r="119" spans="1:8">
      <c r="A119" t="s">
        <v>186</v>
      </c>
      <c r="B119" t="s">
        <v>100</v>
      </c>
      <c r="C119" t="s">
        <v>153</v>
      </c>
      <c r="D119" t="s">
        <v>20</v>
      </c>
      <c r="E119" t="s">
        <v>43</v>
      </c>
      <c r="F119">
        <v>10</v>
      </c>
      <c r="G119" s="10">
        <v>46475</v>
      </c>
      <c r="H119" s="10">
        <v>46486</v>
      </c>
    </row>
    <row r="120" spans="1:8">
      <c r="A120" t="s">
        <v>187</v>
      </c>
      <c r="B120" t="s">
        <v>100</v>
      </c>
      <c r="C120" t="s">
        <v>153</v>
      </c>
      <c r="D120" t="s">
        <v>20</v>
      </c>
      <c r="E120" t="s">
        <v>78</v>
      </c>
      <c r="F120">
        <v>20</v>
      </c>
      <c r="G120" s="10">
        <v>46491</v>
      </c>
      <c r="H120" s="10">
        <v>46518</v>
      </c>
    </row>
    <row r="121" spans="1:8">
      <c r="A121" t="s">
        <v>188</v>
      </c>
      <c r="B121" t="s">
        <v>189</v>
      </c>
      <c r="C121" t="s">
        <v>153</v>
      </c>
      <c r="D121" t="s">
        <v>190</v>
      </c>
      <c r="E121" t="s">
        <v>91</v>
      </c>
      <c r="F121">
        <v>2</v>
      </c>
      <c r="G121" s="10"/>
      <c r="H121" s="10"/>
    </row>
    <row r="122" spans="1:8">
      <c r="A122" t="s">
        <v>191</v>
      </c>
      <c r="B122" t="s">
        <v>189</v>
      </c>
      <c r="C122" t="s">
        <v>153</v>
      </c>
      <c r="D122" t="s">
        <v>190</v>
      </c>
      <c r="E122" t="s">
        <v>78</v>
      </c>
      <c r="F122">
        <v>20</v>
      </c>
      <c r="G122" s="10"/>
      <c r="H122" s="10"/>
    </row>
    <row r="123" spans="1:8">
      <c r="A123" t="s">
        <v>192</v>
      </c>
      <c r="B123" t="s">
        <v>139</v>
      </c>
      <c r="C123" t="s">
        <v>153</v>
      </c>
      <c r="D123" t="s">
        <v>140</v>
      </c>
      <c r="E123" t="s">
        <v>46</v>
      </c>
      <c r="F123">
        <v>5</v>
      </c>
      <c r="G123" s="10">
        <v>46227</v>
      </c>
      <c r="H123" s="10">
        <v>46233</v>
      </c>
    </row>
    <row r="124" spans="1:8">
      <c r="A124" t="s">
        <v>193</v>
      </c>
      <c r="B124" t="s">
        <v>139</v>
      </c>
      <c r="C124" t="s">
        <v>153</v>
      </c>
      <c r="D124" t="s">
        <v>140</v>
      </c>
      <c r="E124" t="s">
        <v>43</v>
      </c>
      <c r="F124">
        <v>10</v>
      </c>
      <c r="G124" s="10">
        <v>46210</v>
      </c>
      <c r="H124" s="10">
        <v>46223</v>
      </c>
    </row>
    <row r="125" spans="1:8">
      <c r="A125" t="s">
        <v>194</v>
      </c>
      <c r="B125" t="s">
        <v>114</v>
      </c>
      <c r="C125" t="s">
        <v>115</v>
      </c>
      <c r="D125" t="s">
        <v>116</v>
      </c>
      <c r="E125" t="s">
        <v>78</v>
      </c>
      <c r="F125">
        <v>20</v>
      </c>
      <c r="G125" s="10">
        <v>46381</v>
      </c>
      <c r="H125" s="10">
        <v>46408</v>
      </c>
    </row>
    <row r="126" spans="1:8">
      <c r="A126" t="s">
        <v>195</v>
      </c>
      <c r="B126" t="s">
        <v>114</v>
      </c>
      <c r="C126" t="s">
        <v>115</v>
      </c>
      <c r="D126" t="s">
        <v>116</v>
      </c>
      <c r="E126" t="s">
        <v>43</v>
      </c>
      <c r="F126">
        <v>10</v>
      </c>
      <c r="G126" s="10">
        <v>46409</v>
      </c>
      <c r="H126" s="10">
        <v>46422</v>
      </c>
    </row>
    <row r="127" spans="1:8">
      <c r="A127" t="s">
        <v>196</v>
      </c>
      <c r="B127" t="s">
        <v>121</v>
      </c>
      <c r="C127" t="s">
        <v>122</v>
      </c>
      <c r="D127" t="s">
        <v>123</v>
      </c>
      <c r="E127" t="s">
        <v>43</v>
      </c>
      <c r="F127">
        <v>10</v>
      </c>
      <c r="G127" s="10">
        <v>46199</v>
      </c>
      <c r="H127" s="10">
        <v>46212</v>
      </c>
    </row>
    <row r="128" spans="1:8">
      <c r="A128" t="s">
        <v>197</v>
      </c>
      <c r="B128" t="s">
        <v>128</v>
      </c>
      <c r="C128" t="s">
        <v>129</v>
      </c>
      <c r="D128" t="s">
        <v>116</v>
      </c>
      <c r="E128" t="s">
        <v>43</v>
      </c>
      <c r="F128">
        <v>10</v>
      </c>
      <c r="G128" s="10">
        <v>46185</v>
      </c>
      <c r="H128" s="10">
        <v>46198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2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6" customWidth="1"/>
    <col min="2" max="2" width="26" customWidth="1"/>
    <col min="3" max="3" width="34" customWidth="1"/>
    <col min="4" max="4" width="12" customWidth="1"/>
    <col min="5" max="6" width="14" customWidth="1"/>
    <col min="7" max="8" width="15" customWidth="1"/>
  </cols>
  <sheetData>
    <row r="1" spans="1:8" ht="27.75" customHeight="1">
      <c r="A1" s="3" t="s">
        <v>198</v>
      </c>
      <c r="B1" s="3"/>
      <c r="C1" s="3"/>
      <c r="D1" s="3"/>
      <c r="E1" s="3"/>
      <c r="F1" s="3"/>
      <c r="G1" s="3"/>
      <c r="H1" s="3"/>
    </row>
    <row r="2" spans="1:8" ht="15" customHeight="1">
      <c r="A2" s="2" t="s">
        <v>199</v>
      </c>
      <c r="B2" s="2"/>
      <c r="C2" s="2"/>
      <c r="D2" s="2"/>
      <c r="E2" s="2"/>
      <c r="F2" s="2"/>
      <c r="G2" s="2"/>
      <c r="H2" s="2"/>
    </row>
    <row r="4" spans="1:8" ht="31.5" customHeight="1">
      <c r="A4" s="4" t="s">
        <v>35</v>
      </c>
      <c r="B4" s="4" t="s">
        <v>200</v>
      </c>
      <c r="C4" s="4" t="s">
        <v>201</v>
      </c>
      <c r="D4" s="4" t="s">
        <v>202</v>
      </c>
      <c r="E4" s="4" t="s">
        <v>203</v>
      </c>
      <c r="F4" s="4" t="s">
        <v>204</v>
      </c>
      <c r="G4" s="4" t="s">
        <v>205</v>
      </c>
      <c r="H4" s="4" t="s">
        <v>206</v>
      </c>
    </row>
    <row r="5" spans="1:8">
      <c r="A5" s="5" t="s">
        <v>10</v>
      </c>
      <c r="B5" s="11" t="s">
        <v>41</v>
      </c>
      <c r="C5" s="11" t="s">
        <v>42</v>
      </c>
      <c r="D5" s="6">
        <f>COUNTIFS(Detalle!$D:$D,$A5,Detalle!$B:$B,$B5)</f>
        <v>10</v>
      </c>
      <c r="E5" s="6">
        <f>SUMIFS(Detalle!$F:$F,Detalle!$D:$D,$A5,Detalle!$B:$B,$B5)</f>
        <v>105</v>
      </c>
      <c r="F5" s="6">
        <f>ROUNDUP(E5*(1+0.3),0)</f>
        <v>137</v>
      </c>
      <c r="G5" s="12">
        <f>IF(COUNTIFS(Detalle!$G:$G,"&lt;&gt;",Detalle!$D:$D,$A5,Detalle!$B:$B,$B5)=0,"—",_xlfn.MINIFS(Detalle!$G:$G,Detalle!$D:$D,$A5,Detalle!$B:$B,$B5))</f>
        <v>46174</v>
      </c>
      <c r="H5" s="12">
        <f>IF(COUNTIFS(Detalle!$G:$G,"&lt;&gt;",Detalle!$D:$D,$A5,Detalle!$B:$B,$B5)=0,"—",_xlfn.MAXIFS(Detalle!$H:$H,Detalle!$D:$D,$A5,Detalle!$B:$B,$B5))</f>
        <v>46262</v>
      </c>
    </row>
    <row r="6" spans="1:8" ht="23.85">
      <c r="A6" s="7" t="s">
        <v>10</v>
      </c>
      <c r="B6" s="13" t="s">
        <v>50</v>
      </c>
      <c r="C6" s="13" t="s">
        <v>207</v>
      </c>
      <c r="D6" s="8">
        <f>COUNTIFS(Detalle!$D:$D,$A6,Detalle!$B:$B,$B6)</f>
        <v>22</v>
      </c>
      <c r="E6" s="8">
        <f>SUMIFS(Detalle!$F:$F,Detalle!$D:$D,$A6,Detalle!$B:$B,$B6)</f>
        <v>195</v>
      </c>
      <c r="F6" s="8">
        <f>ROUNDUP(E6*(1+0.3),0)</f>
        <v>254</v>
      </c>
      <c r="G6" s="14">
        <f>IF(COUNTIFS(Detalle!$G:$G,"&lt;&gt;",Detalle!$D:$D,$A6,Detalle!$B:$B,$B6)=0,"—",_xlfn.MINIFS(Detalle!$G:$G,Detalle!$D:$D,$A6,Detalle!$B:$B,$B6))</f>
        <v>46174</v>
      </c>
      <c r="H6" s="14">
        <f>IF(COUNTIFS(Detalle!$G:$G,"&lt;&gt;",Detalle!$D:$D,$A6,Detalle!$B:$B,$B6)=0,"—",_xlfn.MAXIFS(Detalle!$H:$H,Detalle!$D:$D,$A6,Detalle!$B:$B,$B6))</f>
        <v>46269</v>
      </c>
    </row>
    <row r="7" spans="1:8" ht="23.85" hidden="1">
      <c r="A7" s="5" t="s">
        <v>14</v>
      </c>
      <c r="B7" s="11" t="s">
        <v>85</v>
      </c>
      <c r="C7" s="11" t="s">
        <v>207</v>
      </c>
      <c r="D7" s="6">
        <f>COUNTIFS(Detalle!$D:$D,$A7,Detalle!$B:$B,$B7)</f>
        <v>14</v>
      </c>
      <c r="E7" s="6">
        <f>SUMIFS(Detalle!$F:$F,Detalle!$D:$D,$A7,Detalle!$B:$B,$B7)</f>
        <v>142</v>
      </c>
      <c r="F7" s="6">
        <f>ROUNDUP(E7*(1+0.3),0)</f>
        <v>185</v>
      </c>
      <c r="G7" s="12">
        <f>IF(COUNTIFS(Detalle!$G:$G,"&lt;&gt;",Detalle!$D:$D,$A7,Detalle!$B:$B,$B7)=0,"—",_xlfn.MINIFS(Detalle!$G:$G,Detalle!$D:$D,$A7,Detalle!$B:$B,$B7))</f>
        <v>46296</v>
      </c>
      <c r="H7" s="12">
        <f>IF(COUNTIFS(Detalle!$G:$G,"&lt;&gt;",Detalle!$D:$D,$A7,Detalle!$B:$B,$B7)=0,"—",_xlfn.MAXIFS(Detalle!$H:$H,Detalle!$D:$D,$A7,Detalle!$B:$B,$B7))</f>
        <v>46400</v>
      </c>
    </row>
    <row r="8" spans="1:8" ht="23.85" hidden="1">
      <c r="A8" s="7" t="s">
        <v>14</v>
      </c>
      <c r="B8" s="13" t="s">
        <v>65</v>
      </c>
      <c r="C8" s="13" t="s">
        <v>207</v>
      </c>
      <c r="D8" s="8">
        <f>COUNTIFS(Detalle!$D:$D,$A8,Detalle!$B:$B,$B8)</f>
        <v>15</v>
      </c>
      <c r="E8" s="8">
        <f>SUMIFS(Detalle!$F:$F,Detalle!$D:$D,$A8,Detalle!$B:$B,$B8)</f>
        <v>140</v>
      </c>
      <c r="F8" s="8">
        <f>ROUNDUP(E8*(1+0.3),0)</f>
        <v>182</v>
      </c>
      <c r="G8" s="14">
        <f>IF(COUNTIFS(Detalle!$G:$G,"&lt;&gt;",Detalle!$D:$D,$A8,Detalle!$B:$B,$B8)=0,"—",_xlfn.MINIFS(Detalle!$G:$G,Detalle!$D:$D,$A8,Detalle!$B:$B,$B8))</f>
        <v>46296</v>
      </c>
      <c r="H8" s="14">
        <f>IF(COUNTIFS(Detalle!$G:$G,"&lt;&gt;",Detalle!$D:$D,$A8,Detalle!$B:$B,$B8)=0,"—",_xlfn.MAXIFS(Detalle!$H:$H,Detalle!$D:$D,$A8,Detalle!$B:$B,$B8))</f>
        <v>46393</v>
      </c>
    </row>
    <row r="9" spans="1:8" ht="23.85" hidden="1">
      <c r="A9" s="5" t="s">
        <v>20</v>
      </c>
      <c r="B9" s="11" t="s">
        <v>100</v>
      </c>
      <c r="C9" s="11" t="s">
        <v>207</v>
      </c>
      <c r="D9" s="6">
        <f>COUNTIFS(Detalle!$D:$D,$A9,Detalle!$B:$B,$B9)</f>
        <v>14</v>
      </c>
      <c r="E9" s="6">
        <f>SUMIFS(Detalle!$F:$F,Detalle!$D:$D,$A9,Detalle!$B:$B,$B9)</f>
        <v>122</v>
      </c>
      <c r="F9" s="6">
        <f>ROUNDUP(E9*(1+0.3),0)</f>
        <v>159</v>
      </c>
      <c r="G9" s="12">
        <f>IF(COUNTIFS(Detalle!$G:$G,"&lt;&gt;",Detalle!$D:$D,$A9,Detalle!$B:$B,$B9)=0,"—",_xlfn.MINIFS(Detalle!$G:$G,Detalle!$D:$D,$A9,Detalle!$B:$B,$B9))</f>
        <v>46419</v>
      </c>
      <c r="H9" s="12">
        <f>IF(COUNTIFS(Detalle!$G:$G,"&lt;&gt;",Detalle!$D:$D,$A9,Detalle!$B:$B,$B9)=0,"—",_xlfn.MAXIFS(Detalle!$H:$H,Detalle!$D:$D,$A9,Detalle!$B:$B,$B9))</f>
        <v>46518</v>
      </c>
    </row>
    <row r="10" spans="1:8" ht="23.85">
      <c r="A10" s="7" t="s">
        <v>116</v>
      </c>
      <c r="B10" s="13" t="s">
        <v>128</v>
      </c>
      <c r="C10" s="13" t="s">
        <v>129</v>
      </c>
      <c r="D10" s="8">
        <f>COUNTIFS(Detalle!$D:$D,$A10,Detalle!$B:$B,$B10)</f>
        <v>4</v>
      </c>
      <c r="E10" s="8">
        <f>SUMIFS(Detalle!$F:$F,Detalle!$D:$D,$A10,Detalle!$B:$B,$B10)</f>
        <v>40</v>
      </c>
      <c r="F10" s="8">
        <f>ROUNDUP(E10*(1+0.3),0)</f>
        <v>52</v>
      </c>
      <c r="G10" s="14">
        <f>IF(COUNTIFS(Detalle!$G:$G,"&lt;&gt;",Detalle!$D:$D,$A10,Detalle!$B:$B,$B10)=0,"—",_xlfn.MINIFS(Detalle!$G:$G,Detalle!$D:$D,$A10,Detalle!$B:$B,$B10))</f>
        <v>46143</v>
      </c>
      <c r="H10" s="14">
        <f>IF(COUNTIFS(Detalle!$G:$G,"&lt;&gt;",Detalle!$D:$D,$A10,Detalle!$B:$B,$B10)=0,"—",_xlfn.MAXIFS(Detalle!$H:$H,Detalle!$D:$D,$A10,Detalle!$B:$B,$B10))</f>
        <v>46198</v>
      </c>
    </row>
    <row r="11" spans="1:8" ht="23.85">
      <c r="A11" s="5" t="s">
        <v>116</v>
      </c>
      <c r="B11" s="11" t="s">
        <v>114</v>
      </c>
      <c r="C11" s="11" t="s">
        <v>208</v>
      </c>
      <c r="D11" s="6">
        <f>COUNTIFS(Detalle!$D:$D,$A11,Detalle!$B:$B,$B11)</f>
        <v>16</v>
      </c>
      <c r="E11" s="6">
        <f>SUMIFS(Detalle!$F:$F,Detalle!$D:$D,$A11,Detalle!$B:$B,$B11)</f>
        <v>200</v>
      </c>
      <c r="F11" s="6">
        <f>ROUNDUP(E11*(1+0.3),0)</f>
        <v>260</v>
      </c>
      <c r="G11" s="12">
        <f>IF(COUNTIFS(Detalle!$G:$G,"&lt;&gt;",Detalle!$D:$D,$A11,Detalle!$B:$B,$B11)=0,"—",_xlfn.MINIFS(Detalle!$G:$G,Detalle!$D:$D,$A11,Detalle!$B:$B,$B11))</f>
        <v>46143</v>
      </c>
      <c r="H11" s="12">
        <f>IF(COUNTIFS(Detalle!$G:$G,"&lt;&gt;",Detalle!$D:$D,$A11,Detalle!$B:$B,$B11)=0,"—",_xlfn.MAXIFS(Detalle!$H:$H,Detalle!$D:$D,$A11,Detalle!$B:$B,$B11))</f>
        <v>46422</v>
      </c>
    </row>
    <row r="12" spans="1:8" ht="23.85">
      <c r="A12" s="7" t="s">
        <v>123</v>
      </c>
      <c r="B12" s="13" t="s">
        <v>121</v>
      </c>
      <c r="C12" s="13" t="s">
        <v>122</v>
      </c>
      <c r="D12" s="8">
        <f>COUNTIFS(Detalle!$D:$D,$A12,Detalle!$B:$B,$B12)</f>
        <v>5</v>
      </c>
      <c r="E12" s="8">
        <f>SUMIFS(Detalle!$F:$F,Detalle!$D:$D,$A12,Detalle!$B:$B,$B12)</f>
        <v>50</v>
      </c>
      <c r="F12" s="8">
        <f>ROUNDUP(E12*(1+0.3),0)</f>
        <v>65</v>
      </c>
      <c r="G12" s="14">
        <f>IF(COUNTIFS(Detalle!$G:$G,"&lt;&gt;",Detalle!$D:$D,$A12,Detalle!$B:$B,$B12)=0,"—",_xlfn.MINIFS(Detalle!$G:$G,Detalle!$D:$D,$A12,Detalle!$B:$B,$B12))</f>
        <v>46143</v>
      </c>
      <c r="H12" s="14">
        <f>IF(COUNTIFS(Detalle!$G:$G,"&lt;&gt;",Detalle!$D:$D,$A12,Detalle!$B:$B,$B12)=0,"—",_xlfn.MAXIFS(Detalle!$H:$H,Detalle!$D:$D,$A12,Detalle!$B:$B,$B12))</f>
        <v>46212</v>
      </c>
    </row>
    <row r="13" spans="1:8" hidden="1">
      <c r="A13" s="5" t="s">
        <v>149</v>
      </c>
      <c r="B13" s="11" t="s">
        <v>148</v>
      </c>
      <c r="C13" s="11" t="s">
        <v>76</v>
      </c>
      <c r="D13" s="6">
        <f>COUNTIFS(Detalle!$D:$D,$A13,Detalle!$B:$B,$B13)</f>
        <v>1</v>
      </c>
      <c r="E13" s="6">
        <f>SUMIFS(Detalle!$F:$F,Detalle!$D:$D,$A13,Detalle!$B:$B,$B13)</f>
        <v>10</v>
      </c>
      <c r="F13" s="6">
        <f>ROUNDUP(E13*(1+0.3),0)</f>
        <v>13</v>
      </c>
      <c r="G13" s="12">
        <f>IF(COUNTIFS(Detalle!$G:$G,"&lt;&gt;",Detalle!$D:$D,$A13,Detalle!$B:$B,$B13)=0,"—",_xlfn.MINIFS(Detalle!$G:$G,Detalle!$D:$D,$A13,Detalle!$B:$B,$B13))</f>
        <v>46143</v>
      </c>
      <c r="H13" s="12">
        <f>IF(COUNTIFS(Detalle!$G:$G,"&lt;&gt;",Detalle!$D:$D,$A13,Detalle!$B:$B,$B13)=0,"—",_xlfn.MAXIFS(Detalle!$H:$H,Detalle!$D:$D,$A13,Detalle!$B:$B,$B13))</f>
        <v>46156</v>
      </c>
    </row>
    <row r="14" spans="1:8" ht="23.85" hidden="1">
      <c r="A14" s="7" t="s">
        <v>140</v>
      </c>
      <c r="B14" s="13" t="s">
        <v>139</v>
      </c>
      <c r="C14" s="13" t="s">
        <v>207</v>
      </c>
      <c r="D14" s="8">
        <f>COUNTIFS(Detalle!$D:$D,$A14,Detalle!$B:$B,$B14)</f>
        <v>12</v>
      </c>
      <c r="E14" s="8">
        <f>SUMIFS(Detalle!$F:$F,Detalle!$D:$D,$A14,Detalle!$B:$B,$B14)</f>
        <v>122</v>
      </c>
      <c r="F14" s="8">
        <f>ROUNDUP(E14*(1+0.3),0)</f>
        <v>159</v>
      </c>
      <c r="G14" s="14">
        <f>IF(COUNTIFS(Detalle!$G:$G,"&lt;&gt;",Detalle!$D:$D,$A14,Detalle!$B:$B,$B14)=0,"—",_xlfn.MINIFS(Detalle!$G:$G,Detalle!$D:$D,$A14,Detalle!$B:$B,$B14))</f>
        <v>46143</v>
      </c>
      <c r="H14" s="14">
        <f>IF(COUNTIFS(Detalle!$G:$G,"&lt;&gt;",Detalle!$D:$D,$A14,Detalle!$B:$B,$B14)=0,"—",_xlfn.MAXIFS(Detalle!$H:$H,Detalle!$D:$D,$A14,Detalle!$B:$B,$B14))</f>
        <v>46233</v>
      </c>
    </row>
    <row r="15" spans="1:8" ht="46.35" hidden="1">
      <c r="A15" s="5" t="s">
        <v>77</v>
      </c>
      <c r="B15" s="11" t="s">
        <v>75</v>
      </c>
      <c r="C15" s="11" t="s">
        <v>76</v>
      </c>
      <c r="D15" s="6">
        <f>COUNTIFS(Detalle!$D:$D,$A15,Detalle!$B:$B,$B15)</f>
        <v>6</v>
      </c>
      <c r="E15" s="6">
        <f>SUMIFS(Detalle!$F:$F,Detalle!$D:$D,$A15,Detalle!$B:$B,$B15)</f>
        <v>65</v>
      </c>
      <c r="F15" s="6">
        <f>ROUNDUP(E15*(1+0.3),0)</f>
        <v>85</v>
      </c>
      <c r="G15" s="12" t="str">
        <f>IF(COUNTIFS(Detalle!$G:$G,"&lt;&gt;",Detalle!$D:$D,$A15,Detalle!$B:$B,$B15)=0,"—",_xlfn.MINIFS(Detalle!$G:$G,Detalle!$D:$D,$A15,Detalle!$B:$B,$B15))</f>
        <v>—</v>
      </c>
      <c r="H15" s="12" t="str">
        <f>IF(COUNTIFS(Detalle!$G:$G,"&lt;&gt;",Detalle!$D:$D,$A15,Detalle!$B:$B,$B15)=0,"—",_xlfn.MAXIFS(Detalle!$H:$H,Detalle!$D:$D,$A15,Detalle!$B:$B,$B15))</f>
        <v>—</v>
      </c>
    </row>
    <row r="16" spans="1:8" ht="35.1" hidden="1">
      <c r="A16" s="7" t="s">
        <v>95</v>
      </c>
      <c r="B16" s="13" t="s">
        <v>94</v>
      </c>
      <c r="C16" s="13" t="s">
        <v>207</v>
      </c>
      <c r="D16" s="8">
        <f>COUNTIFS(Detalle!$D:$D,$A16,Detalle!$B:$B,$B16)</f>
        <v>6</v>
      </c>
      <c r="E16" s="8">
        <f>SUMIFS(Detalle!$F:$F,Detalle!$D:$D,$A16,Detalle!$B:$B,$B16)</f>
        <v>70</v>
      </c>
      <c r="F16" s="8">
        <f>ROUNDUP(E16*(1+0.3),0)</f>
        <v>91</v>
      </c>
      <c r="G16" s="14" t="str">
        <f>IF(COUNTIFS(Detalle!$G:$G,"&lt;&gt;",Detalle!$D:$D,$A16,Detalle!$B:$B,$B16)=0,"—",_xlfn.MINIFS(Detalle!$G:$G,Detalle!$D:$D,$A16,Detalle!$B:$B,$B16))</f>
        <v>—</v>
      </c>
      <c r="H16" s="14" t="str">
        <f>IF(COUNTIFS(Detalle!$G:$G,"&lt;&gt;",Detalle!$D:$D,$A16,Detalle!$B:$B,$B16)=0,"—",_xlfn.MAXIFS(Detalle!$H:$H,Detalle!$D:$D,$A16,Detalle!$B:$B,$B16))</f>
        <v>—</v>
      </c>
    </row>
    <row r="17" spans="1:8" ht="23.85" hidden="1">
      <c r="A17" s="5" t="s">
        <v>190</v>
      </c>
      <c r="B17" s="11" t="s">
        <v>189</v>
      </c>
      <c r="C17" s="11" t="s">
        <v>153</v>
      </c>
      <c r="D17" s="6">
        <f>COUNTIFS(Detalle!$D:$D,$A17,Detalle!$B:$B,$B17)</f>
        <v>2</v>
      </c>
      <c r="E17" s="6">
        <f>SUMIFS(Detalle!$F:$F,Detalle!$D:$D,$A17,Detalle!$B:$B,$B17)</f>
        <v>22</v>
      </c>
      <c r="F17" s="6">
        <f>ROUNDUP(E17*(1+0.3),0)</f>
        <v>29</v>
      </c>
      <c r="G17" s="12" t="str">
        <f>IF(COUNTIFS(Detalle!$G:$G,"&lt;&gt;",Detalle!$D:$D,$A17,Detalle!$B:$B,$B17)=0,"—",_xlfn.MINIFS(Detalle!$G:$G,Detalle!$D:$D,$A17,Detalle!$B:$B,$B17))</f>
        <v>—</v>
      </c>
      <c r="H17" s="12" t="str">
        <f>IF(COUNTIFS(Detalle!$G:$G,"&lt;&gt;",Detalle!$D:$D,$A17,Detalle!$B:$B,$B17)=0,"—",_xlfn.MAXIFS(Detalle!$H:$H,Detalle!$D:$D,$A17,Detalle!$B:$B,$B17))</f>
        <v>—</v>
      </c>
    </row>
    <row r="19" spans="1:8">
      <c r="A19" s="22" t="s">
        <v>30</v>
      </c>
      <c r="B19" s="22"/>
      <c r="C19" s="22"/>
      <c r="D19" s="22"/>
      <c r="E19" s="22"/>
      <c r="F19" s="22"/>
      <c r="G19" s="22"/>
      <c r="H19" s="22"/>
    </row>
    <row r="20" spans="1:8" ht="25.5" customHeight="1">
      <c r="A20" s="1" t="s">
        <v>209</v>
      </c>
      <c r="B20" s="1"/>
      <c r="C20" s="1"/>
      <c r="D20" s="1"/>
      <c r="E20" s="1"/>
      <c r="F20" s="1"/>
      <c r="G20" s="1"/>
      <c r="H20" s="1"/>
    </row>
    <row r="21" spans="1:8" ht="25.5" customHeight="1">
      <c r="A21" s="1" t="s">
        <v>210</v>
      </c>
      <c r="B21" s="1"/>
      <c r="C21" s="1"/>
      <c r="D21" s="1"/>
      <c r="E21" s="1"/>
      <c r="F21" s="1"/>
      <c r="G21" s="1"/>
      <c r="H21" s="1"/>
    </row>
  </sheetData>
  <autoFilter ref="A4:H17" xr:uid="{00000000-0009-0000-0000-000002000000}">
    <filterColumn colId="0">
      <filters>
        <filter val="Paralelo (Release 1-2)"/>
        <filter val="Paralelo (Release 1-3)"/>
        <filter val="Release 1"/>
      </filters>
    </filterColumn>
  </autoFilter>
  <mergeCells count="5">
    <mergeCell ref="A1:H1"/>
    <mergeCell ref="A2:H2"/>
    <mergeCell ref="A19:H19"/>
    <mergeCell ref="A20:H20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6" customWidth="1"/>
    <col min="2" max="2" width="40" customWidth="1"/>
    <col min="3" max="16" width="7" customWidth="1"/>
  </cols>
  <sheetData>
    <row r="1" spans="1:16" ht="27.75" customHeight="1">
      <c r="A1" s="3" t="s">
        <v>211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 customHeight="1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1.75" customHeight="1">
      <c r="A4" s="4" t="s">
        <v>35</v>
      </c>
      <c r="B4" s="4" t="s">
        <v>3</v>
      </c>
      <c r="C4" s="4" t="s">
        <v>213</v>
      </c>
      <c r="D4" s="4" t="s">
        <v>214</v>
      </c>
      <c r="E4" s="4" t="s">
        <v>215</v>
      </c>
      <c r="F4" s="4" t="s">
        <v>216</v>
      </c>
      <c r="G4" s="4" t="s">
        <v>217</v>
      </c>
      <c r="H4" s="4" t="s">
        <v>218</v>
      </c>
      <c r="I4" s="4" t="s">
        <v>219</v>
      </c>
      <c r="J4" s="4" t="s">
        <v>220</v>
      </c>
      <c r="K4" s="4" t="s">
        <v>221</v>
      </c>
      <c r="L4" s="4" t="s">
        <v>222</v>
      </c>
      <c r="M4" s="4" t="s">
        <v>223</v>
      </c>
      <c r="N4" s="4" t="s">
        <v>224</v>
      </c>
      <c r="O4" s="4" t="s">
        <v>225</v>
      </c>
      <c r="P4" s="4" t="s">
        <v>226</v>
      </c>
    </row>
    <row r="5" spans="1:16" ht="30" customHeight="1">
      <c r="A5" s="5" t="s">
        <v>6</v>
      </c>
      <c r="B5" s="11" t="s">
        <v>7</v>
      </c>
      <c r="C5" s="15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30" customHeight="1">
      <c r="A6" s="5" t="s">
        <v>10</v>
      </c>
      <c r="B6" s="11" t="s">
        <v>227</v>
      </c>
      <c r="C6" s="16"/>
      <c r="D6" s="17"/>
      <c r="E6" s="17"/>
      <c r="F6" s="17"/>
      <c r="G6" s="17"/>
      <c r="H6" s="17"/>
      <c r="I6" s="16"/>
      <c r="J6" s="16"/>
      <c r="K6" s="16"/>
      <c r="L6" s="16"/>
      <c r="M6" s="16"/>
      <c r="N6" s="16"/>
      <c r="O6" s="16"/>
      <c r="P6" s="16"/>
    </row>
    <row r="7" spans="1:16" ht="30" customHeight="1">
      <c r="A7" s="5" t="s">
        <v>14</v>
      </c>
      <c r="B7" s="11" t="s">
        <v>228</v>
      </c>
      <c r="C7" s="16"/>
      <c r="D7" s="16"/>
      <c r="E7" s="16"/>
      <c r="F7" s="16"/>
      <c r="G7" s="16"/>
      <c r="H7" s="18"/>
      <c r="I7" s="18"/>
      <c r="J7" s="18"/>
      <c r="K7" s="18"/>
      <c r="L7" s="18"/>
      <c r="M7" s="16"/>
      <c r="N7" s="16"/>
      <c r="O7" s="16"/>
      <c r="P7" s="16"/>
    </row>
    <row r="8" spans="1:16" ht="30" customHeight="1">
      <c r="A8" s="5" t="s">
        <v>20</v>
      </c>
      <c r="B8" s="11" t="s">
        <v>229</v>
      </c>
      <c r="C8" s="16"/>
      <c r="D8" s="16"/>
      <c r="E8" s="16"/>
      <c r="F8" s="16"/>
      <c r="G8" s="16"/>
      <c r="H8" s="16"/>
      <c r="I8" s="16"/>
      <c r="J8" s="16"/>
      <c r="K8" s="16"/>
      <c r="L8" s="19"/>
      <c r="M8" s="19"/>
      <c r="N8" s="19"/>
      <c r="O8" s="16"/>
      <c r="P8" s="16"/>
    </row>
    <row r="9" spans="1:16" ht="30" customHeight="1">
      <c r="A9" s="5" t="s">
        <v>24</v>
      </c>
      <c r="B9" s="11" t="s">
        <v>25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20"/>
      <c r="O9" s="20"/>
      <c r="P9" s="16"/>
    </row>
    <row r="10" spans="1:16" ht="30" customHeight="1">
      <c r="A10" s="5" t="s">
        <v>27</v>
      </c>
      <c r="B10" s="11" t="s">
        <v>230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21"/>
      <c r="P10" s="21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AA8EBBCEF2844A9B051D1D60C88C6" ma:contentTypeVersion="10" ma:contentTypeDescription="Create a new document." ma:contentTypeScope="" ma:versionID="3011dbba48b3e1e102b997825f2c98a1">
  <xsd:schema xmlns:xsd="http://www.w3.org/2001/XMLSchema" xmlns:xs="http://www.w3.org/2001/XMLSchema" xmlns:p="http://schemas.microsoft.com/office/2006/metadata/properties" xmlns:ns2="4f9e87d6-5750-4e07-becc-f2730daff795" xmlns:ns3="a865ec6b-9dbd-47d6-9cc4-ec1251a1d263" targetNamespace="http://schemas.microsoft.com/office/2006/metadata/properties" ma:root="true" ma:fieldsID="dc4574c4ed263a836f76786307723324" ns2:_="" ns3:_="">
    <xsd:import namespace="4f9e87d6-5750-4e07-becc-f2730daff795"/>
    <xsd:import namespace="a865ec6b-9dbd-47d6-9cc4-ec1251a1d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e87d6-5750-4e07-becc-f2730daff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5ec6b-9dbd-47d6-9cc4-ec1251a1d2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b2d698-78fc-4815-85ef-2329ac5789f4}" ma:internalName="TaxCatchAll" ma:showField="CatchAllData" ma:web="a865ec6b-9dbd-47d6-9cc4-ec1251a1d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65ec6b-9dbd-47d6-9cc4-ec1251a1d263" xsi:nil="true"/>
    <lcf76f155ced4ddcb4097134ff3c332f xmlns="4f9e87d6-5750-4e07-becc-f2730daff7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4B4512-2030-4AFD-8CA8-A2FFED51293C}"/>
</file>

<file path=customXml/itemProps2.xml><?xml version="1.0" encoding="utf-8"?>
<ds:datastoreItem xmlns:ds="http://schemas.openxmlformats.org/officeDocument/2006/customXml" ds:itemID="{B5E7A2FB-6AF0-49A8-8CF6-B1D5F05936C7}"/>
</file>

<file path=customXml/itemProps3.xml><?xml version="1.0" encoding="utf-8"?>
<ds:datastoreItem xmlns:ds="http://schemas.openxmlformats.org/officeDocument/2006/customXml" ds:itemID="{9ECC72CC-E6AD-4489-9A3E-184FA92086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Vanessa Roldan Muñoz</cp:lastModifiedBy>
  <cp:revision>0</cp:revision>
  <dcterms:created xsi:type="dcterms:W3CDTF">2026-08-26T02:35:49Z</dcterms:created>
  <dcterms:modified xsi:type="dcterms:W3CDTF">2026-08-26T13:49:37Z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0x010100228AA8EBBCEF2844A9B051D1D60C88C6</vt:lpwstr>
  </property>
  <property fmtid="{D5CDD505-2E9C-101B-9397-08002B2CF9AE}" pid="3" name="MediaServiceImageTags">
    <vt:lpwstr/>
  </property>
</Properties>
</file>