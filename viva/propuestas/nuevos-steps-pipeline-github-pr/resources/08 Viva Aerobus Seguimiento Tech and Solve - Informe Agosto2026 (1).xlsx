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filterPrivacy="1" hidePivotFieldList="1"/>
  <xr:revisionPtr revIDLastSave="0" documentId="8_{B7856DEB-04D1-4752-AD86-1BCCEEE4E460}" xr6:coauthVersionLast="47" xr6:coauthVersionMax="47" xr10:uidLastSave="{00000000-0000-0000-0000-000000000000}"/>
  <bookViews>
    <workbookView xWindow="-110" yWindow="-110" windowWidth="19420" windowHeight="10300" firstSheet="7" activeTab="7" xr2:uid="{A22C7B05-6B0A-4116-A99A-60EDDEA67682}"/>
  </bookViews>
  <sheets>
    <sheet name="Gestión de Riesgos" sheetId="2" state="hidden" r:id="rId1"/>
    <sheet name="Histórico" sheetId="8" state="hidden" r:id="rId2"/>
    <sheet name="Histórico1" sheetId="6" state="hidden" r:id="rId3"/>
    <sheet name="Bugs" sheetId="7" state="hidden" r:id="rId4"/>
    <sheet name="Historico_Jonathan" sheetId="3" state="hidden" r:id="rId5"/>
    <sheet name="Reporte" sheetId="14" state="hidden" r:id="rId6"/>
    <sheet name="Hoja1" sheetId="15" state="hidden" r:id="rId7"/>
    <sheet name="Seguimiento Mes" sheetId="1" r:id="rId8"/>
    <sheet name="Hoja2" sheetId="16" state="hidden" r:id="rId9"/>
    <sheet name="BD" sheetId="17" r:id="rId10"/>
  </sheets>
  <definedNames>
    <definedName name="_xlnm._FilterDatabase" localSheetId="1" hidden="1">Histórico!$A$1:$AF$52</definedName>
    <definedName name="_xlnm._FilterDatabase" localSheetId="4" hidden="1">Historico_Jonathan!$A$1:$L$1</definedName>
    <definedName name="_xlnm._FilterDatabase" localSheetId="2" hidden="1">Histórico1!$A$1:$AF$1</definedName>
    <definedName name="_xlnm._FilterDatabase" localSheetId="7" hidden="1">'Seguimiento Mes'!$A$1:$AJ$512</definedName>
  </definedNames>
  <calcPr calcId="191028"/>
  <pivotCaches>
    <pivotCache cacheId="28" r:id="rId11"/>
    <pivotCache cacheId="112"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2" i="1"/>
  <c r="I514" i="1"/>
  <c r="I515" i="1"/>
  <c r="I516" i="1"/>
  <c r="I517" i="1"/>
  <c r="I518" i="1"/>
  <c r="I513" i="1"/>
  <c r="I506" i="1"/>
  <c r="I484" i="1"/>
  <c r="I483" i="1"/>
  <c r="I379" i="1"/>
  <c r="I332" i="1"/>
  <c r="I323" i="1"/>
  <c r="I322" i="1"/>
  <c r="I315" i="1"/>
  <c r="I310" i="1"/>
  <c r="I215" i="1"/>
  <c r="I214" i="1"/>
  <c r="I213" i="1"/>
  <c r="I212" i="1"/>
  <c r="I211" i="1"/>
  <c r="I210" i="1"/>
  <c r="I209" i="1"/>
  <c r="I208" i="1"/>
  <c r="I207" i="1"/>
  <c r="I206" i="1"/>
  <c r="I197" i="1"/>
  <c r="I196" i="1"/>
  <c r="I195" i="1"/>
  <c r="I194" i="1"/>
  <c r="I193" i="1"/>
  <c r="I192" i="1"/>
  <c r="I191" i="1"/>
  <c r="I190" i="1"/>
  <c r="I187" i="1"/>
  <c r="I173" i="1"/>
  <c r="I169" i="1"/>
  <c r="I168" i="1"/>
  <c r="I155" i="1"/>
  <c r="I154" i="1"/>
  <c r="I153" i="1"/>
  <c r="I152" i="1"/>
  <c r="I122" i="1"/>
  <c r="H122" i="1"/>
  <c r="I328" i="1"/>
  <c r="I334" i="1"/>
  <c r="I333" i="1"/>
  <c r="I331" i="1"/>
  <c r="I330" i="1"/>
  <c r="I329" i="1"/>
  <c r="I327" i="1"/>
  <c r="I326" i="1"/>
  <c r="I325" i="1"/>
  <c r="I324" i="1"/>
  <c r="G152" i="1"/>
  <c r="I189" i="1"/>
  <c r="I186" i="1"/>
  <c r="I172" i="1"/>
  <c r="I167" i="1"/>
  <c r="I170" i="1"/>
  <c r="I171" i="1"/>
  <c r="I174" i="1"/>
  <c r="I175" i="1"/>
  <c r="I176" i="1"/>
  <c r="I177" i="1"/>
  <c r="I178" i="1"/>
  <c r="I179" i="1"/>
  <c r="I180" i="1"/>
  <c r="I181" i="1"/>
  <c r="I182" i="1"/>
  <c r="I183" i="1"/>
  <c r="I184" i="1"/>
  <c r="I185" i="1"/>
  <c r="I188" i="1"/>
  <c r="I166" i="1"/>
  <c r="I512" i="1"/>
  <c r="I511" i="1"/>
  <c r="I510" i="1"/>
  <c r="I509" i="1"/>
  <c r="I508" i="1"/>
  <c r="I507" i="1"/>
  <c r="I482" i="1"/>
  <c r="I409"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80" i="1"/>
  <c r="I381" i="1"/>
  <c r="I382" i="1"/>
  <c r="I335" i="1"/>
  <c r="I151" i="1"/>
  <c r="I150" i="1"/>
  <c r="I149" i="1"/>
  <c r="I321" i="1"/>
  <c r="I320" i="1"/>
  <c r="I319" i="1"/>
  <c r="I318" i="1"/>
  <c r="I317" i="1"/>
  <c r="I205" i="1"/>
  <c r="I204" i="1"/>
  <c r="I203" i="1"/>
  <c r="I200" i="1"/>
  <c r="I201" i="1"/>
  <c r="I202" i="1"/>
  <c r="I504" i="1"/>
  <c r="I503" i="1"/>
  <c r="I502" i="1"/>
  <c r="I501" i="1"/>
  <c r="I500" i="1"/>
  <c r="I499" i="1"/>
  <c r="I498" i="1"/>
  <c r="I497" i="1"/>
  <c r="I505" i="1"/>
  <c r="I316" i="1"/>
  <c r="I314" i="1"/>
  <c r="I313" i="1"/>
  <c r="I312" i="1"/>
  <c r="I311" i="1"/>
  <c r="I114" i="1"/>
  <c r="I97" i="1"/>
  <c r="I98" i="1"/>
  <c r="I99" i="1"/>
  <c r="I100" i="1"/>
  <c r="I101" i="1"/>
  <c r="I102" i="1"/>
  <c r="I103" i="1"/>
  <c r="I104" i="1"/>
  <c r="I105" i="1"/>
  <c r="I106" i="1"/>
  <c r="I107" i="1"/>
  <c r="I110" i="1"/>
  <c r="I111" i="1"/>
  <c r="I112" i="1"/>
  <c r="I113" i="1"/>
  <c r="I115" i="1"/>
  <c r="I116" i="1"/>
  <c r="I117" i="1"/>
  <c r="I118" i="1"/>
  <c r="I119" i="1"/>
  <c r="I120" i="1"/>
  <c r="I121"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56" i="1"/>
  <c r="I157" i="1"/>
  <c r="I158" i="1"/>
  <c r="I159" i="1"/>
  <c r="I160" i="1"/>
  <c r="I161" i="1"/>
  <c r="I162" i="1"/>
  <c r="I163" i="1"/>
  <c r="I164" i="1"/>
  <c r="I165" i="1"/>
  <c r="I198" i="1"/>
  <c r="I199"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5" i="1"/>
  <c r="I486" i="1"/>
  <c r="I487" i="1"/>
  <c r="I488" i="1"/>
  <c r="I489" i="1"/>
  <c r="I490" i="1"/>
  <c r="I491" i="1"/>
  <c r="I492" i="1"/>
  <c r="I493" i="1"/>
  <c r="I494" i="1"/>
  <c r="I495" i="1"/>
  <c r="I49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3" i="1"/>
  <c r="I54" i="1"/>
  <c r="I55" i="1"/>
  <c r="I56" i="1"/>
  <c r="I57" i="1"/>
  <c r="I58" i="1"/>
  <c r="I59" i="1"/>
  <c r="I60" i="1"/>
  <c r="I61" i="1"/>
  <c r="I62" i="1"/>
  <c r="I63" i="1"/>
  <c r="I64" i="1"/>
  <c r="I65" i="1"/>
  <c r="I66" i="1"/>
  <c r="I67" i="1"/>
  <c r="I68" i="1"/>
  <c r="I69" i="1"/>
  <c r="I70" i="1"/>
  <c r="I71" i="1"/>
  <c r="I72" i="1"/>
  <c r="I73" i="1"/>
  <c r="I74" i="1"/>
  <c r="I75" i="1"/>
  <c r="I76" i="1"/>
  <c r="I77" i="1"/>
  <c r="I79" i="1"/>
  <c r="I80" i="1"/>
  <c r="I81" i="1"/>
  <c r="I82" i="1"/>
  <c r="I83" i="1"/>
  <c r="I85" i="1"/>
  <c r="I86" i="1"/>
  <c r="I87" i="1"/>
  <c r="I88" i="1"/>
  <c r="I89" i="1"/>
  <c r="I90" i="1"/>
  <c r="I91" i="1"/>
  <c r="I92" i="1"/>
  <c r="I93" i="1"/>
  <c r="I94" i="1"/>
  <c r="I95" i="1"/>
  <c r="I96" i="1"/>
  <c r="I2" i="1"/>
  <c r="J2" i="1"/>
  <c r="G6" i="1"/>
  <c r="G5" i="1"/>
  <c r="G223" i="1"/>
  <c r="G405" i="1"/>
  <c r="G404" i="1"/>
  <c r="G347" i="1"/>
  <c r="G232" i="1"/>
  <c r="G107" i="1"/>
  <c r="G83" i="1"/>
  <c r="C65" i="8"/>
  <c r="C62" i="8"/>
  <c r="C61" i="8"/>
  <c r="C60" i="8"/>
  <c r="C64" i="8"/>
  <c r="C63" i="8"/>
  <c r="K4" i="7"/>
  <c r="L4" i="7" s="1"/>
  <c r="I2" i="7"/>
  <c r="C60" i="6"/>
  <c r="C59" i="6"/>
  <c r="C61" i="6"/>
  <c r="C64" i="6"/>
  <c r="C63" i="6"/>
  <c r="C62" i="6"/>
  <c r="Q7" i="3"/>
  <c r="Q10" i="3"/>
  <c r="Q6" i="3"/>
  <c r="Q9" i="3"/>
  <c r="Q5" i="3"/>
  <c r="Q11" i="3"/>
  <c r="R94" i="2"/>
  <c r="Q94" i="2"/>
  <c r="P94" i="2"/>
  <c r="J94" i="2"/>
  <c r="I94" i="2"/>
  <c r="H94" i="2"/>
  <c r="R93" i="2"/>
  <c r="Q93" i="2"/>
  <c r="P93" i="2"/>
  <c r="J93" i="2"/>
  <c r="I93" i="2"/>
  <c r="H93" i="2"/>
  <c r="R92" i="2"/>
  <c r="Q92" i="2"/>
  <c r="P92" i="2"/>
  <c r="J92" i="2"/>
  <c r="I92" i="2"/>
  <c r="H92" i="2"/>
  <c r="R91" i="2"/>
  <c r="Q91" i="2"/>
  <c r="P91" i="2"/>
  <c r="J91" i="2"/>
  <c r="I91" i="2"/>
  <c r="H91" i="2"/>
  <c r="R90" i="2"/>
  <c r="Q90" i="2"/>
  <c r="P90" i="2"/>
  <c r="J90" i="2"/>
  <c r="I90" i="2"/>
  <c r="H90" i="2"/>
  <c r="R89" i="2"/>
  <c r="Q89" i="2"/>
  <c r="P89" i="2"/>
  <c r="J89" i="2"/>
  <c r="I89" i="2"/>
  <c r="H89" i="2"/>
  <c r="R88" i="2"/>
  <c r="Q88" i="2"/>
  <c r="P88" i="2"/>
  <c r="J88" i="2"/>
  <c r="I88" i="2"/>
  <c r="H88" i="2"/>
  <c r="R87" i="2"/>
  <c r="Q87" i="2"/>
  <c r="P87" i="2"/>
  <c r="J87" i="2"/>
  <c r="I87" i="2"/>
  <c r="H87" i="2"/>
  <c r="R86" i="2"/>
  <c r="Q86" i="2"/>
  <c r="P86" i="2"/>
  <c r="J86" i="2"/>
  <c r="I86" i="2"/>
  <c r="H86" i="2"/>
  <c r="R85" i="2"/>
  <c r="Q85" i="2"/>
  <c r="P85" i="2"/>
  <c r="J85" i="2"/>
  <c r="I85" i="2"/>
  <c r="H85" i="2"/>
  <c r="R84" i="2"/>
  <c r="Q84" i="2"/>
  <c r="P84" i="2"/>
  <c r="J84" i="2"/>
  <c r="I84" i="2"/>
  <c r="H84" i="2"/>
  <c r="R83" i="2"/>
  <c r="Q83" i="2"/>
  <c r="P83" i="2"/>
  <c r="J83" i="2"/>
  <c r="I83" i="2"/>
  <c r="H83" i="2"/>
  <c r="R82" i="2"/>
  <c r="Q82" i="2"/>
  <c r="P82" i="2"/>
  <c r="J82" i="2"/>
  <c r="I82" i="2"/>
  <c r="H82" i="2"/>
  <c r="R81" i="2"/>
  <c r="Q81" i="2"/>
  <c r="P81" i="2"/>
  <c r="J81" i="2"/>
  <c r="I81" i="2"/>
  <c r="H81" i="2"/>
  <c r="R80" i="2"/>
  <c r="Q80" i="2"/>
  <c r="P80" i="2"/>
  <c r="J80" i="2"/>
  <c r="I80" i="2"/>
  <c r="H80" i="2"/>
  <c r="R79" i="2"/>
  <c r="Q79" i="2"/>
  <c r="P79" i="2"/>
  <c r="J79" i="2"/>
  <c r="I79" i="2"/>
  <c r="H79" i="2"/>
  <c r="R78" i="2"/>
  <c r="Q78" i="2"/>
  <c r="P78" i="2"/>
  <c r="J78" i="2"/>
  <c r="I78" i="2"/>
  <c r="H78" i="2"/>
  <c r="R77" i="2"/>
  <c r="Q77" i="2"/>
  <c r="P77" i="2"/>
  <c r="J77" i="2"/>
  <c r="I77" i="2"/>
  <c r="H77" i="2"/>
  <c r="R76" i="2"/>
  <c r="Q76" i="2"/>
  <c r="P76" i="2"/>
  <c r="J76" i="2"/>
  <c r="I76" i="2"/>
  <c r="H76" i="2"/>
  <c r="R75" i="2"/>
  <c r="Q75" i="2"/>
  <c r="P75" i="2"/>
  <c r="J75" i="2"/>
  <c r="I75" i="2"/>
  <c r="H75" i="2"/>
  <c r="R74" i="2"/>
  <c r="Q74" i="2"/>
  <c r="P74" i="2"/>
  <c r="J74" i="2"/>
  <c r="I74" i="2"/>
  <c r="H74" i="2"/>
  <c r="R73" i="2"/>
  <c r="Q73" i="2"/>
  <c r="P73" i="2"/>
  <c r="J73" i="2"/>
  <c r="I73" i="2"/>
  <c r="H73" i="2"/>
  <c r="R72" i="2"/>
  <c r="Q72" i="2"/>
  <c r="P72" i="2"/>
  <c r="J72" i="2"/>
  <c r="I72" i="2"/>
  <c r="H72" i="2"/>
  <c r="R71" i="2"/>
  <c r="Q71" i="2"/>
  <c r="P71" i="2"/>
  <c r="J71" i="2"/>
  <c r="I71" i="2"/>
  <c r="H71" i="2"/>
  <c r="R70" i="2"/>
  <c r="Q70" i="2"/>
  <c r="P70" i="2"/>
  <c r="J70" i="2"/>
  <c r="I70" i="2"/>
  <c r="H70" i="2"/>
  <c r="R69" i="2"/>
  <c r="Q69" i="2"/>
  <c r="P69" i="2"/>
  <c r="J69" i="2"/>
  <c r="I69" i="2"/>
  <c r="H69" i="2"/>
  <c r="R68" i="2"/>
  <c r="Q68" i="2"/>
  <c r="P68" i="2"/>
  <c r="J68" i="2"/>
  <c r="I68" i="2"/>
  <c r="H68" i="2"/>
  <c r="R67" i="2"/>
  <c r="Q67" i="2"/>
  <c r="P67" i="2"/>
  <c r="J67" i="2"/>
  <c r="I67" i="2"/>
  <c r="H67" i="2"/>
  <c r="R66" i="2"/>
  <c r="Q66" i="2"/>
  <c r="P66" i="2"/>
  <c r="J66" i="2"/>
  <c r="I66" i="2"/>
  <c r="H66" i="2"/>
  <c r="R65" i="2"/>
  <c r="Q65" i="2"/>
  <c r="P65" i="2"/>
  <c r="J65" i="2"/>
  <c r="I65" i="2"/>
  <c r="H65" i="2"/>
  <c r="R64" i="2"/>
  <c r="Q64" i="2"/>
  <c r="P64" i="2"/>
  <c r="J64" i="2"/>
  <c r="I64" i="2"/>
  <c r="H64" i="2"/>
  <c r="R63" i="2"/>
  <c r="Q63" i="2"/>
  <c r="P63" i="2"/>
  <c r="J63" i="2"/>
  <c r="I63" i="2"/>
  <c r="H63" i="2"/>
  <c r="R62" i="2"/>
  <c r="Q62" i="2"/>
  <c r="P62" i="2"/>
  <c r="J62" i="2"/>
  <c r="I62" i="2"/>
  <c r="H62" i="2"/>
  <c r="R61" i="2"/>
  <c r="Q61" i="2"/>
  <c r="P61" i="2"/>
  <c r="J61" i="2"/>
  <c r="I61" i="2"/>
  <c r="H61" i="2"/>
  <c r="R60" i="2"/>
  <c r="Q60" i="2"/>
  <c r="P60" i="2"/>
  <c r="J60" i="2"/>
  <c r="I60" i="2"/>
  <c r="H60" i="2"/>
  <c r="R59" i="2"/>
  <c r="Q59" i="2"/>
  <c r="P59" i="2"/>
  <c r="J59" i="2"/>
  <c r="I59" i="2"/>
  <c r="H59" i="2"/>
  <c r="R58" i="2"/>
  <c r="Q58" i="2"/>
  <c r="P58" i="2"/>
  <c r="J58" i="2"/>
  <c r="I58" i="2"/>
  <c r="H58" i="2"/>
  <c r="R57" i="2"/>
  <c r="Q57" i="2"/>
  <c r="P57" i="2"/>
  <c r="J57" i="2"/>
  <c r="I57" i="2"/>
  <c r="H57" i="2"/>
  <c r="R56" i="2"/>
  <c r="Q56" i="2"/>
  <c r="P56" i="2"/>
  <c r="J56" i="2"/>
  <c r="I56" i="2"/>
  <c r="H56" i="2"/>
  <c r="R55" i="2"/>
  <c r="Q55" i="2"/>
  <c r="P55" i="2"/>
  <c r="J55" i="2"/>
  <c r="I55" i="2"/>
  <c r="H55" i="2"/>
  <c r="R54" i="2"/>
  <c r="Q54" i="2"/>
  <c r="P54" i="2"/>
  <c r="J54" i="2"/>
  <c r="I54" i="2"/>
  <c r="H54" i="2"/>
  <c r="R53" i="2"/>
  <c r="Q53" i="2"/>
  <c r="P53" i="2"/>
  <c r="J53" i="2"/>
  <c r="I53" i="2"/>
  <c r="H53" i="2"/>
  <c r="R52" i="2"/>
  <c r="Q52" i="2"/>
  <c r="P52" i="2"/>
  <c r="J52" i="2"/>
  <c r="I52" i="2"/>
  <c r="H52" i="2"/>
  <c r="R51" i="2"/>
  <c r="Q51" i="2"/>
  <c r="P51" i="2"/>
  <c r="J51" i="2"/>
  <c r="I51" i="2"/>
  <c r="H51" i="2"/>
  <c r="R50" i="2"/>
  <c r="Q50" i="2"/>
  <c r="P50" i="2"/>
  <c r="J50" i="2"/>
  <c r="I50" i="2"/>
  <c r="H50" i="2"/>
  <c r="R49" i="2"/>
  <c r="Q49" i="2"/>
  <c r="P49" i="2"/>
  <c r="J49" i="2"/>
  <c r="I49" i="2"/>
  <c r="H49" i="2"/>
  <c r="R48" i="2"/>
  <c r="Q48" i="2"/>
  <c r="P48" i="2"/>
  <c r="J48" i="2"/>
  <c r="I48" i="2"/>
  <c r="H48" i="2"/>
  <c r="R47" i="2"/>
  <c r="Q47" i="2"/>
  <c r="P47" i="2"/>
  <c r="J47" i="2"/>
  <c r="I47" i="2"/>
  <c r="H47" i="2"/>
  <c r="R46" i="2"/>
  <c r="Q46" i="2"/>
  <c r="P46" i="2"/>
  <c r="J46" i="2"/>
  <c r="I46" i="2"/>
  <c r="H46" i="2"/>
  <c r="R45" i="2"/>
  <c r="Q45" i="2"/>
  <c r="P45" i="2"/>
  <c r="J45" i="2"/>
  <c r="I45" i="2"/>
  <c r="H45" i="2"/>
  <c r="R44" i="2"/>
  <c r="Q44" i="2"/>
  <c r="P44" i="2"/>
  <c r="J44" i="2"/>
  <c r="I44" i="2"/>
  <c r="H44" i="2"/>
  <c r="R43" i="2"/>
  <c r="Q43" i="2"/>
  <c r="P43" i="2"/>
  <c r="J43" i="2"/>
  <c r="I43" i="2"/>
  <c r="H43" i="2"/>
  <c r="R42" i="2"/>
  <c r="Q42" i="2"/>
  <c r="P42" i="2"/>
  <c r="J42" i="2"/>
  <c r="I42" i="2"/>
  <c r="H42" i="2"/>
  <c r="R41" i="2"/>
  <c r="Q41" i="2"/>
  <c r="P41" i="2"/>
  <c r="J41" i="2"/>
  <c r="I41" i="2"/>
  <c r="H41" i="2"/>
  <c r="R40" i="2"/>
  <c r="Q40" i="2"/>
  <c r="P40" i="2"/>
  <c r="J40" i="2"/>
  <c r="I40" i="2"/>
  <c r="H40" i="2"/>
  <c r="R39" i="2"/>
  <c r="Q39" i="2"/>
  <c r="P39" i="2"/>
  <c r="J39" i="2"/>
  <c r="I39" i="2"/>
  <c r="H39" i="2"/>
  <c r="R38" i="2"/>
  <c r="Q38" i="2"/>
  <c r="P38" i="2"/>
  <c r="J38" i="2"/>
  <c r="I38" i="2"/>
  <c r="H38" i="2"/>
  <c r="R37" i="2"/>
  <c r="Q37" i="2"/>
  <c r="P37" i="2"/>
  <c r="J37" i="2"/>
  <c r="I37" i="2"/>
  <c r="H37" i="2"/>
  <c r="R36" i="2"/>
  <c r="Q36" i="2"/>
  <c r="P36" i="2"/>
  <c r="J36" i="2"/>
  <c r="I36" i="2"/>
  <c r="H36" i="2"/>
  <c r="R35" i="2"/>
  <c r="Q35" i="2"/>
  <c r="P35" i="2"/>
  <c r="J35" i="2"/>
  <c r="I35" i="2"/>
  <c r="H35" i="2"/>
  <c r="R34" i="2"/>
  <c r="Q34" i="2"/>
  <c r="P34" i="2"/>
  <c r="J34" i="2"/>
  <c r="I34" i="2"/>
  <c r="H34" i="2"/>
  <c r="R33" i="2"/>
  <c r="Q33" i="2"/>
  <c r="P33" i="2"/>
  <c r="J33" i="2"/>
  <c r="I33" i="2"/>
  <c r="H33" i="2"/>
  <c r="R32" i="2"/>
  <c r="Q32" i="2"/>
  <c r="P32" i="2"/>
  <c r="J32" i="2"/>
  <c r="I32" i="2"/>
  <c r="H32" i="2"/>
  <c r="R31" i="2"/>
  <c r="Q31" i="2"/>
  <c r="P31" i="2"/>
  <c r="J31" i="2"/>
  <c r="I31" i="2"/>
  <c r="H31" i="2"/>
  <c r="R30" i="2"/>
  <c r="Q30" i="2"/>
  <c r="P30" i="2"/>
  <c r="J30" i="2"/>
  <c r="I30" i="2"/>
  <c r="H30" i="2"/>
  <c r="R29" i="2"/>
  <c r="Q29" i="2"/>
  <c r="P29" i="2"/>
  <c r="J29" i="2"/>
  <c r="I29" i="2"/>
  <c r="H29" i="2"/>
  <c r="R28" i="2"/>
  <c r="Q28" i="2"/>
  <c r="P28" i="2"/>
  <c r="J28" i="2"/>
  <c r="I28" i="2"/>
  <c r="H28" i="2"/>
  <c r="R27" i="2"/>
  <c r="Q27" i="2"/>
  <c r="P27" i="2"/>
  <c r="J27" i="2"/>
  <c r="I27" i="2"/>
  <c r="H27" i="2"/>
  <c r="R26" i="2"/>
  <c r="Q26" i="2"/>
  <c r="P26" i="2"/>
  <c r="J26" i="2"/>
  <c r="I26" i="2"/>
  <c r="H26" i="2"/>
  <c r="R25" i="2"/>
  <c r="Q25" i="2"/>
  <c r="P25" i="2"/>
  <c r="J25" i="2"/>
  <c r="I25" i="2"/>
  <c r="H25" i="2"/>
  <c r="R24" i="2"/>
  <c r="Q24" i="2"/>
  <c r="P24" i="2"/>
  <c r="J24" i="2"/>
  <c r="I24" i="2"/>
  <c r="H24" i="2"/>
  <c r="R23" i="2"/>
  <c r="Q23" i="2"/>
  <c r="P23" i="2"/>
  <c r="J23" i="2"/>
  <c r="I23" i="2"/>
  <c r="H23" i="2"/>
  <c r="R22" i="2"/>
  <c r="Q22" i="2"/>
  <c r="P22" i="2"/>
  <c r="J22" i="2"/>
  <c r="I22" i="2"/>
  <c r="H22" i="2"/>
  <c r="R21" i="2"/>
  <c r="Q21" i="2"/>
  <c r="P21" i="2"/>
  <c r="J21" i="2"/>
  <c r="I21" i="2"/>
  <c r="H21" i="2"/>
  <c r="R20" i="2"/>
  <c r="Q20" i="2"/>
  <c r="P20" i="2"/>
  <c r="J20" i="2"/>
  <c r="I20" i="2"/>
  <c r="H20" i="2"/>
  <c r="R19" i="2"/>
  <c r="Q19" i="2"/>
  <c r="P19" i="2"/>
  <c r="J19" i="2"/>
  <c r="I19" i="2"/>
  <c r="H19" i="2"/>
  <c r="R18" i="2"/>
  <c r="Q18" i="2"/>
  <c r="P18" i="2"/>
  <c r="J18" i="2"/>
  <c r="I18" i="2"/>
  <c r="H18" i="2"/>
  <c r="R17" i="2"/>
  <c r="Q17" i="2"/>
  <c r="P17" i="2"/>
  <c r="J17" i="2"/>
  <c r="I17" i="2"/>
  <c r="H17" i="2"/>
  <c r="R16" i="2"/>
  <c r="Q16" i="2"/>
  <c r="P16" i="2"/>
  <c r="J16" i="2"/>
  <c r="I16" i="2"/>
  <c r="H16" i="2"/>
  <c r="R15" i="2"/>
  <c r="Q15" i="2"/>
  <c r="P15" i="2"/>
  <c r="J15" i="2"/>
  <c r="I15" i="2"/>
  <c r="H15" i="2"/>
  <c r="R14" i="2"/>
  <c r="Q14" i="2"/>
  <c r="P14" i="2"/>
  <c r="J14" i="2"/>
  <c r="I14" i="2"/>
  <c r="H14" i="2"/>
  <c r="Q13" i="2"/>
  <c r="P13" i="2"/>
  <c r="R13" i="2" s="1"/>
  <c r="I13" i="2"/>
  <c r="H13" i="2"/>
  <c r="J13" i="2" s="1"/>
  <c r="Q12" i="2"/>
  <c r="P12" i="2"/>
  <c r="R12" i="2" s="1"/>
  <c r="I12" i="2"/>
  <c r="H12" i="2"/>
  <c r="J12" i="2" s="1"/>
  <c r="Q11" i="2"/>
  <c r="P11" i="2"/>
  <c r="R11" i="2" s="1"/>
  <c r="I11" i="2"/>
  <c r="H11" i="2"/>
  <c r="J11" i="2" s="1"/>
  <c r="Q10" i="2"/>
  <c r="P10" i="2"/>
  <c r="R10" i="2" s="1"/>
  <c r="I10" i="2"/>
  <c r="H10" i="2"/>
  <c r="J10" i="2" s="1"/>
  <c r="Q9" i="2"/>
  <c r="P9" i="2"/>
  <c r="R9" i="2" s="1"/>
  <c r="I9" i="2"/>
  <c r="H9" i="2"/>
  <c r="J9" i="2" s="1"/>
  <c r="Q8" i="2"/>
  <c r="P8" i="2"/>
  <c r="R8" i="2" s="1"/>
  <c r="I8" i="2"/>
  <c r="H8" i="2"/>
  <c r="J8" i="2" s="1"/>
  <c r="AG4" i="2"/>
  <c r="AF4" i="2"/>
  <c r="AE4" i="2"/>
  <c r="Y4" i="2"/>
  <c r="X4" i="2"/>
  <c r="W4" i="2"/>
  <c r="AG3" i="2"/>
  <c r="AF3" i="2"/>
  <c r="AE3" i="2"/>
  <c r="Y3" i="2"/>
  <c r="X3" i="2"/>
  <c r="W3" i="2"/>
  <c r="AG2" i="2"/>
  <c r="AF2" i="2"/>
  <c r="AE2" i="2"/>
  <c r="Y2" i="2"/>
  <c r="X2" i="2"/>
  <c r="W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tc={510F5215-EDF7-422F-BF4C-6BE0AE457DAB}</author>
    <author>tc={639DD4F3-7518-4841-B30A-0844812046B7}</author>
    <author>tc={18CFC6C3-E902-43FD-B32B-C0AEA39628F4}</author>
    <author>tc={EEAB92BD-1B59-4D2B-8F01-1CA86D5A95D4}</author>
    <author>tc={4E7AFDCB-5419-4584-AE96-F95DF0EFCE9F}</author>
    <author>tc={0DA6700D-5140-496B-B53B-BA5600727157}</author>
    <author>tc={8A2B9137-D2C9-4851-AB95-FCE72262E328}</author>
    <author>tc={7A3A0DFF-44F5-4BF9-9F68-C8D90C342525}</author>
    <author>tc={C0E07545-5CB6-46FF-8B43-8E9D4041CA0F}</author>
    <author>tc={3BBD1AEF-E6CF-4B97-8CD8-1FFA6FF340EE}</author>
    <author>tc={7E21BACC-9CCE-4EAC-A69B-CDF637657B9D}</author>
    <author>tc={C71EE97F-9BDE-45CC-9366-1DCB38062EF4}</author>
    <author>tc={2B6BA45B-8283-4429-B64C-5E9D653789B4}</author>
    <author>tc={124AB8A0-39AD-4B98-A3B6-3DF82266137D}</author>
    <author>tc={A9B18E07-56BD-48FD-B5A4-35DE767CC399}</author>
    <author>tc={B25CC38C-1237-4A41-9AA1-FB062E9EE3C9}</author>
    <author>tc={F0F9EF19-5B08-4EA8-8BDF-7BBD0EDC4D7A}</author>
    <author>tc={804B0737-B877-4C7A-AF39-61AA3D8AF3A7}</author>
    <author>tc={59644086-9C6E-49B3-8ADA-63560C23A3BB}</author>
    <author>tc={18EA1354-B82D-483D-B9F3-CF6E660E9200}</author>
    <author>tc={7870B02D-BC35-4F89-8327-AFA6323398AF}</author>
    <author>tc={7337D058-4B25-44DE-8A43-D4D7BD904432}</author>
    <author>tc={D2A5DEE3-D368-4492-A291-38911640B0C0}</author>
    <author>tc={19D4CAAD-B229-4507-9E6B-6DDF35D8E448}</author>
    <author>tc={64C38CAE-6813-4D7C-987C-D27980BF085C}</author>
    <author>tc={76D72BDB-51EA-4130-9297-F6994BE822D3}</author>
    <author>tc={128CB127-4176-4B15-ACA6-D44A804E4935}</author>
    <author>tc={D5190365-38FB-436F-9415-6E6D39F0C551}</author>
    <author>tc={E436C966-2A66-459A-A4D0-5959273EAADA}</author>
    <author>tc={150B5DBE-AD6E-4DB4-A58A-7A6F8D42535D}</author>
    <author>tc={2C996FA5-ED92-4CC6-984A-FF01A7709E15}</author>
    <author>tc={9F496A0D-2D68-4A3F-8D89-615A079D290D}</author>
    <author>tc={77F6DD22-B231-4D5C-80CC-0F81F19F7081}</author>
    <author>tc={A4F3986B-FFFF-4DF6-B3AF-19AE04EF50BA}</author>
    <author>tc={CDA41282-D1D3-4965-B98D-A977935D75EC}</author>
    <author>tc={D5104BA7-BC48-402F-84B1-94D1AED81FC4}</author>
    <author>tc={F9701F7A-A620-4E9C-87DC-989A5DD577FA}</author>
    <author>tc={022A4BA8-0D95-4124-BE3C-7A28DF7206B6}</author>
    <author>tc={36FA21C2-683E-40C9-B78A-8C9B389DF161}</author>
    <author>tc={F05E7F3F-AD9E-40E3-9D6E-3B99798B63CF}</author>
    <author>tc={0896E3D8-4657-4468-8F30-DC78EAEF6517}</author>
    <author>tc={DBDD2142-0343-4B62-AB22-964B58934003}</author>
    <author>tc={E4B5C30C-A031-4478-8F21-31267C779091}</author>
    <author>tc={AF9A2AAD-C95E-4163-BDDD-76849CD8CCB8}</author>
    <author>tc={A9A67127-6ED0-498B-8679-5A4808239A8C}</author>
    <author>tc={9A13AC54-B455-4FAD-8A85-DA29E215DE96}</author>
    <author>tc={9B1642E8-3EE8-4121-A5E6-AD134CEB825A}</author>
    <author>tc={2918D25A-3D3C-43E3-868A-37A3B4DFA0AB}</author>
    <author>tc={122EDE0C-26A1-473C-AE68-5312B50A935B}</author>
    <author>tc={E2663721-8523-48EB-B1CC-260D5544AE06}</author>
    <author>tc={3DC3640F-FDF2-4792-B4AE-5EFF3AA9B743}</author>
    <author>tc={3876360D-0BBD-4B03-97E3-D4E92B63F03F}</author>
    <author>tc={A63A8B78-1D11-4956-A7B1-923FF555FF42}</author>
    <author>tc={5CC68143-23B0-4B20-8609-159093E2143C}</author>
    <author>tc={9D757EE6-4FFD-4052-B663-5CC295804033}</author>
    <author>tc={BBCA9B9C-A598-4A66-8E39-2CBE9A5F4483}</author>
    <author>tc={A14E206F-437E-4CD3-9441-AACC96F74749}</author>
    <author>tc={D6290944-B8BD-4996-897A-7430B8083582}</author>
    <author>tc={E200D2E0-8BDF-4716-AA3A-5065E71F6545}</author>
    <author>tc={936E1EFD-D965-4D06-8FC2-EC1640E70C5E}</author>
    <author>tc={BF0551E2-F680-4165-8250-DD39A1C58F89}</author>
    <author>tc={3C1CBD58-3D46-440A-8A7E-B4399A47030D}</author>
    <author>tc={C56F0D36-9A7A-464B-BCD4-37E5857F7443}</author>
    <author>tc={498FF0C6-9E0E-40C3-9668-38EBF3A613FF}</author>
    <author>tc={EFEB2B84-9F0B-4019-905E-A2AF58F33475}</author>
  </authors>
  <commentList>
    <comment ref="H1" authorId="0" shapeId="0" xr:uid="{510F5215-EDF7-422F-BF4C-6BE0AE457DAB}">
      <text>
        <t>[Threaded comment]
Your version of Excel allows you to read this threaded comment; however, any edits to it will get removed if the file is opened in a newer version of Excel. Learn more: https://go.microsoft.com/fwlink/?linkid=870924
Comment:
    Agosto-Sep-Oct-Nov-Dic25-En26-Feb26-Mar26-Abril26-Mayo26-Junio26-Julio26</t>
      </text>
    </comment>
    <comment ref="R1" authorId="1" shapeId="0" xr:uid="{639DD4F3-7518-4841-B30A-0844812046B7}">
      <text>
        <t>[Threaded comment]
Your version of Excel allows you to read this threaded comment; however, any edits to it will get removed if the file is opened in a newer version of Excel. Learn more: https://go.microsoft.com/fwlink/?linkid=870924
Comment:
    Festivo</t>
      </text>
    </comment>
    <comment ref="X1" authorId="2" shapeId="0" xr:uid="{18CFC6C3-E902-43FD-B32B-C0AEA39628F4}">
      <text>
        <t>[Threaded comment]
Your version of Excel allows you to read this threaded comment; however, any edits to it will get removed if the file is opened in a newer version of Excel. Learn more: https://go.microsoft.com/fwlink/?linkid=870924
Comment:
    Festivo</t>
      </text>
    </comment>
    <comment ref="G4" authorId="3" shapeId="0" xr:uid="{EEAB92BD-1B59-4D2B-8F01-1CA86D5A95D4}">
      <text>
        <t>[Threaded comment]
Your version of Excel allows you to read this threaded comment; however, any edits to it will get removed if the file is opened in a newer version of Excel. Learn more: https://go.microsoft.com/fwlink/?linkid=870924
Comment:
    0904: Se adicionan 5h</t>
      </text>
    </comment>
    <comment ref="K40" authorId="4" shapeId="0" xr:uid="{4E7AFDCB-5419-4584-AE96-F95DF0EFCE9F}">
      <text>
        <t>[Threaded comment]
Your version of Excel allows you to read this threaded comment; however, any edits to it will get removed if the file is opened in a newer version of Excel. Learn more: https://go.microsoft.com/fwlink/?linkid=870924
Comment:
    Existe una in review, sin embargo no corresponde a Eric
Reply:
    Refactorización de viva</t>
      </text>
    </comment>
    <comment ref="C45" authorId="5" shapeId="0" xr:uid="{0DA6700D-5140-496B-B53B-BA5600727157}">
      <text>
        <t>[Threaded comment]
Your version of Excel allows you to read this threaded comment; however, any edits to it will get removed if the file is opened in a newer version of Excel. Learn more: https://go.microsoft.com/fwlink/?linkid=870924
Comment:
    Ticket de investigación, no se estima</t>
      </text>
    </comment>
    <comment ref="G50" authorId="6" shapeId="0" xr:uid="{8A2B9137-D2C9-4851-AB95-FCE72262E328}">
      <text>
        <t>[Threaded comment]
Your version of Excel allows you to read this threaded comment; however, any edits to it will get removed if the file is opened in a newer version of Excel. Learn more: https://go.microsoft.com/fwlink/?linkid=870924
Comment:
    2602 Piotor adiciona 3h- S1302- Se adicionan 8h  por cambios solicitados - 0302- Se sumaron 2h por cambios solicitados en PR. 2301-Se suman 8h al ticket inicial por concepto de cambio de alcance 6+8</t>
      </text>
    </comment>
    <comment ref="D52" authorId="7" shapeId="0" xr:uid="{7A3A0DFF-44F5-4BF9-9F68-C8D90C342525}">
      <text>
        <t>[Threaded comment]
Your version of Excel allows you to read this threaded comment; however, any edits to it will get removed if the file is opened in a newer version of Excel. Learn more: https://go.microsoft.com/fwlink/?linkid=870924
Comment:
    Reasigando en junio</t>
      </text>
    </comment>
    <comment ref="G53" authorId="8" shapeId="0" xr:uid="{C0E07545-5CB6-46FF-8B43-8E9D4041CA0F}">
      <text>
        <t>[Threaded comment]
Your version of Excel allows you to read this threaded comment; however, any edits to it will get removed if the file is opened in a newer version of Excel. Learn more: https://go.microsoft.com/fwlink/?linkid=870924
Comment:
    0502-Se corrige después de enviar,dado que hubo un error en el ingreso del valor inicial que estaba en 16.</t>
      </text>
    </comment>
    <comment ref="D67" authorId="9" shapeId="0" xr:uid="{3BBD1AEF-E6CF-4B97-8CD8-1FFA6FF340EE}">
      <text>
        <t>[Threaded comment]
Your version of Excel allows you to read this threaded comment; however, any edits to it will get removed if the file is opened in a newer version of Excel. Learn more: https://go.microsoft.com/fwlink/?linkid=870924
Comment:
    Reasigando en junio</t>
      </text>
    </comment>
    <comment ref="G74" authorId="10" shapeId="0" xr:uid="{7E21BACC-9CCE-4EAC-A69B-CDF637657B9D}">
      <text>
        <t>[Threaded comment]
Your version of Excel allows you to read this threaded comment; however, any edits to it will get removed if the file is opened in a newer version of Excel. Learn more: https://go.microsoft.com/fwlink/?linkid=870924
Comment:
    0105: Piotor aumenta 2h: 24 +2</t>
      </text>
    </comment>
    <comment ref="K82" authorId="11" shapeId="0" xr:uid="{C71EE97F-9BDE-45CC-9366-1DCB38062EF4}">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K103" authorId="12" shapeId="0" xr:uid="{2B6BA45B-8283-4429-B64C-5E9D653789B4}">
      <text>
        <t>[Threaded comment]
Your version of Excel allows you to read this threaded comment; however, any edits to it will get removed if the file is opened in a newer version of Excel. Learn more: https://go.microsoft.com/fwlink/?linkid=870924
Comment:
    0912- Se reporta a polonia pq el pipeline de despliegue está fallando</t>
      </text>
    </comment>
    <comment ref="K106" authorId="13" shapeId="0" xr:uid="{124AB8A0-39AD-4B98-A3B6-3DF82266137D}">
      <text>
        <t>[Threaded comment]
Your version of Excel allows you to read this threaded comment; however, any edits to it will get removed if the file is opened in a newer version of Excel. Learn more: https://go.microsoft.com/fwlink/?linkid=870924
Comment:
    0912- pequeño feedback de un ajuste para no mantener código legacy</t>
      </text>
    </comment>
    <comment ref="G109" authorId="14" shapeId="0" xr:uid="{A9B18E07-56BD-48FD-B5A4-35DE767CC399}">
      <text>
        <t>[Threaded comment]
Your version of Excel allows you to read this threaded comment; however, any edits to it will get removed if the file is opened in a newer version of Excel. Learn more: https://go.microsoft.com/fwlink/?linkid=870924
Comment:
    2502-Se adicionan 6 horas, 28+6</t>
      </text>
    </comment>
    <comment ref="G110" authorId="15" shapeId="0" xr:uid="{B25CC38C-1237-4A41-9AA1-FB062E9EE3C9}">
      <text>
        <t>[Threaded comment]
Your version of Excel allows you to read this threaded comment; however, any edits to it will get removed if the file is opened in a newer version of Excel. Learn more: https://go.microsoft.com/fwlink/?linkid=870924
Comment:
    2111- Se suman 16 horas adicionales por cambio de alcance, previamente socializadas con Alex pq el ticket viene de un año atrás.</t>
      </text>
    </comment>
    <comment ref="G111" authorId="16" shapeId="0" xr:uid="{F0F9EF19-5B08-4EA8-8BDF-7BBD0EDC4D7A}">
      <text>
        <t>[Threaded comment]
Your version of Excel allows you to read this threaded comment; however, any edits to it will get removed if the file is opened in a newer version of Excel. Learn more: https://go.microsoft.com/fwlink/?linkid=870924
Comment:
    0902: Se adicionan 2horas- 35+2-2301: se adicionan 3 horas 32+3</t>
      </text>
    </comment>
    <comment ref="D145" authorId="17" shapeId="0" xr:uid="{804B0737-B877-4C7A-AF39-61AA3D8AF3A7}">
      <text>
        <t>[Threaded comment]
Your version of Excel allows you to read this threaded comment; however, any edits to it will get removed if the file is opened in a newer version of Excel. Learn more: https://go.microsoft.com/fwlink/?linkid=870924
Comment:
    Reasigando en junio</t>
      </text>
    </comment>
    <comment ref="K156" authorId="18" shapeId="0" xr:uid="{59644086-9C6E-49B3-8ADA-63560C23A3BB}">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K157" authorId="19" shapeId="0" xr:uid="{18EA1354-B82D-483D-B9F3-CF6E660E9200}">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K158" authorId="20" shapeId="0" xr:uid="{7870B02D-BC35-4F89-8327-AFA6323398AF}">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K159" authorId="21" shapeId="0" xr:uid="{7337D058-4B25-44DE-8A43-D4D7BD904432}">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D184" authorId="22" shapeId="0" xr:uid="{D2A5DEE3-D368-4492-A291-38911640B0C0}">
      <text>
        <t>[Threaded comment]
Your version of Excel allows you to read this threaded comment; however, any edits to it will get removed if the file is opened in a newer version of Excel. Learn more: https://go.microsoft.com/fwlink/?linkid=870924
Comment:
    Reasigando en junio</t>
      </text>
    </comment>
    <comment ref="G229" authorId="23" shapeId="0" xr:uid="{19D4CAAD-B229-4507-9E6B-6DDF35D8E448}">
      <text>
        <t>[Threaded comment]
Your version of Excel allows you to read this threaded comment; however, any edits to it will get removed if the file is opened in a newer version of Excel. Learn more: https://go.microsoft.com/fwlink/?linkid=870924
Comment:
    2602: Se agregan 8h más por alcances adicionales: 40+8. Se adicionan 12 horas más a la estimación original 28+12</t>
      </text>
    </comment>
    <comment ref="G260" authorId="24" shapeId="0" xr:uid="{64C38CAE-6813-4D7C-987C-D27980BF085C}">
      <text>
        <t>[Threaded comment]
Your version of Excel allows you to read this threaded comment; however, any edits to it will get removed if the file is opened in a newer version of Excel. Learn more: https://go.microsoft.com/fwlink/?linkid=870924
Comment:
    2404: Se agrega 1 d: 32+8</t>
      </text>
    </comment>
    <comment ref="G261" authorId="25" shapeId="0" xr:uid="{76D72BDB-51EA-4130-9297-F6994BE822D3}">
      <text>
        <t>[Threaded comment]
Your version of Excel allows you to read this threaded comment; however, any edits to it will get removed if the file is opened in a newer version of Excel. Learn more: https://go.microsoft.com/fwlink/?linkid=870924
Comment:
    0503-Se adicionaron 20 horas porq se amplío el requerimiento 36+20</t>
      </text>
    </comment>
    <comment ref="G264" authorId="26" shapeId="0" xr:uid="{128CB127-4176-4B15-ACA6-D44A804E4935}">
      <text>
        <t>[Threaded comment]
Your version of Excel allows you to read this threaded comment; however, any edits to it will get removed if the file is opened in a newer version of Excel. Learn more: https://go.microsoft.com/fwlink/?linkid=870924
Comment:
    2003: Se adiciona 1d por cambio de alcance: 48+8-2602:Se adiciona 1d por cambio de alcance- 40+8</t>
      </text>
    </comment>
    <comment ref="G269" authorId="27" shapeId="0" xr:uid="{D5190365-38FB-436F-9415-6E6D39F0C551}">
      <text>
        <t xml:space="preserve">[Threaded comment]
Your version of Excel allows you to read this threaded comment; however, any edits to it will get removed if the file is opened in a newer version of Excel. Learn more: https://go.microsoft.com/fwlink/?linkid=870924
Comment:
    2602: Se agregan 11 horas a la estimación original - 11+5
</t>
      </text>
    </comment>
    <comment ref="G270" authorId="28" shapeId="0" xr:uid="{E436C966-2A66-459A-A4D0-5959273EAADA}">
      <text>
        <t>[Threaded comment]
Your version of Excel allows you to read this threaded comment; however, any edits to it will get removed if the file is opened in a newer version of Excel. Learn more: https://go.microsoft.com/fwlink/?linkid=870924
Comment:
    2602: Se agregan 2 horas por cambios- 5+2</t>
      </text>
    </comment>
    <comment ref="G273" authorId="29" shapeId="0" xr:uid="{150B5DBE-AD6E-4DB4-A58A-7A6F8D42535D}">
      <text>
        <t>[Threaded comment]
Your version of Excel allows you to read this threaded comment; however, any edits to it will get removed if the file is opened in a newer version of Excel. Learn more: https://go.microsoft.com/fwlink/?linkid=870924
Comment:
    0503-Se adicionan 4 horas 8+4</t>
      </text>
    </comment>
    <comment ref="G274" authorId="30" shapeId="0" xr:uid="{2C996FA5-ED92-4CC6-984A-FF01A7709E15}">
      <text>
        <t>[Threaded comment]
Your version of Excel allows you to read this threaded comment; however, any edits to it will get removed if the file is opened in a newer version of Excel. Learn more: https://go.microsoft.com/fwlink/?linkid=870924
Comment:
    1803: Se corrige la estimación que estaba por 4 días: 32h</t>
      </text>
    </comment>
    <comment ref="I278" authorId="31" shapeId="0" xr:uid="{9F496A0D-2D68-4A3F-8D89-615A079D290D}">
      <text>
        <t>[Threaded comment]
Your version of Excel allows you to read this threaded comment; however, any edits to it will get removed if the file is opened in a newer version of Excel. Learn more: https://go.microsoft.com/fwlink/?linkid=870924
Comment:
    0604-Se corrige valor de 16 a 8 por error de digitación enviado el 3103</t>
      </text>
    </comment>
    <comment ref="G279" authorId="32" shapeId="0" xr:uid="{77F6DD22-B231-4D5C-80CC-0F81F19F7081}">
      <text>
        <t>[Threaded comment]
Your version of Excel allows you to read this threaded comment; however, any edits to it will get removed if the file is opened in a newer version of Excel. Learn more: https://go.microsoft.com/fwlink/?linkid=870924
Comment:
    1505: se agregan 8h por cambio de alcance- 32+8</t>
      </text>
    </comment>
    <comment ref="H279" authorId="33" shapeId="0" xr:uid="{A4F3986B-FFFF-4DF6-B3AF-19AE04EF50BA}">
      <text>
        <t>[Threaded comment]
Your version of Excel allows you to read this threaded comment; however, any edits to it will get removed if the file is opened in a newer version of Excel. Learn more: https://go.microsoft.com/fwlink/?linkid=870924
Comment:
    1305: Se corrige el valor de 8 a 3 por error en la digitación</t>
      </text>
    </comment>
    <comment ref="G281" authorId="34" shapeId="0" xr:uid="{CDA41282-D1D3-4965-B98D-A977935D75EC}">
      <text>
        <t>[Threaded comment]
Your version of Excel allows you to read this threaded comment; however, any edits to it will get removed if the file is opened in a newer version of Excel. Learn more: https://go.microsoft.com/fwlink/?linkid=870924
Comment:
    3103: Se incrementan 16h por cambios de alcance: 32+16</t>
      </text>
    </comment>
    <comment ref="H291" authorId="35" shapeId="0" xr:uid="{D5104BA7-BC48-402F-84B1-94D1AED81FC4}">
      <text>
        <t>[Threaded comment]
Your version of Excel allows you to read this threaded comment; however, any edits to it will get removed if the file is opened in a newer version of Excel. Learn more: https://go.microsoft.com/fwlink/?linkid=870924
Comment:
    1305: Se corrige el valor de 0 a 5 por error en la digitación</t>
      </text>
    </comment>
    <comment ref="G335" authorId="36" shapeId="0" xr:uid="{F9701F7A-A620-4E9C-87DC-989A5DD577FA}">
      <text>
        <t>[Threaded comment]
Your version of Excel allows you to read this threaded comment; however, any edits to it will get removed if the file is opened in a newer version of Excel. Learn more: https://go.microsoft.com/fwlink/?linkid=870924
Comment:
    2811 se agregan 8h por fix- S13112025 36+10h por cambios solicitados por Belem</t>
      </text>
    </comment>
    <comment ref="D336" authorId="37" shapeId="0" xr:uid="{022A4BA8-0D95-4124-BE3C-7A28DF7206B6}">
      <text>
        <t>[Threaded comment]
Your version of Excel allows you to read this threaded comment; however, any edits to it will get removed if the file is opened in a newer version of Excel. Learn more: https://go.microsoft.com/fwlink/?linkid=870924
Comment:
    03122025-Se coloca en pausa hasta redefinir el alcance nuevo del servicio</t>
      </text>
    </comment>
    <comment ref="G342" authorId="38" shapeId="0" xr:uid="{36FA21C2-683E-40C9-B78A-8C9B389DF161}">
      <text>
        <t>[Threaded comment]
Your version of Excel allows you to read this threaded comment; however, any edits to it will get removed if the file is opened in a newer version of Excel. Learn more: https://go.microsoft.com/fwlink/?linkid=870924
Comment:
    0503: Se adicionan 38h a la estimación original por nuevas funcionalidades- 40+38</t>
      </text>
    </comment>
    <comment ref="G344" authorId="39" shapeId="0" xr:uid="{F05E7F3F-AD9E-40E3-9D6E-3B99798B63CF}">
      <text>
        <t>[Threaded comment]
Your version of Excel allows you to read this threaded comment; however, any edits to it will get removed if the file is opened in a newer version of Excel. Learn more: https://go.microsoft.com/fwlink/?linkid=870924
Comment:
    1211- se aumentan 8 horas 46+8
Reply:
    Se agregan 4 horas -Se adicionó una nueva validación para el fee WBAAWP</t>
      </text>
    </comment>
    <comment ref="G346" authorId="40" shapeId="0" xr:uid="{0896E3D8-4657-4468-8F30-DC78EAEF6517}">
      <text>
        <t>[Threaded comment]
Your version of Excel allows you to read this threaded comment; however, any edits to it will get removed if the file is opened in a newer version of Excel. Learn more: https://go.microsoft.com/fwlink/?linkid=870924
Comment:
    0503: Se agregan 8 horas: 556+8- S1902-Se agregan 31 horas a la estimación original. 25+31</t>
      </text>
    </comment>
    <comment ref="D348" authorId="41" shapeId="0" xr:uid="{DBDD2142-0343-4B62-AB22-964B58934003}">
      <text>
        <t xml:space="preserve">[Threaded comment]
Your version of Excel allows you to read this threaded comment; however, any edits to it will get removed if the file is opened in a newer version of Excel. Learn more: https://go.microsoft.com/fwlink/?linkid=870924
Comment:
    05122025 Se regresa por solicitud de Belém
Reply:
    Se retoma en julio 2026
</t>
      </text>
    </comment>
    <comment ref="E348" authorId="42" shapeId="0" xr:uid="{E4B5C30C-A031-4478-8F21-31267C779091}">
      <text>
        <t>[Threaded comment]
Your version of Excel allows you to read this threaded comment; however, any edits to it will get removed if the file is opened in a newer version of Excel. Learn more: https://go.microsoft.com/fwlink/?linkid=870924
Comment:
    Se cambia la feha del 30/01 al 14/08</t>
      </text>
    </comment>
    <comment ref="G348" authorId="43" shapeId="0" xr:uid="{AF9A2AAD-C95E-4163-BDDD-76849CD8CCB8}">
      <text>
        <t xml:space="preserve">[Threaded comment]
Your version of Excel allows you to read this threaded comment; however, any edits to it will get removed if the file is opened in a newer version of Excel. Learn more: https://go.microsoft.com/fwlink/?linkid=870924
Comment:
    05122025 + 24 horas por nuevas funcionalidades de Belém
Reply:
    Se agregan 24 horas por nuevas funcionalidades solcitadas por Belem 51+24
Reply:
    se aumentan horas: total 227 desde el 10/07
</t>
      </text>
    </comment>
    <comment ref="G349" authorId="44" shapeId="0" xr:uid="{A9A67127-6ED0-498B-8679-5A4808239A8C}">
      <text>
        <t>[Threaded comment]
Your version of Excel allows you to read this threaded comment; however, any edits to it will get removed if the file is opened in a newer version of Excel. Learn more: https://go.microsoft.com/fwlink/?linkid=870924
Comment:
    Se incrementaron 24 hr comprende configuración, liberación y monitoreo a PRod
Reply:
    A petición de @edgar.gallegos se realizó un cambio para obtener todos los estados de la maleta sin excepción. Se añadió 8 horas de desarrollo.</t>
      </text>
    </comment>
    <comment ref="E359" authorId="45" shapeId="0" xr:uid="{9A13AC54-B455-4FAD-8A85-DA29E215DE96}">
      <text>
        <t>[Threaded comment]
Your version of Excel allows you to read this threaded comment; however, any edits to it will get removed if the file is opened in a newer version of Excel. Learn more: https://go.microsoft.com/fwlink/?linkid=870924
Comment:
    junio 26, cambia a 26/06</t>
      </text>
    </comment>
    <comment ref="G359" authorId="46" shapeId="0" xr:uid="{9B1642E8-3EE8-4121-A5E6-AD134CEB825A}">
      <text>
        <t>[Threaded comment]
Your version of Excel allows you to read this threaded comment; however, any edits to it will get removed if the file is opened in a newer version of Excel. Learn more: https://go.microsoft.com/fwlink/?linkid=870924
Comment:
    24/06 pasa de 72 a 104 horas</t>
      </text>
    </comment>
    <comment ref="G360" authorId="47" shapeId="0" xr:uid="{2918D25A-3D3C-43E3-868A-37A3B4DFA0AB}">
      <text>
        <t>[Threaded comment]
Your version of Excel allows you to read this threaded comment; however, any edits to it will get removed if the file is opened in a newer version of Excel. Learn more: https://go.microsoft.com/fwlink/?linkid=870924
Comment:
    2001- Se agregan 13 horas al ticket</t>
      </text>
    </comment>
    <comment ref="G365" authorId="48" shapeId="0" xr:uid="{122EDE0C-26A1-473C-AE68-5312B50A935B}">
      <text>
        <t>[Threaded comment]
Your version of Excel allows you to read this threaded comment; however, any edits to it will get removed if the file is opened in a newer version of Excel. Learn more: https://go.microsoft.com/fwlink/?linkid=870924
Comment:
    1704: Se agregan 5h por cambio de alcance</t>
      </text>
    </comment>
    <comment ref="G368" authorId="49" shapeId="0" xr:uid="{E2663721-8523-48EB-B1CC-260D5544AE06}">
      <text>
        <t>[Threaded comment]
Your version of Excel allows you to read this threaded comment; however, any edits to it will get removed if the file is opened in a newer version of Excel. Learn more: https://go.microsoft.com/fwlink/?linkid=870924
Comment:
    1004: Se suman 16 horas adicionales por bugfix 101+16-2602: Se suman 32 horas cambio de alcance- 69+32
Reply:
    1704: Se agregan 10h por cambio de alcance: 117+10</t>
      </text>
    </comment>
    <comment ref="E373" authorId="50" shapeId="0" xr:uid="{3DC3640F-FDF2-4792-B4AE-5EFF3AA9B743}">
      <text>
        <t>[Threaded comment]
Your version of Excel allows you to read this threaded comment; however, any edits to it will get removed if the file is opened in a newer version of Excel. Learn more: https://go.microsoft.com/fwlink/?linkid=870924
Comment:
    cambia de 25/05 a 11/08</t>
      </text>
    </comment>
    <comment ref="G373" authorId="51" shapeId="0" xr:uid="{3876360D-0BBD-4B03-97E3-D4E92B63F03F}">
      <text>
        <t>[Threaded comment]
Your version of Excel allows you to read this threaded comment; however, any edits to it will get removed if the file is opened in a newer version of Excel. Learn more: https://go.microsoft.com/fwlink/?linkid=870924
Comment:
    17/07 se cambia estimación de 135 a 167 horas</t>
      </text>
    </comment>
    <comment ref="G374" authorId="52" shapeId="0" xr:uid="{A63A8B78-1D11-4956-A7B1-923FF555FF42}">
      <text>
        <t>[Threaded comment]
Your version of Excel allows you to read this threaded comment; however, any edits to it will get removed if the file is opened in a newer version of Excel. Learn more: https://go.microsoft.com/fwlink/?linkid=870924
Comment:
    0606: se añaden 48 h más - 2905: Se añaden 24h por cambio de alcance 56+24+48</t>
      </text>
    </comment>
    <comment ref="D402" authorId="53" shapeId="0" xr:uid="{5CC68143-23B0-4B20-8609-159093E2143C}">
      <text>
        <t>[Threaded comment]
Your version of Excel allows you to read this threaded comment; however, any edits to it will get removed if the file is opened in a newer version of Excel. Learn more: https://go.microsoft.com/fwlink/?linkid=870924
Comment:
    e realiza implementación de componentes iniciales, se requieren data de ejemplo para validar el funcionamiento del ticket. se asigna el ticket a @Victor Gardea para desbloquear este paso.</t>
      </text>
    </comment>
    <comment ref="G402" authorId="54" shapeId="0" xr:uid="{9D757EE6-4FFD-4052-B663-5CC295804033}">
      <text>
        <t>[Threaded comment]
Your version of Excel allows you to read this threaded comment; however, any edits to it will get removed if the file is opened in a newer version of Excel. Learn more: https://go.microsoft.com/fwlink/?linkid=870924
Comment:
    1203: Se adicionan 8h por cambios solicitados: 32+8</t>
      </text>
    </comment>
    <comment ref="G408" authorId="55" shapeId="0" xr:uid="{BBCA9B9C-A598-4A66-8E39-2CBE9A5F4483}">
      <text>
        <t xml:space="preserve">[Threaded comment]
Your version of Excel allows you to read this threaded comment; however, any edits to it will get removed if the file is opened in a newer version of Excel. Learn more: https://go.microsoft.com/fwlink/?linkid=870924
Comment:
    Estaba en 1 s 2d 4h ahora en 2 s (60 a 80)- 1811- se suman 5 días más (40 horas por solicitudes de alcance)
</t>
      </text>
    </comment>
    <comment ref="D409" authorId="56" shapeId="0" xr:uid="{A14E206F-437E-4CD3-9441-AACC96F74749}">
      <text>
        <t>[Threaded comment]
Your version of Excel allows you to read this threaded comment; however, any edits to it will get removed if the file is opened in a newer version of Excel. Learn more: https://go.microsoft.com/fwlink/?linkid=870924
Comment:
    15/07 Se retoma con cambio de alcance</t>
      </text>
    </comment>
    <comment ref="G409" authorId="57" shapeId="0" xr:uid="{D6290944-B8BD-4996-897A-7430B8083582}">
      <text>
        <t>[Threaded comment]
Your version of Excel allows you to read this threaded comment; however, any edits to it will get removed if the file is opened in a newer version of Excel. Learn more: https://go.microsoft.com/fwlink/?linkid=870924
Comment:
    Se adiciona 27.5 horas - 40 horas total - 15/07</t>
      </text>
    </comment>
    <comment ref="G444" authorId="58" shapeId="0" xr:uid="{E200D2E0-8BDF-4716-AA3A-5065E71F6545}">
      <text>
        <t>[Threaded comment]
Your version of Excel allows you to read this threaded comment; however, any edits to it will get removed if the file is opened in a newer version of Excel. Learn more: https://go.microsoft.com/fwlink/?linkid=870924
Comment:
    2404: Se reestima en 4d más: 32+32</t>
      </text>
    </comment>
    <comment ref="G454" authorId="59" shapeId="0" xr:uid="{936E1EFD-D965-4D06-8FC2-EC1640E70C5E}">
      <text>
        <t>[Threaded comment]
Your version of Excel allows you to read this threaded comment; however, any edits to it will get removed if the file is opened in a newer version of Excel. Learn more: https://go.microsoft.com/fwlink/?linkid=870924
Comment:
    0403:Se agregan 2h por cambio de alcance. 24+2</t>
      </text>
    </comment>
    <comment ref="G463" authorId="60" shapeId="0" xr:uid="{BF0551E2-F680-4165-8250-DD39A1C58F89}">
      <text>
        <t>[Threaded comment]
Your version of Excel allows you to read this threaded comment; however, any edits to it will get removed if the file is opened in a newer version of Excel. Learn more: https://go.microsoft.com/fwlink/?linkid=870924
Comment:
    1604: Se adicionan 12 horas por adaptadores adicionales solicitados - 32+12 - 1304:Se adicionan 8 horas por ajustes solicitados- 24+8</t>
      </text>
    </comment>
    <comment ref="G464" authorId="61" shapeId="0" xr:uid="{3C1CBD58-3D46-440A-8A7E-B4399A47030D}">
      <text>
        <t>[Threaded comment]
Your version of Excel allows you to read this threaded comment; however, any edits to it will get removed if the file is opened in a newer version of Excel. Learn more: https://go.microsoft.com/fwlink/?linkid=870924
Comment:
    0705: Se aumentan 4 horas por cambio de alcance- 6+3</t>
      </text>
    </comment>
    <comment ref="G467" authorId="62" shapeId="0" xr:uid="{C56F0D36-9A7A-464B-BCD4-37E5857F7443}">
      <text>
        <t>[Threaded comment]
Your version of Excel allows you to read this threaded comment; however, any edits to it will get removed if the file is opened in a newer version of Excel. Learn more: https://go.microsoft.com/fwlink/?linkid=870924
Comment:
    0705: Se adiciona 20h por cambio de alcance- 48+20</t>
      </text>
    </comment>
    <comment ref="G494" authorId="63" shapeId="0" xr:uid="{498FF0C6-9E0E-40C3-9668-38EBF3A613FF}">
      <text>
        <t xml:space="preserve">[Threaded comment]
Your version of Excel allows you to read this threaded comment; however, any edits to it will get removed if the file is opened in a newer version of Excel. Learn more: https://go.microsoft.com/fwlink/?linkid=870924
Comment:
    24/07 Se agrega 1 día más de 16 a 24
</t>
      </text>
    </comment>
    <comment ref="X511" authorId="64" shapeId="0" xr:uid="{EFEB2B84-9F0B-4019-905E-A2AF58F33475}">
      <text>
        <t>[Threaded comment]
Your version of Excel allows you to read this threaded comment; however, any edits to it will get removed if the file is opened in a newer version of Excel. Learn more: https://go.microsoft.com/fwlink/?linkid=870924
Comment:
    Este festivo laboró Marvin y se repondrá en septiembre como día libre</t>
      </text>
    </comment>
  </commentList>
</comments>
</file>

<file path=xl/sharedStrings.xml><?xml version="1.0" encoding="utf-8"?>
<sst xmlns="http://schemas.openxmlformats.org/spreadsheetml/2006/main" count="3747" uniqueCount="1171">
  <si>
    <t>HERRAMIENTA DE MONITOREO Y CONTROL
Gestión Riesgos</t>
  </si>
  <si>
    <t>MT-MP-007</t>
  </si>
  <si>
    <t>MAPA DE RIESGOS INHERENTE</t>
  </si>
  <si>
    <t>Cliente</t>
  </si>
  <si>
    <t>MAPA DE RIESGOS RESIDUAL</t>
  </si>
  <si>
    <t xml:space="preserve">VERSIÓN: 2.0 </t>
  </si>
  <si>
    <t>Probabilidad</t>
  </si>
  <si>
    <t>Alta</t>
  </si>
  <si>
    <t>Si</t>
  </si>
  <si>
    <t>FECHA: 15/08/2025</t>
  </si>
  <si>
    <t>Media</t>
  </si>
  <si>
    <t>Tipo de información:</t>
  </si>
  <si>
    <t>Baja</t>
  </si>
  <si>
    <t>Interna</t>
  </si>
  <si>
    <t>Bajo</t>
  </si>
  <si>
    <t>Medio</t>
  </si>
  <si>
    <t>Alto</t>
  </si>
  <si>
    <t>Impacto</t>
  </si>
  <si>
    <t>ID</t>
  </si>
  <si>
    <t>Riesgo</t>
  </si>
  <si>
    <t>Causas</t>
  </si>
  <si>
    <t>Consecuencias</t>
  </si>
  <si>
    <t>Status</t>
  </si>
  <si>
    <t>Prob In</t>
  </si>
  <si>
    <t>Imp</t>
  </si>
  <si>
    <t>Nivel Prob</t>
  </si>
  <si>
    <t>Nivel Imp</t>
  </si>
  <si>
    <t>Nivel Riesgo</t>
  </si>
  <si>
    <t>¿Comunicar al cliente?</t>
  </si>
  <si>
    <t>Responsable</t>
  </si>
  <si>
    <t>Controles /Contingencias</t>
  </si>
  <si>
    <t>Prob Res</t>
  </si>
  <si>
    <t>Imp Res</t>
  </si>
  <si>
    <t>Nivel ProbR</t>
  </si>
  <si>
    <t>Nivel ImpR</t>
  </si>
  <si>
    <t>Riesgo Residual</t>
  </si>
  <si>
    <t>Seguimiento</t>
  </si>
  <si>
    <t>VA-01</t>
  </si>
  <si>
    <t>Demoras en la validación post-deploy por falta de acceso directo a AWS CloudWatch</t>
  </si>
  <si>
    <t>- Dependencia exclusiva de Datadog para logs.
- Falta de acceso de solo lectura a CloudWatch para desarrolladores.
- Dependencia de líderes para validar errores y cambios en el servidor.</t>
  </si>
  <si>
    <t>- Retrasos en la detección y resolución de problemas.
- Menor capacidad para identificar cambios en logs en tiempo real.
- Disminución de la agilidad y autonomía del equipo.
- Impacto en la estabilidad del servicio en momentos críticos.</t>
  </si>
  <si>
    <t>Riesgo mitigado puesto que el equipo esta llevando traza de sus desarrollos unicamente con la herramienta de Datadog.</t>
  </si>
  <si>
    <t>Cliente-Tech</t>
  </si>
  <si>
    <t>- Otorgar acceso de solo lectura a AWS CloudWatch a cada desarrollador. Sea por petición interna o solicitud CAT
- Capacitar al equipo en el uso de CloudWatch Logs y filtros. En caso de requerirse*
- Mantener Datadog como herramienta complementaria para correlación de métricas y visualización.</t>
  </si>
  <si>
    <t>Accionables inmediatos:
- Se creará en los tickets una subtarea que mapee los tiempos ocupados promedio segun tamaño del ticket para gestionar estas dependencias. Esto con fin de visibilizar gestión
Accionables por realizar:
- Verificar que todos los desarrolladores tengan acceso habilitado.
- Monitorear el tiempo promedio de detección y resolución de incidentes post-deploy.
- Evaluar mejoras en la integración CloudWatch–Datadog para optimizar flujos de validación.</t>
  </si>
  <si>
    <t>Alta dependencia para validaciones en bases de datos y servicios internos de Viva por falta de accesos al correo interno (y VPN) de dos desarrolladores</t>
  </si>
  <si>
    <t>- Solo un desarrollador tiene acceso al correo interno y, por ende, a la VPN y servicios asociados (BD, API Navitaire, API Ezy). Felix Vegas
- Equipo sin accesos equivalentes para realizar validaciones directas.
- Solicitud de accesos pendiente de aprobación de líderes y flujo formal vía CAT.
- Ticket con tiempos de vencimiento y riesgo de retraso en resolución.</t>
  </si>
  <si>
    <t>- Retrasos en validaciones de bases de datos y servicios internos.
- Extensión en tiempos de respuesta por sobrecarga del desarrollador que tiene acceso.
- Riesgo de cuello de botella y afectación a entregas críticas.
- Baja autonomía del equipo y mayor vulnerabilidad ante ausencias del recurso con acceso.</t>
  </si>
  <si>
    <t>A la espera de accesos Correo Viva y VPN. Proceso a cargo del lider Julio Teran. En seguimiento</t>
  </si>
  <si>
    <t>- Iniciar cuanto antes la solicitud formal de accesos al correo interno con el flujo CAT + líder en copia.
- Monitorear tickets antes del vencimiento (10 días).
- Usar Teams con CAT para acelerar casos urgentes.
- Contar con el soporte de líderes para priorizar solicitudes críticas.
- Mantener coordinación temporal con Felix mientras se normalizan accesos.</t>
  </si>
  <si>
    <t>Accionables inmediatos:
- Se creará en los tickets una subtarea que mapee los tiempos ocupados promedio segun tamaño del ticket para gestionar estas dependencias. Esto con fin de visibilizar gestión
- Para el desarrollador Felix Vegas se creará un ticket mensual donde documente las horas de gestión por esta dependencia de Base de Datos del resto de desarrolladores
Accionables por realizar:
- Seguimiento semanal del estado de tickets y escalamiento en caso de demora.
- Medir tiempo promedio de resolución de solicitudes y ajustar con CAT si es recurrente.
- Evaluar impacto en los tiempos de entrega mientras se mantenga la dependencia en un único desarrollador.
- Validar periódicamente que todos los desarrolladores cuenten con accesos activos.</t>
  </si>
  <si>
    <t>VA-02</t>
  </si>
  <si>
    <t>Retraso en la detección de vulnerabilidades de código por falta de acceso del equipo a Sonatype y SonarQube</t>
  </si>
  <si>
    <t>- Equipo sin accesos a las herramientas de análisis de seguridad.
- Dependencia de terceros (Luis Fuentes) para Riesgos[@[Controles /Contingencias]]
- Procesos de solicitud de acceso sujetos a aprobación de líderes y tiempos del CAT.</t>
  </si>
  <si>
    <t>- Riesgo de subir a producción código con vulnerabilidades no detectadas.
- Mayor tiempo de ciclo para validaciones de seguridad.
- Dependencia crítica de una sola persona para análisis.
- Posible incumplimiento de políticas internas de seguridad.</t>
  </si>
  <si>
    <t>Riesgo mitigado puesto que el equipo llevará unicamente las validaciones de vulnerabilidades de codigo por Luis Fuentes. Como medida de apoyo Viva dio capacidad total a Luis para este acompañamiento y respuesta, y se medirán sus tiempos de atención para reducir retrasos de entrega</t>
  </si>
  <si>
    <t>- Solicitar acceso a Sonatype y SonarQube siguiendo el flujo oficial con CAT y copia al líder.
- Validar tickets antes del vencimiento para reactivar o escalar.
- Mantener canal directo con CAT por Teams para acelerar casos críticos.
- Documentar y capacitar al equipo en el uso de SonarQube herramienta una vez otorgados los accesos.</t>
  </si>
  <si>
    <t>Accionables inmediatas: 
- Continua dependencia con Luis para  ejecutar análisis y generar reportes.
Accionables por realizar:
- Monitorear estado de tickets de acceso semanalmente.
- Verificar tiempo promedio desde solicitud hasta acceso activo.
- Registrar incidencias de retraso y escalar a líderes para mejoras del proceso.
- Revisar informes de vulnerabilidad tras cada análisis para validar cumplimiento de umbrales.</t>
  </si>
  <si>
    <t>VA-03</t>
  </si>
  <si>
    <t>Limitación en las pruebas de código y validación de reservas por falta de acceso del equipo a SkySpeed</t>
  </si>
  <si>
    <t>- Equipo sin accesos a SkySpeed.
- Desconocimiento del proceso formal para solicitar permisos.
- Alta R9
- Proceso actual de reservas requiere hasta 10 pasos, dificultando la agilidad en pruebas.</t>
  </si>
  <si>
    <t>- Retraso en la ejecución de pruebas funcionales y de integración.
- Mayor tiempo para reproducir y validar casos solicitados.
- Reducción de autonomía del equipo y sobrecarga en líderes.
- Posible impacto en los tiempos de entrega y calidad del producto.</t>
  </si>
  <si>
    <t>A la espera de aprobación de accesos. Proceso a cargo del lider Julio Teran. En seguimiento</t>
  </si>
  <si>
    <t>- Definir y documentar el proceso oficial para solicitud de accesos a SkySpeed.
- Establecer un canal directo con el área que otorga permisos.
- Habilitar accesos parciales o entorno de pruebas para el equipo mientras se completa el acceso total.
- Mantener soporte puntual de líderes como contingencia mientras se normaliza el acceso.</t>
  </si>
  <si>
    <t>Accionables inmediatos:
- Continua dependencia con lideres  para validar casos específicos.
Accionables por realizar:
- Monitorear el avance de la definición del proceso de solicitud.
- Registrar el tiempo desde la solicitud hasta la obtención de acceso.
- Revisar semanalmente el impacto en los tiempos de validación de reservas.
- Escalar bloqueos a líderes y al área de permisos si los tiempos de acceso superan los plazos establecidos.</t>
  </si>
  <si>
    <t>VA-04</t>
  </si>
  <si>
    <t>Falta de comunicación en la reasignación de tickets/historias de usuario a desarrolladores externos fuera del equipo</t>
  </si>
  <si>
    <t>- Cambios de asignación no comunicados previamente.
- Gestión de tickets fragmentada al entregarse proyectos completos con múltiples tareas.
- Falta de un canal claro para notificar cambios en tiempo real.</t>
  </si>
  <si>
    <t>- Pérdida de trazabilidad y visibilidad del trabajo asignado.
- Riesgo de duplicación de esfuerzos o trabajo en paralelo sin coordinación.
- Desgaste del equipo por asumir responsabilidades que ya fueron reasignadas.
- Impacto en la planificación y control de avances.</t>
  </si>
  <si>
    <t>Riesgo mitigado. Se ha optimizado la entrega del equipo y con ello la confianza del cliente para no reasignar tickets en proceso</t>
  </si>
  <si>
    <t>- Establecer un flujo obligatorio de comunicación de cambios de asignación en el gestor de tickets (comentarios o notificaciones automáticas).
- Asegurar que líderes o PM informen al equipo interno antes de reasignar externamente.</t>
  </si>
  <si>
    <t>VA-05</t>
  </si>
  <si>
    <t>Desviaciones en tiempos por falta de contemplación de reuniones y dependencias adicionales en la estimación de tickets</t>
  </si>
  <si>
    <t>- Estimaciones iniciales basadas en un flujo ideal lineal de resolución.
- No se contemplan reuniones con cliente, validaciones adicionales o dependencias externas.
- Falta de reestimación cuando los requerimientos se amplían o surgen bloqueos.</t>
  </si>
  <si>
    <t>- Alta desviación entre horas estimadas y registradas.
- Subvaloración del esfuerzo real de los desarrolladores.
- Impacto en la predictibilidad de entregas y métricas de velocidad del equipo.
- Riesgo de desgaste en el equipo por percepción de incumplimiento.</t>
  </si>
  <si>
    <t>Riesgo mitigado. Evaluación temprana de alcance y estimación de los tickets. Comunicación temprana y proactiva. Seguimiento diario de entregables. Alineaciones periodicas con gerente técnico</t>
  </si>
  <si>
    <t>- Solicitar apertura para reestimar tickets cuando surjan tiempos adicionales de gestión.
- Registrar claramente las reuniones y dependencias como parte del esfuerzo del ticket.
- Escalar a líderes/PM / desarrolladores Polonia la validación de reestimaciones para ajustar la planificación.</t>
  </si>
  <si>
    <t>Desarrollador</t>
  </si>
  <si>
    <t>Parent ID</t>
  </si>
  <si>
    <t>Summary</t>
  </si>
  <si>
    <t>Status 10-10</t>
  </si>
  <si>
    <t>Status 16-10</t>
  </si>
  <si>
    <t>Status 23-10</t>
  </si>
  <si>
    <t>Status31-10</t>
  </si>
  <si>
    <t>Original Estimate</t>
  </si>
  <si>
    <t>Fecha fin</t>
  </si>
  <si>
    <t>Fecha Entrega</t>
  </si>
  <si>
    <t>Registrado meses previos</t>
  </si>
  <si>
    <t>Registrado mes</t>
  </si>
  <si>
    <t>% desviación</t>
  </si>
  <si>
    <t>In Review</t>
  </si>
  <si>
    <t>Mes</t>
  </si>
  <si>
    <t>Entrega</t>
  </si>
  <si>
    <t>Eric De la Nuez</t>
  </si>
  <si>
    <t>API-1179</t>
  </si>
  <si>
    <t>Investigate - [Global] Blocked seat map assigment</t>
  </si>
  <si>
    <t>UAT</t>
  </si>
  <si>
    <t>Finalizada</t>
  </si>
  <si>
    <t>Agosto</t>
  </si>
  <si>
    <t>A tiempo</t>
  </si>
  <si>
    <t>API-1207</t>
  </si>
  <si>
    <t>[Transfer] - Add new variables to transfer emails and change some formats</t>
  </si>
  <si>
    <t>API-1211</t>
  </si>
  <si>
    <t>[TotalRefund] - Extend rgBundlePricesSimple with refundableFare structure</t>
  </si>
  <si>
    <t>API-1216</t>
  </si>
  <si>
    <t>[Aerus] Error in full due to a Seatmap error</t>
  </si>
  <si>
    <t>Ready for prod</t>
  </si>
  <si>
    <t>API-1225</t>
  </si>
  <si>
    <t>Investigate - Boarding pass System error</t>
  </si>
  <si>
    <t>Blocked</t>
  </si>
  <si>
    <t>Cerrada</t>
  </si>
  <si>
    <t>API-1231</t>
  </si>
  <si>
    <t>[TotalRefund] - Extend rgSSRPrices request with bundle sessionId</t>
  </si>
  <si>
    <t>En revisión</t>
  </si>
  <si>
    <t>API-1238</t>
  </si>
  <si>
    <t>Change the error code when Customer Number doesn't match in Companions</t>
  </si>
  <si>
    <t>En curso</t>
  </si>
  <si>
    <t>API-1253</t>
  </si>
  <si>
    <t>[Boarding Passes]  Add connectsInStation</t>
  </si>
  <si>
    <t>Septiembre</t>
  </si>
  <si>
    <t>API-1258</t>
  </si>
  <si>
    <t>[P2P] - Do not return transfer object in booking output for P2P comment</t>
  </si>
  <si>
    <t>API-1270</t>
  </si>
  <si>
    <t>Extend lowfare search output with fareWithTua</t>
  </si>
  <si>
    <t>API-1292</t>
  </si>
  <si>
    <t>Create /availability/presales</t>
  </si>
  <si>
    <t>API-1294</t>
  </si>
  <si>
    <t>Add VD product class to search request / low fare request</t>
  </si>
  <si>
    <t>API-1297</t>
  </si>
  <si>
    <t>rgBundlePriceSimple is sending Zero days in lengthOfStayInDays</t>
  </si>
  <si>
    <t>Done</t>
  </si>
  <si>
    <t>API-1299</t>
  </si>
  <si>
    <t>[UK Tax] Mantain use of fees in booking and check-in flow</t>
  </si>
  <si>
    <t>API-1300</t>
  </si>
  <si>
    <t>Discount the rgBundlePriceSimple to the AirfareDifference and show in bundleDifference</t>
  </si>
  <si>
    <t>API-1309</t>
  </si>
  <si>
    <t>[Total Refund] - Extend reimbursement options rules for Excluded FEE Codes</t>
  </si>
  <si>
    <t>API-1322</t>
  </si>
  <si>
    <t>[Total Refund] - Send new parameter in rgBundlePrices</t>
  </si>
  <si>
    <t>API-853</t>
  </si>
  <si>
    <t>Admin Portal Setting to configure CBX for TJX</t>
  </si>
  <si>
    <t>Comentarios</t>
  </si>
  <si>
    <t/>
  </si>
  <si>
    <t>API-1262</t>
  </si>
  <si>
    <t>Search Results Change</t>
  </si>
  <si>
    <t>Octubre</t>
  </si>
  <si>
    <t>API-1158</t>
  </si>
  <si>
    <t>[Booking Search] Extend service to support different digit search</t>
  </si>
  <si>
    <t>API-1295</t>
  </si>
  <si>
    <t>Add presale flag to the booking journey</t>
  </si>
  <si>
    <t>API-1335</t>
  </si>
  <si>
    <t xml:space="preserve">[UK Tax] Consider connecting flights </t>
  </si>
  <si>
    <t>API-1339</t>
  </si>
  <si>
    <t>LongStayInDAys to revGAuge is not comparing dates correctly</t>
  </si>
  <si>
    <t>API-1275</t>
  </si>
  <si>
    <t>[CardInformation] Get card information</t>
  </si>
  <si>
    <t>API-872</t>
  </si>
  <si>
    <t>[Doters] Wipeout</t>
  </si>
  <si>
    <t>En Curso</t>
  </si>
  <si>
    <t>API-1355</t>
  </si>
  <si>
    <t>[Presales] Add an additional field on new endpoint /availability/presales</t>
  </si>
  <si>
    <t>API-1302</t>
  </si>
  <si>
    <t>[HotelsPlus] - Return hotelsplus availability label in lowfares respose</t>
  </si>
  <si>
    <t>Luis Galindo</t>
  </si>
  <si>
    <t>API-1080</t>
  </si>
  <si>
    <t>Reimbursement method - ReverseCreditCard</t>
  </si>
  <si>
    <t>API-1210</t>
  </si>
  <si>
    <t>[Transfer] - Return transfer contact information during transfer process and not allow email editing email field</t>
  </si>
  <si>
    <t>API-1237</t>
  </si>
  <si>
    <t>[Doters] Allow regular fare for anonymous users in RegularAndPoints flow</t>
  </si>
  <si>
    <t>API-1189</t>
  </si>
  <si>
    <t>[Yuno Payments] - Return selected Wallet in booking full payments type</t>
  </si>
  <si>
    <t>API-1247</t>
  </si>
  <si>
    <t>Extend resources/stations with train stations</t>
  </si>
  <si>
    <t>API-1252</t>
  </si>
  <si>
    <t>Extend booking output with train information</t>
  </si>
  <si>
    <t>API-1290</t>
  </si>
  <si>
    <t>[TUA] Add percent discount for Viva Candy on the fareWithTUA response</t>
  </si>
  <si>
    <t>API-1291</t>
  </si>
  <si>
    <t>[TUA] - Intl MXN empty field</t>
  </si>
  <si>
    <t>Desviado</t>
  </si>
  <si>
    <t>API-1303</t>
  </si>
  <si>
    <t>[HotelsPlus] - When having promo code fareplace is not being called</t>
  </si>
  <si>
    <t>API-1307</t>
  </si>
  <si>
    <t>Add new role for Agency users</t>
  </si>
  <si>
    <t>API-1249</t>
  </si>
  <si>
    <t>Create train/availability endpoint</t>
  </si>
  <si>
    <t>API-1069</t>
  </si>
  <si>
    <t>Agency - Enable AG payment with USD/MXN</t>
  </si>
  <si>
    <t>Bloqueado</t>
  </si>
  <si>
    <t>API-1319</t>
  </si>
  <si>
    <t>Create train/delete endpoint</t>
  </si>
  <si>
    <t>API-1266</t>
  </si>
  <si>
    <t>[Experience] Add admin portal configuration</t>
  </si>
  <si>
    <t>API-1250</t>
  </si>
  <si>
    <t>Create train/add endpoint</t>
  </si>
  <si>
    <t>Pausado</t>
  </si>
  <si>
    <t>API-1267</t>
  </si>
  <si>
    <t>[Experience] Return experience services in booking/availableservices endpoint</t>
  </si>
  <si>
    <t>API-1251</t>
  </si>
  <si>
    <t>Add train comment and extend basket dispatcher</t>
  </si>
  <si>
    <t>API-1316</t>
  </si>
  <si>
    <t>Enable Hopper Insurance (VBJH) in Manage My Booking (MMB) Flow</t>
  </si>
  <si>
    <t>API-1268</t>
  </si>
  <si>
    <t>[Experience] Add experience services</t>
  </si>
  <si>
    <t>API-1269</t>
  </si>
  <si>
    <t>[Experience] Include experienceServices in booking output</t>
  </si>
  <si>
    <t>En pausa</t>
  </si>
  <si>
    <t>Luis</t>
  </si>
  <si>
    <t xml:space="preserve">Ticket </t>
  </si>
  <si>
    <t>Título</t>
  </si>
  <si>
    <t>Fecha In Review</t>
  </si>
  <si>
    <t>Aplica Devolución (Si/No)</t>
  </si>
  <si>
    <t>Justificación</t>
  </si>
  <si>
    <t xml:space="preserve">Eric </t>
  </si>
  <si>
    <t>-</t>
  </si>
  <si>
    <t>Primer envío a review</t>
  </si>
  <si>
    <t>No</t>
  </si>
  <si>
    <t>Porque de Navitaire se retornaba un error si se solicitaban 40 conexiones, se solicitu un cambio en navitaire para aumentar hasta 40 conexiones.</t>
  </si>
  <si>
    <t>No aplica</t>
  </si>
  <si>
    <t>Estado de regreso</t>
  </si>
  <si>
    <t>Porque faltaba contexto de que respuesta debia enviar el Generic API, si limitar todos los journeys o solo las conexiones</t>
  </si>
  <si>
    <t>Se encontró un error en este ticket durante las pruebas de aceptación del usuario (UAT).
El error ocurre cuando todos los vuelos de conexión están agotados.
Para corregirlo, se creó un nuevo Pull Request (PR):</t>
  </si>
  <si>
    <t>Gestión interna Luis para validar unas reglas con Adrián</t>
  </si>
  <si>
    <t>Piotr revisa y valida con negocio y la pasa a PAUSADO</t>
  </si>
  <si>
    <t>Cambio guardar información del ticket de comentarios de la reserva a notas del SSR. Estos cambios luego tuvieron que ser revertidos a una limitación de 128 caracteres de las notas del SSR. También se afecta el ticket API-1251.</t>
  </si>
  <si>
    <t>Review natural por el cambio realizado anteriormente</t>
  </si>
  <si>
    <t>Se pasa por última vez a review y se obtiene la aprobación</t>
  </si>
  <si>
    <t>Primer envío a review. Piotr revisa y valida con negocio y la pasa a PAUSADO</t>
  </si>
  <si>
    <t>Cambio guardar información del ticket de comentarios de la reserva a notas del SSR. Estos cambios luego tuvieron que ser revertidos a una limitación de 128 caracteres de las notas del SSR. También se afecta el ticket API-1250.</t>
  </si>
  <si>
    <t>Fecha corrección</t>
  </si>
  <si>
    <t>Fecha reporte</t>
  </si>
  <si>
    <t>Registrado oct 25</t>
  </si>
  <si>
    <t>Tipo de Ticket</t>
  </si>
  <si>
    <t>API-1372</t>
  </si>
  <si>
    <t>[Fetcherr] PromoCode is being sent to Fetcherr even when apply</t>
  </si>
  <si>
    <t>27/10 se reporta error  Q4 DYNAMIC FARES</t>
  </si>
  <si>
    <t>Bug</t>
  </si>
  <si>
    <t>API-1383</t>
  </si>
  <si>
    <t xml:space="preserve">[TrenMaya] - Train Availability is returning availbility for selected date and more dates in same response
</t>
  </si>
  <si>
    <t>Kenny Munaque</t>
  </si>
  <si>
    <t>STI-220</t>
  </si>
  <si>
    <t>2710/Pendiente de la revisión de la lambda en Prod. Sin incidentes reportados aún.- Propósito: Liberarlo esta semana, alinear alcance, se omitieron dos pasos, viernes implementó lo que faltaba. hubo dificultad en test con la liberación porque el stacks estaba atorado por apoyo de devs, Luis y Antonio con permisos que ellos tienen</t>
  </si>
  <si>
    <t>[Queue manager] SMS - Agregar lógica de envío de notificaciones queue manager a scheduler de pax alert</t>
  </si>
  <si>
    <t>OPS</t>
  </si>
  <si>
    <t>On time</t>
  </si>
  <si>
    <t>Etiquetas de fila</t>
  </si>
  <si>
    <t>Suma de Registrado Dic 25</t>
  </si>
  <si>
    <t>Felix Vegas</t>
  </si>
  <si>
    <t>Luis Galindo Test</t>
  </si>
  <si>
    <t>Marvin Cadavid</t>
  </si>
  <si>
    <t>Sebastian Miranda</t>
  </si>
  <si>
    <t>Total general</t>
  </si>
  <si>
    <t>MÉXICO</t>
  </si>
  <si>
    <t xml:space="preserve">Enero </t>
  </si>
  <si>
    <t>Febrero</t>
  </si>
  <si>
    <t>Marzo</t>
  </si>
  <si>
    <t>Abril</t>
  </si>
  <si>
    <t>Mayo</t>
  </si>
  <si>
    <t>Junio</t>
  </si>
  <si>
    <t>Julio</t>
  </si>
  <si>
    <t>Noviembre</t>
  </si>
  <si>
    <t>Diciembre</t>
  </si>
  <si>
    <t>jueves 01</t>
  </si>
  <si>
    <t>lunes 02</t>
  </si>
  <si>
    <t>lunes 16</t>
  </si>
  <si>
    <t>jueves 02</t>
  </si>
  <si>
    <t>viernes 01</t>
  </si>
  <si>
    <t>jueves 04</t>
  </si>
  <si>
    <t>miércoles 16</t>
  </si>
  <si>
    <t>lunes 21</t>
  </si>
  <si>
    <t>martes 06</t>
  </si>
  <si>
    <t>miércoles 18</t>
  </si>
  <si>
    <t>viernes 03</t>
  </si>
  <si>
    <t>martes 05</t>
  </si>
  <si>
    <t>jueves 24</t>
  </si>
  <si>
    <t>miércoles 14</t>
  </si>
  <si>
    <t>martes 24</t>
  </si>
  <si>
    <t>viernes 15</t>
  </si>
  <si>
    <t>viernes 25</t>
  </si>
  <si>
    <t>viernes 31</t>
  </si>
  <si>
    <t>COLOMBIA</t>
  </si>
  <si>
    <t>lunes 23</t>
  </si>
  <si>
    <t>lunes 08</t>
  </si>
  <si>
    <t>lunes 20</t>
  </si>
  <si>
    <t>viernes 07</t>
  </si>
  <si>
    <t>lunes 12</t>
  </si>
  <si>
    <t>martes 08</t>
  </si>
  <si>
    <t>martes 12</t>
  </si>
  <si>
    <t>jueves 18</t>
  </si>
  <si>
    <t>lunes 15</t>
  </si>
  <si>
    <t>lunes 17</t>
  </si>
  <si>
    <t>lunes 29</t>
  </si>
  <si>
    <t>Fecha entrega</t>
  </si>
  <si>
    <t>Registrado Agosto26</t>
  </si>
  <si>
    <t>Desviación 30%</t>
  </si>
  <si>
    <t>Devoluciones</t>
  </si>
  <si>
    <t>Observaciones Desvío</t>
  </si>
  <si>
    <t>Finalizado</t>
  </si>
  <si>
    <t>API-1456</t>
  </si>
  <si>
    <t>Do not return services or insurances with Price 0</t>
  </si>
  <si>
    <t>Reasignado</t>
  </si>
  <si>
    <t>API-1458</t>
  </si>
  <si>
    <t>Investigation - [Transfer] - Transfer cancellation not adding comment into Navitaire</t>
  </si>
  <si>
    <t>Backlog</t>
  </si>
  <si>
    <t>API-1469</t>
  </si>
  <si>
    <t>[RefundableFare] - Refundable fare Amounts mismatch when doing upsell process</t>
  </si>
  <si>
    <t>Cerrado</t>
  </si>
  <si>
    <t>API-1524</t>
  </si>
  <si>
    <t>NoJourneysAvailable - MEX SAL (web) and MTY BOG (mobile)</t>
  </si>
  <si>
    <t>API-1031</t>
  </si>
  <si>
    <t>Marketplace - Add Notification</t>
  </si>
  <si>
    <t>API-1248</t>
  </si>
  <si>
    <t>Investigation - [Account] Error when we are doing a Restore Token with Navitaire (TokenUpgrade)</t>
  </si>
  <si>
    <t>API-1260</t>
  </si>
  <si>
    <t>[Uber]Passenger Count Limit</t>
  </si>
  <si>
    <t>API-1271</t>
  </si>
  <si>
    <t>[Booking search]  - Check-in time in booking/full</t>
  </si>
  <si>
    <t>API-1333</t>
  </si>
  <si>
    <t>[Kiosk] Add verified documents</t>
  </si>
  <si>
    <t>API-1358</t>
  </si>
  <si>
    <t>Log traces with status 400 as OK on graph/tokenupgrade</t>
  </si>
  <si>
    <t>API-1393</t>
  </si>
  <si>
    <t>[UK Tax] incorrect charge on round trip</t>
  </si>
  <si>
    <t>API-1404</t>
  </si>
  <si>
    <t>Boarding Time - TJX</t>
  </si>
  <si>
    <t>API-1405</t>
  </si>
  <si>
    <t>Add a new role for Agency users</t>
  </si>
  <si>
    <t>API-1418</t>
  </si>
  <si>
    <t>New bording zones</t>
  </si>
  <si>
    <t>API-1431</t>
  </si>
  <si>
    <t>[GDS Bookings] Handle Contacts in booking/updatepassengers endpoint</t>
  </si>
  <si>
    <t>API-1432</t>
  </si>
  <si>
    <t>[GDS Bookings] Add a booking comment when a contact email is updated</t>
  </si>
  <si>
    <t>En Pausa</t>
  </si>
  <si>
    <t>API-1433</t>
  </si>
  <si>
    <t>[GDS Bookings] Add a notification when a GDS booking requires an email update</t>
  </si>
  <si>
    <t>API-1459</t>
  </si>
  <si>
    <t>[IROP] Check boarding status to return irop information</t>
  </si>
  <si>
    <t>API-1466</t>
  </si>
  <si>
    <t>[Error] ChangeJourneys</t>
  </si>
  <si>
    <t>API-1481</t>
  </si>
  <si>
    <t>[New bundle] - Adjustments required so that the flow is not broken when using the new bundle</t>
  </si>
  <si>
    <t>API-843</t>
  </si>
  <si>
    <t>Investigation - [Payments] Vouchers - Map the error details data</t>
  </si>
  <si>
    <t>API-1510</t>
  </si>
  <si>
    <t>[Doters] External Additional Payment forms ONLY for Doters accrual</t>
  </si>
  <si>
    <t>API-1498</t>
  </si>
  <si>
    <t>Boarding zone for new bundle</t>
  </si>
  <si>
    <t>API-1402</t>
  </si>
  <si>
    <t>[GreenCard] CheckinBlockedPassengerHasNoVisaOrGreenCard</t>
  </si>
  <si>
    <t xml:space="preserve">En revisión </t>
  </si>
  <si>
    <t>API-1515</t>
  </si>
  <si>
    <t>Investigation - [IROP] Delays in flight through</t>
  </si>
  <si>
    <t>API-1525</t>
  </si>
  <si>
    <t>GDS bookings cannot be retrieved in the APP</t>
  </si>
  <si>
    <t>API-1315</t>
  </si>
  <si>
    <t>Add query param to get points breakdown in booking/full</t>
  </si>
  <si>
    <t>API-1536</t>
  </si>
  <si>
    <t>Fix response bookingfull / displaybookingamount</t>
  </si>
  <si>
    <t>API-1516</t>
  </si>
  <si>
    <t>Investigation - [PartialPayments] Production issues - VBJL, VART</t>
  </si>
  <si>
    <t>API-1538</t>
  </si>
  <si>
    <t xml:space="preserve">[Upsell non departed journey] - Booking rules at booking root level are not taking the latest bundle after an upsell
</t>
  </si>
  <si>
    <t>API-1553</t>
  </si>
  <si>
    <t>[TransferBooking] - Do not depend on comment for cancelling transfer, validate Queue only</t>
  </si>
  <si>
    <t>API-1559</t>
  </si>
  <si>
    <t>[Schedules] High error rate on availability/schedule</t>
  </si>
  <si>
    <t>API-1557</t>
  </si>
  <si>
    <t>Change the error code when pax type is invalid</t>
  </si>
  <si>
    <t>API-1572</t>
  </si>
  <si>
    <t>[IROP] booking/rules add setting per journey to IROP setting</t>
  </si>
  <si>
    <t>API-1544</t>
  </si>
  <si>
    <t>Ignore Agent fron comments in Custom Services</t>
  </si>
  <si>
    <t>API-1563</t>
  </si>
  <si>
    <t>[Marketplace comments &amp; Notifications] - When having marketplace offerstatus comment booking is not loading</t>
  </si>
  <si>
    <t>API-1560</t>
  </si>
  <si>
    <t>[Booking] Map error in flights with minimum time between journeys</t>
  </si>
  <si>
    <t>API-1242</t>
  </si>
  <si>
    <t>[ExpressTag] Change in v1/booking/bags</t>
  </si>
  <si>
    <t>API-1582</t>
  </si>
  <si>
    <t>Change from zone 1 to zone 2</t>
  </si>
  <si>
    <t>API-1240</t>
  </si>
  <si>
    <t>[ExpressTag] Create Booking Rule DisplayExpressTag</t>
  </si>
  <si>
    <t>API-1590</t>
  </si>
  <si>
    <t>[Fuel Surcharge] - Fuel SSR services adjustment and payment process validation</t>
  </si>
  <si>
    <t>API-1592</t>
  </si>
  <si>
    <t>[Doters] Fallback options for Yield Management</t>
  </si>
  <si>
    <t>API-1617</t>
  </si>
  <si>
    <t>[API1557] Change error code when pax type is invalid (INF)</t>
  </si>
  <si>
    <t>API-1603</t>
  </si>
  <si>
    <t>[Doters] Response amount of points in booking</t>
  </si>
  <si>
    <t>API-1601</t>
  </si>
  <si>
    <t>Setting in AP to set the resetPasswordUrl in /account/requestpasswordreset endpoint</t>
  </si>
  <si>
    <t>API-1529</t>
  </si>
  <si>
    <t>[RelocateComments] Get relocated comments and use them</t>
  </si>
  <si>
    <t>API-1651</t>
  </si>
  <si>
    <t>Pricing Type - Available Bundles</t>
  </si>
  <si>
    <t>API-1661</t>
  </si>
  <si>
    <t>Pricing Type - Available Services</t>
  </si>
  <si>
    <t>API-1652</t>
  </si>
  <si>
    <t>Pricing Type - Post Bundles</t>
  </si>
  <si>
    <t>API-1662</t>
  </si>
  <si>
    <t>Pricing Type - Change Services</t>
  </si>
  <si>
    <t>API-1119</t>
  </si>
  <si>
    <t>[Avasa] Add new GET vehicle/locations endpoint</t>
  </si>
  <si>
    <t>API-1120</t>
  </si>
  <si>
    <t>[Avasa] Add new GET vehicle/availability endpoint</t>
  </si>
  <si>
    <t>API-1167</t>
  </si>
  <si>
    <t>[YunoAsync &amp; Yuno Wallet] Change in payment/checkstatus</t>
  </si>
  <si>
    <t>[TrenMaya] - Adjustments</t>
  </si>
  <si>
    <t>API-1396</t>
  </si>
  <si>
    <t>API-1408</t>
  </si>
  <si>
    <t>Add InTransit field to passenger DestinationAddressInput</t>
  </si>
  <si>
    <t>API-1439</t>
  </si>
  <si>
    <t>[AG] New Setting - Change Domain for Agencies</t>
  </si>
  <si>
    <t>API-1452</t>
  </si>
  <si>
    <t>[Change Flight] Discrepancies between bundles</t>
  </si>
  <si>
    <t>API-1463</t>
  </si>
  <si>
    <t>Change exchangeRate output in methods available output [Breaking Change]</t>
  </si>
  <si>
    <t>API-1464</t>
  </si>
  <si>
    <t>[PartialPayment] update FeeAmount and downPaymentAmount calculation</t>
  </si>
  <si>
    <t>API-724</t>
  </si>
  <si>
    <t>Use stateless booking retrieve requests</t>
  </si>
  <si>
    <t>API-1121</t>
  </si>
  <si>
    <t>[Avasa] Add new POST vehicle/add endpoint</t>
  </si>
  <si>
    <t>API-1473</t>
  </si>
  <si>
    <t>[TrenMaya] - Tren Maya price percentage adjustment</t>
  </si>
  <si>
    <t>API-1508</t>
  </si>
  <si>
    <t>[TrenMaya] - Ajust booking structure to support differents status from Tren Maya comment</t>
  </si>
  <si>
    <t>API-1122</t>
  </si>
  <si>
    <t>[Avasa] Add new POST vehicle/delete endpoint</t>
  </si>
  <si>
    <t>API-1329</t>
  </si>
  <si>
    <t>[Avasa] Handle vehicle rental in payment/process</t>
  </si>
  <si>
    <t>API-1523</t>
  </si>
  <si>
    <t>Investigation - [HotelPlus] - Error in percentage to be discount on bookings with childrens</t>
  </si>
  <si>
    <t>API-1535</t>
  </si>
  <si>
    <t>[Tren Maya] - Train Add error - SSR amount is not being overridden from the amount of the selected journey</t>
  </si>
  <si>
    <t>API-1330</t>
  </si>
  <si>
    <t>[Avasa] Handle vehicle rental in GET booking, booking/full, booking/search endpoints</t>
  </si>
  <si>
    <t>API-1500</t>
  </si>
  <si>
    <t>[TrenMaya] - Do not return TrenMaya service when having multiple nationalities in the booking</t>
  </si>
  <si>
    <t>API-1545</t>
  </si>
  <si>
    <t>[Avasa]Add new fields to the Booking Response</t>
  </si>
  <si>
    <t>API-1332</t>
  </si>
  <si>
    <t>[Avasa] Handle cancelling existing reservation in vehicle/delete endpoint</t>
  </si>
  <si>
    <t>API-771</t>
  </si>
  <si>
    <t>Admin Panel Roles &amp; Security with Microsoft SSO</t>
  </si>
  <si>
    <t>SSO</t>
  </si>
  <si>
    <t>API-1555</t>
  </si>
  <si>
    <t>Analyze [Avasa] - Payment during booking flow</t>
  </si>
  <si>
    <t>API-1564</t>
  </si>
  <si>
    <t>[Avasa] Add commission fee and return location type on vehicle location</t>
  </si>
  <si>
    <t>API-1573</t>
  </si>
  <si>
    <t>[Avasa]Add field ReturnLocations to the Booking Response</t>
  </si>
  <si>
    <t>API-1546</t>
  </si>
  <si>
    <t xml:space="preserve">Investigation - VivaKiosk - Issue with addbags </t>
  </si>
  <si>
    <t>API-1585</t>
  </si>
  <si>
    <t>[BoardingPass] Offset in checkin/boardingpass</t>
  </si>
  <si>
    <t>API-1602</t>
  </si>
  <si>
    <t>New mapping - Extend VQ and VR with new payment fields</t>
  </si>
  <si>
    <t>API-1610</t>
  </si>
  <si>
    <t>[Doters] Change Yield Management URL</t>
  </si>
  <si>
    <t>API-1611</t>
  </si>
  <si>
    <t>Add Domain to CORS for /internal/childcompanion</t>
  </si>
  <si>
    <t>API-1599</t>
  </si>
  <si>
    <t>[OCP] - Validate user account data in OneClickPurchase booking rule</t>
  </si>
  <si>
    <t>API-1442</t>
  </si>
  <si>
    <t>[IROP] Add compensation restriction per route</t>
  </si>
  <si>
    <t>API-1415</t>
  </si>
  <si>
    <t>[PricesOptimizations] - Send additional fields into revGauge rgSSRPrices and rgBundlePrices</t>
  </si>
  <si>
    <t>API-1606</t>
  </si>
  <si>
    <t>Investigation - [Total Refund] - Cancellation of both journeys is only sending amount of the first journey</t>
  </si>
  <si>
    <t>API-1621</t>
  </si>
  <si>
    <t>Acompañamiento Liderazgo Técnico Abril 2026</t>
  </si>
  <si>
    <t>API-1618</t>
  </si>
  <si>
    <t>[Car Rental] - Add new field (Rates request)</t>
  </si>
  <si>
    <t>API-1626</t>
  </si>
  <si>
    <t>[TrenMaya] - Booking output is returning incorrect prices when having Train Round trip</t>
  </si>
  <si>
    <t>API-1638</t>
  </si>
  <si>
    <t>Change Yield Management and AVASA</t>
  </si>
  <si>
    <t>API-1640</t>
  </si>
  <si>
    <t>[Breaking change] Add payment fee in selectMethod for installment fees</t>
  </si>
  <si>
    <t>API-1649</t>
  </si>
  <si>
    <t>[Tren Maya] - Update Staging and Prod URL</t>
  </si>
  <si>
    <t>API-1641</t>
  </si>
  <si>
    <t>Add payment fee in selectMethod for external payment</t>
  </si>
  <si>
    <t xml:space="preserve"> 
Las horas de Julio corresponden al retrabajo invertido para la matriz de casos de pruebas que se agregó en su versión final el 30 de Junio, días posteriores a que el ticket fuera movido a Review sin el requerimiento de evidencias de una matriz de pruebas. Esto requirió recontextualización, reconstrucción de escenarios de pruebas (configuraciones, colecciones, etc) y levantamiento de evidencias para la matriz.</t>
  </si>
  <si>
    <t>API-1686</t>
  </si>
  <si>
    <t>Investigation - [Doters] Yield Management restriction</t>
  </si>
  <si>
    <t>API-1695</t>
  </si>
  <si>
    <t>[Partial Payments + hotels] - Toggle toggle for min hours and refund date validation</t>
  </si>
  <si>
    <t>Las horas de Julio corresponden al retrabajo invertido para la matriz de casos de pruebas que se agregó en su versión final el 21 de Junio, días posteriores a que el ticket fuera movido a Review sin el requerimiento de evidencias de una matriz de pruebas. Esto requirió recontextualización, reconstrucción de escenarios de pruebas (configuraciones, colecciones, etc) y levantamiento de evidencias para la matriz, además de apoyo de VB para probar un escenario que dio complicaciones.</t>
  </si>
  <si>
    <t>API-1703</t>
  </si>
  <si>
    <t xml:space="preserve">Get installment fees amount with single call </t>
  </si>
  <si>
    <t>API-1666</t>
  </si>
  <si>
    <t>Acompañamiento Liderazgo Técnico Junio 2026</t>
  </si>
  <si>
    <t>API-1691</t>
  </si>
  <si>
    <t>Investigation - [PartialPayments] Inconsistency Down Payment greater than total</t>
  </si>
  <si>
    <t>API-1704</t>
  </si>
  <si>
    <t>Do not return installment offer with fee when fee is not available in Navitaire</t>
  </si>
  <si>
    <t>Las horas de Julio corresponden al retrabajo invertido para la matriz de casos de pruebas que se agregó en su versión final el 22 de Junio, varias semanas posteriores a que el ticket fuera movido a Review sin el requerimiento de evidencias de una matriz de pruebas. Esto requirió recontextualización completa del proyecto RelocateComments, reconstrucción de escenarios de pruebas (configuraciones, colecciones, etc) y levantamiento de evidencias para la matriz. Adicionalmente, el servicio externo presentó varias inconsistencias que tuvieron que ser validadas con VB en varios intercambios de estado del ticket. Finalmente, se identificó que el servicio externo de RelocateComments cambio en su contrato con la integración de GenericAPI lo que implicó tener que cambiar la implementación que había y ejecutar las pruebas sobre lo nuevo implementado.</t>
  </si>
  <si>
    <t>API-1708</t>
  </si>
  <si>
    <t>[Doters] Add setting to control cache to obtain Doters balance</t>
  </si>
  <si>
    <t>La estimación de este ticket no contempló las validaciones, cambio de diseño en la implementación y ajustes posteriores a que fue movido a review, que fueron tomadas durante una daily con Ezy y VB. El tiempo adicional se fue en ello.</t>
  </si>
  <si>
    <t>API-1790</t>
  </si>
  <si>
    <t>[Avasa Car Rental] - Error is returned to the front end when we don´t receive some fields data from avasa response</t>
  </si>
  <si>
    <t>API-1794</t>
  </si>
  <si>
    <t>[IROP] Exclude From Irop - BookingStatus</t>
  </si>
  <si>
    <t>API-1796</t>
  </si>
  <si>
    <t>[Payments] Expose Card Issuer in storedPayments</t>
  </si>
  <si>
    <t>API-1403</t>
  </si>
  <si>
    <t>Reimbursement Options - Enable for SSR</t>
  </si>
  <si>
    <t>API-1427</t>
  </si>
  <si>
    <t>[Self-reaccomm] Handle Change Flight</t>
  </si>
  <si>
    <t>Daniel Llano</t>
  </si>
  <si>
    <t>API-1609</t>
  </si>
  <si>
    <t xml:space="preserve">[Services] - Available per culture code </t>
  </si>
  <si>
    <r>
      <rPr>
        <sz val="11"/>
        <color rgb="FF000000"/>
        <rFont val="Aptos Narrow"/>
        <scheme val="minor"/>
      </rPr>
      <t xml:space="preserve">Se registraron </t>
    </r>
    <r>
      <rPr>
        <b/>
        <sz val="11"/>
        <color rgb="FF000000"/>
        <rFont val="Aptos Narrow"/>
        <scheme val="minor"/>
      </rPr>
      <t>tres devoluciones de revisión</t>
    </r>
    <r>
      <rPr>
        <sz val="11"/>
        <color rgb="FF000000"/>
        <rFont val="Aptos Narrow"/>
        <scheme val="minor"/>
      </rPr>
      <t xml:space="preserve"> entre el 08 y el 10/04. Cada devolución requirió ajustes funcionales, actualización del código y una nueva validación antes de integrar el PR. El tiempo adicional corresponde principalmente a estos ciclos de revisión.</t>
    </r>
  </si>
  <si>
    <t>API-1446</t>
  </si>
  <si>
    <t>[Payments] Change Expiration Date calculation with setting in AP</t>
  </si>
  <si>
    <t>API-1608</t>
  </si>
  <si>
    <t>[Avasa] Add reservationNumber to booking/full response</t>
  </si>
  <si>
    <t>API-1574</t>
  </si>
  <si>
    <t>[Child registration] Adjustments in booking/full</t>
  </si>
  <si>
    <t>API-1623</t>
  </si>
  <si>
    <t>[Services] - New config to not return services in bookings with infants</t>
  </si>
  <si>
    <t>API-1620</t>
  </si>
  <si>
    <t>[IROP] Block carrier flights from rebook options</t>
  </si>
  <si>
    <t>API-1604</t>
  </si>
  <si>
    <t>[Doters] Increase minimum amount with bundles</t>
  </si>
  <si>
    <t>API-1547</t>
  </si>
  <si>
    <t>[Child registration] Adjustments in account/companions</t>
  </si>
  <si>
    <t>API-1565</t>
  </si>
  <si>
    <t>[TotalRefund] - Comment added multiple times for each payment attempt</t>
  </si>
  <si>
    <r>
      <t xml:space="preserve">Reabierto el </t>
    </r>
    <r>
      <rPr>
        <b/>
        <sz val="11"/>
        <color rgb="FF000000"/>
        <rFont val="Segoe UI"/>
        <family val="2"/>
      </rPr>
      <t>09/07</t>
    </r>
    <r>
      <rPr>
        <sz val="11"/>
        <color rgb="FF000000"/>
        <rFont val="Segoe UI"/>
        <family val="2"/>
      </rPr>
      <t xml:space="preserve">. Se creó la colección, se generaron </t>
    </r>
    <r>
      <rPr>
        <b/>
        <sz val="11"/>
        <color rgb="FF000000"/>
        <rFont val="Segoe UI"/>
        <family val="2"/>
      </rPr>
      <t>7 evidencias</t>
    </r>
    <r>
      <rPr>
        <sz val="11"/>
        <color rgb="FF000000"/>
        <rFont val="Segoe UI"/>
        <family val="2"/>
      </rPr>
      <t xml:space="preserve"> y se realizó un ajuste funcional entre el </t>
    </r>
    <r>
      <rPr>
        <b/>
        <sz val="11"/>
        <color rgb="FF000000"/>
        <rFont val="Segoe UI"/>
        <family val="2"/>
      </rPr>
      <t>09–10/07</t>
    </r>
    <r>
      <rPr>
        <sz val="11"/>
        <color rgb="FF000000"/>
        <rFont val="Segoe UI"/>
        <family val="2"/>
      </rPr>
      <t xml:space="preserve"> para agregar </t>
    </r>
    <r>
      <rPr>
        <sz val="10"/>
        <color rgb="FF000000"/>
        <rFont val="Arial Unicode MS"/>
      </rPr>
      <t>RefundableAmount</t>
    </r>
    <r>
      <rPr>
        <sz val="11"/>
        <color rgb="FF000000"/>
        <rFont val="Segoe UI"/>
        <family val="2"/>
      </rPr>
      <t xml:space="preserve"> únicamente después de un pago aprobado.</t>
    </r>
  </si>
  <si>
    <t>API-1584</t>
  </si>
  <si>
    <t>[MethodsAvailable] Handling available payments with errors in external services (vivaCash-YunoWallets)</t>
  </si>
  <si>
    <r>
      <t xml:space="preserve">Reabierto el </t>
    </r>
    <r>
      <rPr>
        <b/>
        <sz val="11"/>
        <color rgb="FF000000"/>
        <rFont val="Segoe UI"/>
        <family val="2"/>
      </rPr>
      <t>22/07</t>
    </r>
    <r>
      <rPr>
        <sz val="11"/>
        <color rgb="FF000000"/>
        <rFont val="Segoe UI"/>
        <family val="2"/>
      </rPr>
      <t xml:space="preserve">. Existe un worklog explícito de preparación de Postman. La colección y las </t>
    </r>
    <r>
      <rPr>
        <b/>
        <sz val="11"/>
        <color rgb="FF000000"/>
        <rFont val="Segoe UI"/>
        <family val="2"/>
      </rPr>
      <t>7 evidencias</t>
    </r>
    <r>
      <rPr>
        <sz val="11"/>
        <color rgb="FF000000"/>
        <rFont val="Segoe UI"/>
        <family val="2"/>
      </rPr>
      <t xml:space="preserve"> fueron trabajadas entre el </t>
    </r>
    <r>
      <rPr>
        <b/>
        <sz val="11"/>
        <color rgb="FF000000"/>
        <rFont val="Segoe UI"/>
        <family val="2"/>
      </rPr>
      <t>23–29/07</t>
    </r>
    <r>
      <rPr>
        <sz val="11"/>
        <color rgb="FF000000"/>
        <rFont val="Segoe UI"/>
        <family val="2"/>
      </rPr>
      <t>, incluyendo validaciones de continuidad del servicio y regresión de otros métodos de pago.</t>
    </r>
  </si>
  <si>
    <t>API-1624</t>
  </si>
  <si>
    <t>[Transfer] - Block booking rules for transfered bookings</t>
  </si>
  <si>
    <r>
      <t xml:space="preserve">La revisión provocó la reapertura del ticket y </t>
    </r>
    <r>
      <rPr>
        <b/>
        <sz val="11"/>
        <color rgb="FF000000"/>
        <rFont val="Segoe UI"/>
        <family val="2"/>
      </rPr>
      <t>3 correcciones funcionales</t>
    </r>
    <r>
      <rPr>
        <sz val="11"/>
        <color rgb="FF000000"/>
        <rFont val="Segoe UI"/>
        <family val="2"/>
      </rPr>
      <t xml:space="preserve"> entre el </t>
    </r>
    <r>
      <rPr>
        <b/>
        <sz val="11"/>
        <color rgb="FF000000"/>
        <rFont val="Segoe UI"/>
        <family val="2"/>
      </rPr>
      <t>17–19/06</t>
    </r>
    <r>
      <rPr>
        <sz val="11"/>
        <color rgb="FF000000"/>
        <rFont val="Segoe UI"/>
        <family val="2"/>
      </rPr>
      <t xml:space="preserve">. Posteriormente se prepararon una guía, una colección de Postman y </t>
    </r>
    <r>
      <rPr>
        <b/>
        <sz val="11"/>
        <color rgb="FF000000"/>
        <rFont val="Segoe UI"/>
        <family val="2"/>
      </rPr>
      <t>7 evidencias</t>
    </r>
    <r>
      <rPr>
        <sz val="11"/>
        <color rgb="FF000000"/>
        <rFont val="Segoe UI"/>
        <family val="2"/>
      </rPr>
      <t xml:space="preserve"> entre el </t>
    </r>
    <r>
      <rPr>
        <b/>
        <sz val="11"/>
        <color rgb="FF000000"/>
        <rFont val="Segoe UI"/>
        <family val="2"/>
      </rPr>
      <t>06–08/07</t>
    </r>
    <r>
      <rPr>
        <sz val="11"/>
        <color rgb="FF000000"/>
        <rFont val="Segoe UI"/>
        <family val="2"/>
      </rPr>
      <t xml:space="preserve">. El PR se integró el </t>
    </r>
    <r>
      <rPr>
        <b/>
        <sz val="11"/>
        <color rgb="FF000000"/>
        <rFont val="Segoe UI"/>
        <family val="2"/>
      </rPr>
      <t>16/07</t>
    </r>
    <r>
      <rPr>
        <sz val="11"/>
        <color rgb="FF000000"/>
        <rFont val="Segoe UI"/>
        <family val="2"/>
      </rPr>
      <t>.</t>
    </r>
  </si>
  <si>
    <t>API-1289</t>
  </si>
  <si>
    <t>Investigation - Issue with boarding pass when empty comment</t>
  </si>
  <si>
    <t>API-1667</t>
  </si>
  <si>
    <t>[Operational] - Investigation - AddSeat - nsk:Seats:JourneyKeyMissingForPassengerWithSeat</t>
  </si>
  <si>
    <t>API-1657</t>
  </si>
  <si>
    <t>[Tren Maya] - Filter fares by national o international nationalities</t>
  </si>
  <si>
    <r>
      <t xml:space="preserve">Reabierto el </t>
    </r>
    <r>
      <rPr>
        <b/>
        <sz val="11"/>
        <color rgb="FF000000"/>
        <rFont val="Segoe UI"/>
        <family val="2"/>
      </rPr>
      <t>17/07</t>
    </r>
    <r>
      <rPr>
        <sz val="11"/>
        <color rgb="FF000000"/>
        <rFont val="Segoe UI"/>
        <family val="2"/>
      </rPr>
      <t xml:space="preserve">. Se creó la colección y se encontraron </t>
    </r>
    <r>
      <rPr>
        <b/>
        <sz val="11"/>
        <color rgb="FF000000"/>
        <rFont val="Segoe UI"/>
        <family val="2"/>
      </rPr>
      <t>8 evidencias</t>
    </r>
    <r>
      <rPr>
        <sz val="11"/>
        <color rgb="FF000000"/>
        <rFont val="Segoe UI"/>
        <family val="2"/>
      </rPr>
      <t xml:space="preserve">, correspondientes al antes y después de los tres escenarios, completadas el </t>
    </r>
    <r>
      <rPr>
        <b/>
        <sz val="11"/>
        <color rgb="FF000000"/>
        <rFont val="Segoe UI"/>
        <family val="2"/>
      </rPr>
      <t>28/07</t>
    </r>
    <r>
      <rPr>
        <sz val="11"/>
        <color rgb="FF000000"/>
        <rFont val="Segoe UI"/>
        <family val="2"/>
      </rPr>
      <t>.</t>
    </r>
  </si>
  <si>
    <t>API-1598</t>
  </si>
  <si>
    <t xml:space="preserve">Encrypt input password </t>
  </si>
  <si>
    <t>API-1680</t>
  </si>
  <si>
    <t>[IROP] IROP Availability</t>
  </si>
  <si>
    <t>API-1653</t>
  </si>
  <si>
    <t>[Viva Candy] - Adjust post passenger service for Bookings with Hotel SSR</t>
  </si>
  <si>
    <r>
      <t xml:space="preserve">Reabierto el </t>
    </r>
    <r>
      <rPr>
        <b/>
        <sz val="11"/>
        <color rgb="FF000000"/>
        <rFont val="Segoe UI"/>
        <family val="2"/>
      </rPr>
      <t>21/07</t>
    </r>
    <r>
      <rPr>
        <sz val="11"/>
        <color rgb="FF000000"/>
        <rFont val="Segoe UI"/>
        <family val="2"/>
      </rPr>
      <t xml:space="preserve">. Se preparó la colección y se generaron </t>
    </r>
    <r>
      <rPr>
        <b/>
        <sz val="11"/>
        <color rgb="FF000000"/>
        <rFont val="Segoe UI"/>
        <family val="2"/>
      </rPr>
      <t>6 evidencias</t>
    </r>
    <r>
      <rPr>
        <sz val="11"/>
        <color rgb="FF000000"/>
        <rFont val="Segoe UI"/>
        <family val="2"/>
      </rPr>
      <t xml:space="preserve"> entre el </t>
    </r>
    <r>
      <rPr>
        <b/>
        <sz val="11"/>
        <color rgb="FF000000"/>
        <rFont val="Segoe UI"/>
        <family val="2"/>
      </rPr>
      <t>21–23/07</t>
    </r>
    <r>
      <rPr>
        <sz val="11"/>
        <color rgb="FF000000"/>
        <rFont val="Segoe UI"/>
        <family val="2"/>
      </rPr>
      <t>, incluyendo resultados antes y después para bookings con y sin hotel.</t>
    </r>
  </si>
  <si>
    <t>API-1673</t>
  </si>
  <si>
    <t>[Partial Payment] - Return cancellation date and amount for hotels in basket and booking ouput</t>
  </si>
  <si>
    <r>
      <t xml:space="preserve">Se preparó la colección y se encontraron </t>
    </r>
    <r>
      <rPr>
        <b/>
        <sz val="11"/>
        <color rgb="FF000000"/>
        <rFont val="Segoe UI"/>
        <family val="2"/>
      </rPr>
      <t>13 evidencias</t>
    </r>
    <r>
      <rPr>
        <sz val="11"/>
        <color rgb="FF000000"/>
        <rFont val="Segoe UI"/>
        <family val="2"/>
      </rPr>
      <t xml:space="preserve"> entre el </t>
    </r>
    <r>
      <rPr>
        <b/>
        <sz val="11"/>
        <color rgb="FF000000"/>
        <rFont val="Segoe UI"/>
        <family val="2"/>
      </rPr>
      <t>08–13/07</t>
    </r>
    <r>
      <rPr>
        <sz val="11"/>
        <color rgb="FF000000"/>
        <rFont val="Segoe UI"/>
        <family val="2"/>
      </rPr>
      <t xml:space="preserve">. El PR se integró el </t>
    </r>
    <r>
      <rPr>
        <b/>
        <sz val="11"/>
        <color rgb="FF000000"/>
        <rFont val="Segoe UI"/>
        <family val="2"/>
      </rPr>
      <t>14/07</t>
    </r>
    <r>
      <rPr>
        <sz val="11"/>
        <color rgb="FF000000"/>
        <rFont val="Segoe UI"/>
        <family val="2"/>
      </rPr>
      <t xml:space="preserve">. Las pruebas posteriores también derivaron en un ajuste y rollback el </t>
    </r>
    <r>
      <rPr>
        <b/>
        <sz val="11"/>
        <color rgb="FF000000"/>
        <rFont val="Segoe UI"/>
        <family val="2"/>
      </rPr>
      <t>23/07</t>
    </r>
    <r>
      <rPr>
        <sz val="11"/>
        <color rgb="FF000000"/>
        <rFont val="Segoe UI"/>
        <family val="2"/>
      </rPr>
      <t>.</t>
    </r>
  </si>
  <si>
    <t>Durante la revisión se solicitó limitar la solución exclusivamente al flujo Doters, lo que requirió retirar parte de la implementación y rehacer el ajuste. Posteriormente se presentó un NullReferenceException en UAT, se realizó rollback y se creó el PR #2417. También se preparó y corrigió un script end-to-end, se revisó la configuración del OTP externo y finalmente se validaron siete combinaciones en UAT.</t>
  </si>
  <si>
    <t>API-1664</t>
  </si>
  <si>
    <t>Pricing Type - Change Seat - booking flow</t>
  </si>
  <si>
    <t>Se prepararon colecciones, se ejecutaron manualmente los seis escenarios y se generaron 12 evidencias Before/After. Las pruebas detectaron un ajuste adicional para impedir compras anónimas con puntos. También fue necesario validar manualmente escenarios cuyas precondiciones no se ejecutaban correctamente en Newman. Se registraron 16 h adicionales después de incorporarse la matriz.</t>
  </si>
  <si>
    <t>API-1663</t>
  </si>
  <si>
    <t>Price Type - Get Seatmaps</t>
  </si>
  <si>
    <t>Los casos requirieron diferentes configuraciones del feature toggle, cambios en el Admin Portal y reinicios de la API. TC08–TC10 detectaron pointAmount = 0 en el flujo Manage, por lo que se realizó una corrección adicional en CurrencyProvider. También se actualizaron las aserciones de Postman, se repitieron las pruebas y se generaron 20 evidencias Before/After, junto con la colección y los resultados Newman. Se registraron 20 h adicionales después de agregarse la matriz.</t>
  </si>
  <si>
    <t>API-1694</t>
  </si>
  <si>
    <t>Internal endpoint to retrieve usernames of users who have a specific flight in their trips</t>
  </si>
  <si>
    <t>API-1706</t>
  </si>
  <si>
    <t>[Hotels] - Basket is not extended with hotel information into dispatcher when hotel is added in manage my booking</t>
  </si>
  <si>
    <t>API-1786</t>
  </si>
  <si>
    <t>[Partial Payment] - Return Cancellation date and amount for hotels in basket and booking output</t>
  </si>
  <si>
    <t>API-1711</t>
  </si>
  <si>
    <t>Pricing Type - Extend Basket Output For Services and Seats and Grouping by PriceType</t>
  </si>
  <si>
    <t>API-1654</t>
  </si>
  <si>
    <t>Investigation - [IROP] Forced Approval in irop details</t>
  </si>
  <si>
    <t>API-1834</t>
  </si>
  <si>
    <t>[Doters] Loyalty excluded amount is being affected incorrectly</t>
  </si>
  <si>
    <t>Tareas por hacer</t>
  </si>
  <si>
    <t>API-1738</t>
  </si>
  <si>
    <t>Display Passengers Changes</t>
  </si>
  <si>
    <t>Gabriel Herrera</t>
  </si>
  <si>
    <t>API-1672</t>
  </si>
  <si>
    <t>[Car Rental] - Avasa rates - modify and make corpRateId configurable</t>
  </si>
  <si>
    <t>Primer ticket asignado - curva de aprendizaje</t>
  </si>
  <si>
    <t>API-1705</t>
  </si>
  <si>
    <t>Add in Features the option of "Coupons"</t>
  </si>
  <si>
    <t>Fue uno de los primeros ticket que resolvi, parte del desvio estuvo en tener todo el setup y entender la solución. al margen de eso, considero que estimación de 1h no existe, ya el solo hecho de pasarse al Branch master, actualizar, crear un nuevo Branch, crear una sub tarea con toda la matriz de test cases, recabar todas las evidencias que satisfacen cada test case de la matriz, hacer el pull request y dejar todo en review, ya solo eso lleva mas de 1h y a eso sumarle el tiempo de desarrollo. quizás esta tarea originalmente se podría resolver en medio día, digamos 4h. pero no 1h, ni tampoco 12h.</t>
  </si>
  <si>
    <t>API-1693</t>
  </si>
  <si>
    <t>[Tren Maya] - Hide tren maya credentials from the logs and avoid breaking the flow when error in authentication</t>
  </si>
  <si>
    <t>Fue un desarrollo sensible por que implicaba validaciones contra datadog. El ticket regreso solicitando aun mas evidencias.</t>
  </si>
  <si>
    <t>API-1753</t>
  </si>
  <si>
    <t>Onboarding Proyecto Generic Api - Viva</t>
  </si>
  <si>
    <t>API-1700</t>
  </si>
  <si>
    <t>[TransferCancel] - Transfer cancel - blocked by booking rules</t>
  </si>
  <si>
    <t xml:space="preserve">Este también fue un desarrollo complejo, implicaba probar muchos casos, crear un basket, crear la reserva, iniciar la transferencia, cancelar. de hecho en la sub tarea sume muchísima evidencia. también hubo una devolución del ticket.
 </t>
  </si>
  <si>
    <t>API-1736</t>
  </si>
  <si>
    <t>Add in Features the option of "VerifiedNumber"</t>
  </si>
  <si>
    <t>API-1712</t>
  </si>
  <si>
    <t>Endpoint of /account/coupons show redeemed coupons</t>
  </si>
  <si>
    <t>Este ticket implicaba agregar nuevos datos para capturarlos del proveedor Gravty y sumarlos en las respuesta de la api. me encargue de validar mediante fiddler todo el trafico hacia Gravty y obtener las respuestas para sumarlas de evidencias. este ticket también tuvo algo particular, volvió varias veces, pero por que Marcin me hizo un primer review con comentarios, corregi los comentarios cambiando el código y en el mismo GitHub le respondi, resulta que el veía los cambios en el código pero no veía mis respuestas, de ese modo tuvimos varios idas y vuelta, a un punto que en una daily dijo este ticket no lo reviso mas. nos juntamos con Didier y el vio que yo SI respondia a los mensajes de Marcin pero el no los veía, en resumen en GitHub yo no había realizado submit de mis respuestas por eso Marcin no veía, luego de eso se aprobó rapidísimo y paso a producción.</t>
  </si>
  <si>
    <t>API-1742</t>
  </si>
  <si>
    <t>[Child registration] Manifest comment in booking</t>
  </si>
  <si>
    <t>API-1409</t>
  </si>
  <si>
    <t>[VivaCandy] - Include bundle information in getFares request</t>
  </si>
  <si>
    <t>API-1744</t>
  </si>
  <si>
    <t>[TransferBooking] - Email adjustments</t>
  </si>
  <si>
    <t>API-1734</t>
  </si>
  <si>
    <t>[ChangeJourney] Basket balance</t>
  </si>
  <si>
    <t>API-1799</t>
  </si>
  <si>
    <t>[Viva Candy]- Allow adding hotels for Viva Candy(hotel plus) in different currencies different than MXN</t>
  </si>
  <si>
    <t>API-1793</t>
  </si>
  <si>
    <t>Add in Features the option of "StaffLink"</t>
  </si>
  <si>
    <t>API-1798</t>
  </si>
  <si>
    <t>[Hotels Post Booking] - Do not send flights amount in getFares when flowtype manage</t>
  </si>
  <si>
    <t>API-1813</t>
  </si>
  <si>
    <t>Boardingpass - TJX</t>
  </si>
  <si>
    <t>API-1795</t>
  </si>
  <si>
    <t>[SearchJourney] TUA Difference</t>
  </si>
  <si>
    <t>API-1853</t>
  </si>
  <si>
    <t>[Viva Candy] - HotelPlus offer amounts not converted to search currency</t>
  </si>
  <si>
    <t>STI-1009</t>
  </si>
  <si>
    <t>[TotalRefund] - Transactions reimbursement emails for totalrefund</t>
  </si>
  <si>
    <t>STI-1058</t>
  </si>
  <si>
    <t>Daily Meetings - Octubre</t>
  </si>
  <si>
    <t>STI-1102</t>
  </si>
  <si>
    <t>[Transfer] Ajustes en fees y debug de breakdown</t>
  </si>
  <si>
    <t>STI-1115</t>
  </si>
  <si>
    <t>[TotalRefund] - Adjust TotalRefund comment - remove marketplace</t>
  </si>
  <si>
    <t>STI-1117</t>
  </si>
  <si>
    <t>[Special Events] Generar sql para RAIDEN25</t>
  </si>
  <si>
    <t>STI-1118</t>
  </si>
  <si>
    <t>[TotalRefund] Fees logic update</t>
  </si>
  <si>
    <t>STI-1140</t>
  </si>
  <si>
    <t>[CommentsDB] - Tabla y servicios para almacenamiento de comentarios</t>
  </si>
  <si>
    <t>STI-1144</t>
  </si>
  <si>
    <t>[Hopper]Evento de Compra de Seguro HTS</t>
  </si>
  <si>
    <t>STI-1154</t>
  </si>
  <si>
    <t>Envío Correos - Fe erratas</t>
  </si>
  <si>
    <t>STI-1155</t>
  </si>
  <si>
    <t xml:space="preserve">[Apartados] Transactions Vivacash sin customerNumber
</t>
  </si>
  <si>
    <t>STI-1172</t>
  </si>
  <si>
    <t>Daily Meetings - Noviembre</t>
  </si>
  <si>
    <t>STI-1173</t>
  </si>
  <si>
    <t>Transactions - Error en amount en petición a compensation</t>
  </si>
  <si>
    <t>STI-1174</t>
  </si>
  <si>
    <t>[MMB] Envío de correo de compensaciones</t>
  </si>
  <si>
    <t>STI-1175</t>
  </si>
  <si>
    <t>Reenvio de correo de compensación utilizando servicio y template de TX</t>
  </si>
  <si>
    <t>STI-1176</t>
  </si>
  <si>
    <t>[VivaCandy] - Revisar servicio booking/cancelHotel</t>
  </si>
  <si>
    <t>STI-1192</t>
  </si>
  <si>
    <t>[TuaAliado] - Notificar cuando el TUA ya ha sido pagado</t>
  </si>
  <si>
    <t>STI-1205</t>
  </si>
  <si>
    <t>[YunoWallets] - Webhook para confirmación de Apple Pay y Google Pay</t>
  </si>
  <si>
    <t>STI-1206</t>
  </si>
  <si>
    <t>[Apartados] Cambios en transactions</t>
  </si>
  <si>
    <t>STI-1219</t>
  </si>
  <si>
    <t>[Transfer] Debug y reprocesamiento de reservas</t>
  </si>
  <si>
    <t>STI-1220</t>
  </si>
  <si>
    <t>[ViajaFacil] Transferencia de conocimiento a Reynaldo y asistencia en reunión con equipo ODM</t>
  </si>
  <si>
    <t>STI-1225</t>
  </si>
  <si>
    <t>Daily Meetings - Diciembre</t>
  </si>
  <si>
    <t>STI-1245</t>
  </si>
  <si>
    <t>[Apartados] Agregar nuevo endpoint de cancelación desde el transactions</t>
  </si>
  <si>
    <t>STI-1291</t>
  </si>
  <si>
    <t>[Tarifa Reembolsable] - Ajuste en cancelación con tarifa reembolsable para colocar las cantidades de manera correcta en Fee ZREEMT</t>
  </si>
  <si>
    <t>STI-1268</t>
  </si>
  <si>
    <t>Daily Meetings - Enero 2026</t>
  </si>
  <si>
    <t>STI-1292</t>
  </si>
  <si>
    <t>[Transacciones] Revisión de casos VivaCash y Commit Navitaire</t>
  </si>
  <si>
    <t>STI-173</t>
  </si>
  <si>
    <t>[P2P] - New service booking peer2peer</t>
  </si>
  <si>
    <t>STI-228</t>
  </si>
  <si>
    <t>[Apartados] Transactions - Booking cancellation</t>
  </si>
  <si>
    <t>STI-235</t>
  </si>
  <si>
    <t>[ReverseCreditCard] VB Transactions</t>
  </si>
  <si>
    <t>STI-604</t>
  </si>
  <si>
    <t>[Tren Maya] - Dispatcher commitTrainBooking</t>
  </si>
  <si>
    <t>STI-739</t>
  </si>
  <si>
    <t>[Transfer] Actualización de Dispatcher</t>
  </si>
  <si>
    <t>STI-742</t>
  </si>
  <si>
    <t>Daily Meetings - Agosto</t>
  </si>
  <si>
    <t>STI-748</t>
  </si>
  <si>
    <t>[P2P] Transfer Initiate - Check Transfer Queue</t>
  </si>
  <si>
    <t>STI-758</t>
  </si>
  <si>
    <t>[Special events] Update num tickets</t>
  </si>
  <si>
    <t>STI-778</t>
  </si>
  <si>
    <t>[Transactions] - Automatización en proceso de reenvio de VivaGifts</t>
  </si>
  <si>
    <t>STI-780</t>
  </si>
  <si>
    <t>[Transactions] - Procesar reservas pagadas con Vouchers para generar vivaCash</t>
  </si>
  <si>
    <t>STI-785</t>
  </si>
  <si>
    <t>[Eventos] Raiders - número de boletos</t>
  </si>
  <si>
    <t>STI-850</t>
  </si>
  <si>
    <t>Pipeline Especial Events</t>
  </si>
  <si>
    <t>STI-866</t>
  </si>
  <si>
    <t>[Transactions] - Soportar nuevo type para Total Refund y manejo de ZSPOIL en nuevo FEE</t>
  </si>
  <si>
    <t>STI-867</t>
  </si>
  <si>
    <t>[Transfer &amp; P2P] - Ajustes</t>
  </si>
  <si>
    <t>STI-868</t>
  </si>
  <si>
    <t>[Waiting list] - Ajustes en transactions</t>
  </si>
  <si>
    <t>STI-893</t>
  </si>
  <si>
    <t>Daily Meetings - Septiembre</t>
  </si>
  <si>
    <t>STI-961</t>
  </si>
  <si>
    <t>Apoyo en ticket de Flight Status Information</t>
  </si>
  <si>
    <t>STI-1327</t>
  </si>
  <si>
    <t>[TrenMaya] Ajustes en el proceso y envío de correo</t>
  </si>
  <si>
    <t>STI-1335</t>
  </si>
  <si>
    <t>[Transfer] Actualización de datos de entrada</t>
  </si>
  <si>
    <t>STI-1320</t>
  </si>
  <si>
    <t>[IROP] Compensaciones 1 año - Cancelaciones reservas no show</t>
  </si>
  <si>
    <t>STI-902</t>
  </si>
  <si>
    <t>[Avasa] - Dispatcher commitAvasaBooking</t>
  </si>
  <si>
    <t>STI-1366</t>
  </si>
  <si>
    <t>[P2P] - Ajustes para cancelación de reserva P2P</t>
  </si>
  <si>
    <t>STI-1368</t>
  </si>
  <si>
    <t>Cambios en yml e implicaciones en el proceso</t>
  </si>
  <si>
    <t>STI-1326</t>
  </si>
  <si>
    <t>[TrenMaya] - Automatización de envío de boletos de Tren Maya</t>
  </si>
  <si>
    <t>STI-1393</t>
  </si>
  <si>
    <t>[Transactions] Save GiftCardKey in database</t>
  </si>
  <si>
    <t>STI-1398</t>
  </si>
  <si>
    <t>[VivaGift] Investigación de casos en producción</t>
  </si>
  <si>
    <t>STI-1392</t>
  </si>
  <si>
    <t>Daily Meetings - Febrero 2026</t>
  </si>
  <si>
    <t>STI-1375</t>
  </si>
  <si>
    <t>[NewCommentsAPI] - Comments migration batch process</t>
  </si>
  <si>
    <t>STI-1411</t>
  </si>
  <si>
    <t>[p2p] - Ajuste a FEEs P2P</t>
  </si>
  <si>
    <t>STI-1420</t>
  </si>
  <si>
    <t>[Transfer] - Ajuste a FEEs Transfer</t>
  </si>
  <si>
    <t>STI-1432</t>
  </si>
  <si>
    <t>[Transactions] Email from P or D contact</t>
  </si>
  <si>
    <t>STI-1438</t>
  </si>
  <si>
    <t>[Transactions] Retry on Bad Gateway error from VivaGift</t>
  </si>
  <si>
    <t>STI-1397</t>
  </si>
  <si>
    <t>[Transfer Batch] - Escenario donde no se esta colocando el comentario en Navitaire al remover reserva de la Queue de transfer</t>
  </si>
  <si>
    <t>STI-1464</t>
  </si>
  <si>
    <t>[Transfer &amp; P2P] - Asignar SSRs con la cantidad obtenida de dividir los FEEs entre el numero de segmentos</t>
  </si>
  <si>
    <t>STI-1458</t>
  </si>
  <si>
    <t>Daily Meetings - Marzo 2026</t>
  </si>
  <si>
    <t>STI-1474</t>
  </si>
  <si>
    <t>[Tren Maya] - Ajuste en correo de tren maya para incluir reservationNumber</t>
  </si>
  <si>
    <t>STI-1472</t>
  </si>
  <si>
    <t>[TarifaReembolsable] - Ajuste en correo para cancelaciones parciales</t>
  </si>
  <si>
    <t>STI-1483</t>
  </si>
  <si>
    <t>[Transactions] - Revisión de casos de prod</t>
  </si>
  <si>
    <t>STI-1493</t>
  </si>
  <si>
    <t>[Insurances] - Hopper currency error</t>
  </si>
  <si>
    <t>STI-1461</t>
  </si>
  <si>
    <t>[Apartados] - Cancelar hotel hacia Fareplace en proceso de cancelación de reservas con apartados que contengan hotel</t>
  </si>
  <si>
    <t>STI-1442</t>
  </si>
  <si>
    <t>[Avasa] Proceso de Cancelación</t>
  </si>
  <si>
    <t>STI-1502</t>
  </si>
  <si>
    <t>AuthorizationOverPayNotAllowed</t>
  </si>
  <si>
    <t>STI-1514</t>
  </si>
  <si>
    <t>[Apartados] Integrar la acción de cancelación en el llamado a cancel de apartados</t>
  </si>
  <si>
    <t>STI-1519</t>
  </si>
  <si>
    <t>Daily Meetings - Abril 2026</t>
  </si>
  <si>
    <t>STI-1533</t>
  </si>
  <si>
    <t>[Car Rental] - Ajuste en commitAvasaBooking para confirmar pago</t>
  </si>
  <si>
    <t>STI-1406</t>
  </si>
  <si>
    <t>Modificaciones Integración | Webhook Mercado Pago /  Wallets</t>
  </si>
  <si>
    <t>STI-1521</t>
  </si>
  <si>
    <t>[TotalRefund] - Casos con reembolsos en 0 - Analisis</t>
  </si>
  <si>
    <t>STI-1565</t>
  </si>
  <si>
    <t>[Avasa] - Ajustar parametros en llamada a confirmación de reserva Avasa</t>
  </si>
  <si>
    <t>STI-1568</t>
  </si>
  <si>
    <t>[P2P] Análisis de proceso de initiate para optimización</t>
  </si>
  <si>
    <t>STI-1571</t>
  </si>
  <si>
    <t>[P2P] - Peer2Peer initiate optimization</t>
  </si>
  <si>
    <t>STI-1572</t>
  </si>
  <si>
    <t>Daily Meetings - Mayo 2026</t>
  </si>
  <si>
    <t>STI-1566</t>
  </si>
  <si>
    <t>[Cancellation Fees] - Modificación de FEEs utilizados en cancelaciones Marketplace</t>
  </si>
  <si>
    <t>STI-1563</t>
  </si>
  <si>
    <t>[Cancellation Fees] - Modificación de FEEs utilizados en cancelaciones TotalRefund</t>
  </si>
  <si>
    <t>STI-1582</t>
  </si>
  <si>
    <t>[FLEX] Actualizar los fees de cancelación 24 hrs</t>
  </si>
  <si>
    <t>STI-1583</t>
  </si>
  <si>
    <t>[IROP] Actualizar los fees utilizados para IROP</t>
  </si>
  <si>
    <t>STI-1591</t>
  </si>
  <si>
    <t>STI-1593</t>
  </si>
  <si>
    <t xml:space="preserve">REEMBOLSO NO APLICADO EN PLATAFORMA </t>
  </si>
  <si>
    <t>STI-1603</t>
  </si>
  <si>
    <t>Documentación de Lambdas</t>
  </si>
  <si>
    <t>STI-1604</t>
  </si>
  <si>
    <t>Daily Meetings - Junio 2026</t>
  </si>
  <si>
    <t>STI-1607</t>
  </si>
  <si>
    <t>[Apartados] Revisión de casos</t>
  </si>
  <si>
    <t>STI-1608</t>
  </si>
  <si>
    <t>[Transactions] Actualizar queue de fallos en Avasa</t>
  </si>
  <si>
    <t>STI-1610</t>
  </si>
  <si>
    <t>[TransferP2p] Ajustes al proceso</t>
  </si>
  <si>
    <t>STI-1617</t>
  </si>
  <si>
    <t>[TrenMaya] Ajustes, pruebas y despliegue</t>
  </si>
  <si>
    <t>STI-1618</t>
  </si>
  <si>
    <t>[Avasa] Análisis de casos, pruebas y reprocesamientos</t>
  </si>
  <si>
    <t>STI-1620</t>
  </si>
  <si>
    <t>[Transactions] Ajuste de reembolsos Marketplace</t>
  </si>
  <si>
    <t>STI-1621</t>
  </si>
  <si>
    <t>[Transactions] Ajustes en dependencia de Base de datos</t>
  </si>
  <si>
    <t>STI-1622</t>
  </si>
  <si>
    <t>[Transactions] Irop validation in Zulu time</t>
  </si>
  <si>
    <t>STI-1625</t>
  </si>
  <si>
    <t>[VivaCandy] Casos hotel no confirmado</t>
  </si>
  <si>
    <t>STI-1626</t>
  </si>
  <si>
    <t>Servicio de optimización de precios - Bundle Zero</t>
  </si>
  <si>
    <t>STI-1365</t>
  </si>
  <si>
    <t>Investigación de reservas sin hotel confirmado</t>
  </si>
  <si>
    <t>STI-1628</t>
  </si>
  <si>
    <t>Daily Meetings - Julio 2026</t>
  </si>
  <si>
    <t>STI-1634</t>
  </si>
  <si>
    <t>[Transactions] Análisis de errores de la lambda en producción</t>
  </si>
  <si>
    <t>STI-1636</t>
  </si>
  <si>
    <t>[SystemComments] Actualización por cambio en Navitaire</t>
  </si>
  <si>
    <t>STI-1631</t>
  </si>
  <si>
    <t>[Empty Seat] - Proxy services for hopper</t>
  </si>
  <si>
    <t>STI-1637</t>
  </si>
  <si>
    <t>[Transactions] Análisis y revisión por falla en fee Recash</t>
  </si>
  <si>
    <t>STI-1667</t>
  </si>
  <si>
    <t>[TrenMaya] Reprocesamiento manual de reservas por falla del servicio de estaciones</t>
  </si>
  <si>
    <t>STI-1669</t>
  </si>
  <si>
    <t>[P2P] Actualización por cambios en transactions</t>
  </si>
  <si>
    <t>STI-1670</t>
  </si>
  <si>
    <t>[Transactions] Apoyo en migración de cuenta en aws</t>
  </si>
  <si>
    <t>STI-1671</t>
  </si>
  <si>
    <t>[VivaCash] Error de solemnti, diagnóstico, gestión e informe</t>
  </si>
  <si>
    <t>STI-1672</t>
  </si>
  <si>
    <t>[Comments] Ajustes al proceso</t>
  </si>
  <si>
    <t>STI-1673</t>
  </si>
  <si>
    <t>[P2P] Api Key y pruebas con Ezy</t>
  </si>
  <si>
    <t>STI-1649</t>
  </si>
  <si>
    <t>Daily Meetings - Agosto 2026</t>
  </si>
  <si>
    <t>STI-1687</t>
  </si>
  <si>
    <t>[TrenMaya] Reprocesamiento Manual - Agosto</t>
  </si>
  <si>
    <t>En Revisión</t>
  </si>
  <si>
    <t>STI-1691</t>
  </si>
  <si>
    <t>[Apartados] Debug y pruebas de batch cancel booking</t>
  </si>
  <si>
    <t>STI-1692</t>
  </si>
  <si>
    <t>[IROP] Reprice y balanceo en cancelaciones parciales</t>
  </si>
  <si>
    <t>STI-1693</t>
  </si>
  <si>
    <t>[Avasa] Reprocesamiento de reservas</t>
  </si>
  <si>
    <t>STI-1695</t>
  </si>
  <si>
    <t>[TUA] Revisión de logs y pruebas</t>
  </si>
  <si>
    <t>STI-1696</t>
  </si>
  <si>
    <t>[VivaGift] Revisión de reembolsos USD</t>
  </si>
  <si>
    <t>STI-1697</t>
  </si>
  <si>
    <t>[Apartados] Revisión de error al cancelar avasa</t>
  </si>
  <si>
    <t>STI-1698</t>
  </si>
  <si>
    <t>[Transactions] Migración de cuenta aws</t>
  </si>
  <si>
    <t>STI-1679</t>
  </si>
  <si>
    <t>[FEEs] - Ajustes en FEEs de P2P</t>
  </si>
  <si>
    <t>STI-1706</t>
  </si>
  <si>
    <t>[Apartados] Revisión y cancelación manual</t>
  </si>
  <si>
    <t>STI-1680</t>
  </si>
  <si>
    <t>[FEEs] - Ajustes en FEEs de Sellback</t>
  </si>
  <si>
    <t>STI-1010</t>
  </si>
  <si>
    <t>[PaxAlert] Notification endpoint</t>
  </si>
  <si>
    <t>STI-1052</t>
  </si>
  <si>
    <t>Service to add SSR to pet booking</t>
  </si>
  <si>
    <t>STI-1119</t>
  </si>
  <si>
    <t>Proceso cancelación reservas apartados</t>
  </si>
  <si>
    <t>STI-1203</t>
  </si>
  <si>
    <t>SMD - Error al usar endpoint en prod</t>
  </si>
  <si>
    <t>STI-1275</t>
  </si>
  <si>
    <t>[Child registration] /service/v1/identity/validate</t>
  </si>
  <si>
    <t>STI-237</t>
  </si>
  <si>
    <t>[ReverseCreditCard] Creación de servicio de reversa de pagos</t>
  </si>
  <si>
    <t>STI-343</t>
  </si>
  <si>
    <t>[Queue manager] Guardar eventos recibidos en webhook</t>
  </si>
  <si>
    <t>STI-559</t>
  </si>
  <si>
    <t xml:space="preserve">[ExpressTag] Nuevo servicio: POST vb/v1/expresstag/addBag </t>
  </si>
  <si>
    <t>STI-626</t>
  </si>
  <si>
    <t>Automatización de Store procedures</t>
  </si>
  <si>
    <t>STI-738</t>
  </si>
  <si>
    <t>[Self-Reacomm] Modificación en contenido de reporte</t>
  </si>
  <si>
    <t>STI-741</t>
  </si>
  <si>
    <t>BRS - vb/service/bagEnquiry</t>
  </si>
  <si>
    <t>STI-795</t>
  </si>
  <si>
    <t>Oprtimizacion de Webhook IROP</t>
  </si>
  <si>
    <t>STI-875</t>
  </si>
  <si>
    <t>Crear Pipeline de Click2PlayUsageBonus y modificar monto de abonos</t>
  </si>
  <si>
    <t>STI-916</t>
  </si>
  <si>
    <t>Creación de pipeline y configuracion de Datadog a servicio de reversas de pagos</t>
  </si>
  <si>
    <t>STI-977</t>
  </si>
  <si>
    <t>POST v1/booking/addPetLiability</t>
  </si>
  <si>
    <t>STI-1300</t>
  </si>
  <si>
    <t>[PaxAlert] Generar Swagger de proyecto</t>
  </si>
  <si>
    <t>STI-1301</t>
  </si>
  <si>
    <t>[PaxAlert] Búsquedas en history</t>
  </si>
  <si>
    <t>STI-149</t>
  </si>
  <si>
    <t>[Registro menores] Validación de un vuelo</t>
  </si>
  <si>
    <t>STI-1324</t>
  </si>
  <si>
    <t>[Registro Menores] Obtener información de CURP</t>
  </si>
  <si>
    <t>STI-1367</t>
  </si>
  <si>
    <t>[SMS] Type 0</t>
  </si>
  <si>
    <t>STI-1359</t>
  </si>
  <si>
    <t>[Child registration]  /service/v1/identity/validate</t>
  </si>
  <si>
    <t>STI-1391</t>
  </si>
  <si>
    <t>Error de despliegue en lambdas de tipo Event Scheduler</t>
  </si>
  <si>
    <t>STI-1350</t>
  </si>
  <si>
    <t>[Registro Menores] Viva tienda - validateDocument</t>
  </si>
  <si>
    <t>STI-1484</t>
  </si>
  <si>
    <t xml:space="preserve">Optimización y creación de pipeline de FlighStatusAPI  </t>
  </si>
  <si>
    <t>STI-476</t>
  </si>
  <si>
    <t>[Limpieza de queues] Lógica General</t>
  </si>
  <si>
    <t>STI-1534</t>
  </si>
  <si>
    <t>BRS - Devolver maleta mas reciente sin comparaciones </t>
  </si>
  <si>
    <t>STI-1559</t>
  </si>
  <si>
    <t>Nuevo servicio bagJourney</t>
  </si>
  <si>
    <t>STI-1575</t>
  </si>
  <si>
    <t>[Limpieza de queues] Lógica General - ODS</t>
  </si>
  <si>
    <t>STI-1588</t>
  </si>
  <si>
    <t xml:space="preserve">[Actualización de asientos] </t>
  </si>
  <si>
    <t>STI-1614</t>
  </si>
  <si>
    <t>[IROP] Reverse - Cambio de Fees usados para reembolsos</t>
  </si>
  <si>
    <t>STI-1642</t>
  </si>
  <si>
    <t>[Self-Reacomm] Modificación en contenido de reporte - Internacionales</t>
  </si>
  <si>
    <t>STI-1639</t>
  </si>
  <si>
    <t>[Child registration] Modificación  /service/v1/identity/validate</t>
  </si>
  <si>
    <t>STI-1659</t>
  </si>
  <si>
    <t>[Registro Menores] identity/validateDocument - seguridad</t>
  </si>
  <si>
    <t>STI-1644</t>
  </si>
  <si>
    <t>[Registro menores] Modificación validación de un vuelo - RegisterMinor</t>
  </si>
  <si>
    <t>STI-1031</t>
  </si>
  <si>
    <t>Crear flujo para Booking de Total Refund en AccrualAPI</t>
  </si>
  <si>
    <t>STI-1033</t>
  </si>
  <si>
    <t>Validar en /retroacclaim si ya se había acumulado previamente el PNR</t>
  </si>
  <si>
    <t>STI-1064</t>
  </si>
  <si>
    <t>Bloquear reservas hechas por Staff en /addAccrual</t>
  </si>
  <si>
    <t>STI-1070</t>
  </si>
  <si>
    <t>Crear endpoint para acumular reservas enviandole solamente el PNR y Apellido de la reserva</t>
  </si>
  <si>
    <t>STI-1083</t>
  </si>
  <si>
    <t>Crear endpoint de Doters para OTP</t>
  </si>
  <si>
    <t>STI-1084</t>
  </si>
  <si>
    <t>Crear endpoint de Doters para Options del OTP</t>
  </si>
  <si>
    <t>STI-1127</t>
  </si>
  <si>
    <t>Cambiar comportamiento cuando el vuelo ya salió en /addAccrual</t>
  </si>
  <si>
    <t xml:space="preserve">STI-1163
</t>
  </si>
  <si>
    <t>Configuración y Mejoras del Proceso de Consolidación Doters - SafetyPay Notification</t>
  </si>
  <si>
    <t>STI-1185</t>
  </si>
  <si>
    <t>Crear un filtro de currencies que son aceptadas por el AccrualAPI</t>
  </si>
  <si>
    <t>STI-1211</t>
  </si>
  <si>
    <t>Acumulando puntos de métodos de pago que no debería</t>
  </si>
  <si>
    <t xml:space="preserve">STI-1221
</t>
  </si>
  <si>
    <t>Evitar enviar a acumular montos negativos</t>
  </si>
  <si>
    <t xml:space="preserve">STI-1222
</t>
  </si>
  <si>
    <t>Guardar acumulaciones previo a ser procesadas por el /addAccrual en un SQS</t>
  </si>
  <si>
    <t xml:space="preserve">STI-1223
</t>
  </si>
  <si>
    <t>Registrar cuando exista un error aparezcan en Datadog como Error</t>
  </si>
  <si>
    <t xml:space="preserve">STI-1224
</t>
  </si>
  <si>
    <t>Revisión de eventos de booking full que no están retornando datos</t>
  </si>
  <si>
    <t xml:space="preserve">STI-1229
</t>
  </si>
  <si>
    <t>Agregar el filtro de las monedas que se aceptan a /retroacclaim</t>
  </si>
  <si>
    <t xml:space="preserve">STI-1236
</t>
  </si>
  <si>
    <t>Crear trigger para cuando una acumulación este completa o cancelada se envié a la tabla de archived</t>
  </si>
  <si>
    <t>STI-1242</t>
  </si>
  <si>
    <t>Crear webhook que actualice datos de clientes en Navitaire</t>
  </si>
  <si>
    <t>STI-1260</t>
  </si>
  <si>
    <t>Crear flujo de faul tolerance al momento de acumular</t>
  </si>
  <si>
    <t>STI-1261</t>
  </si>
  <si>
    <t>Crear lambda de enqueue para encolar acumulaciones de Posgres</t>
  </si>
  <si>
    <t>STI-1262</t>
  </si>
  <si>
    <t>Modificar accrualBatch para procesar registros del SQS</t>
  </si>
  <si>
    <t>STI-1263</t>
  </si>
  <si>
    <t>Modificar el endpoint de SQS</t>
  </si>
  <si>
    <t>STI-403</t>
  </si>
  <si>
    <t>Create Accrual Batch to Process Accruals</t>
  </si>
  <si>
    <t>STI-404</t>
  </si>
  <si>
    <t>Create Accrual Batch to Get Bookings from Offline Channels</t>
  </si>
  <si>
    <t>STI-465</t>
  </si>
  <si>
    <t>Sacar el algoritmo para generar el token y hacer login automático con MyIDTravel</t>
  </si>
  <si>
    <t>STI-499</t>
  </si>
  <si>
    <t>Acumulacions Doters.</t>
  </si>
  <si>
    <t>STI-553</t>
  </si>
  <si>
    <t>Daily Meetings - Julio</t>
  </si>
  <si>
    <t>STI-681</t>
  </si>
  <si>
    <t>Eliminar acumulaciones que no exista el memberId en Gravty</t>
  </si>
  <si>
    <t>STI-729</t>
  </si>
  <si>
    <t>Monitoreo y estabilizacion de ejecucion de proceso de acumulacion en produccion</t>
  </si>
  <si>
    <t>STI-743</t>
  </si>
  <si>
    <t>Migrate accrual api implementation dynamodb to postgre DB</t>
  </si>
  <si>
    <t>STI-773</t>
  </si>
  <si>
    <t>Revisar logica de Ezy API para eventos de notificaciones</t>
  </si>
  <si>
    <t>STI-775</t>
  </si>
  <si>
    <t>Gestion de merge para creacion de las nuevas ramas de desarrollo</t>
  </si>
  <si>
    <t>STI-776</t>
  </si>
  <si>
    <t>Create /retroacclaim endpoint</t>
  </si>
  <si>
    <t>STI-777</t>
  </si>
  <si>
    <t>Create /applyretroacclaim endpoint</t>
  </si>
  <si>
    <t>STI-786</t>
  </si>
  <si>
    <t>Actualizar estatus de la acumulación de AccrualPerPax a AccrualAPI</t>
  </si>
  <si>
    <t>STI-826</t>
  </si>
  <si>
    <t>Cambiar validaciones de negocio a que sea informativas</t>
  </si>
  <si>
    <t>STI-849</t>
  </si>
  <si>
    <t>Validaciones en la API de Accrual per Passenger</t>
  </si>
  <si>
    <t>STI-851</t>
  </si>
  <si>
    <t>Mejorar la trazabilidad de la api que recibe los PNR</t>
  </si>
  <si>
    <t>STI-852</t>
  </si>
  <si>
    <t>No regresar o permitir reservas de Staff Travel en /retroacclaim y /applyretroacclaim</t>
  </si>
  <si>
    <t>STI-864</t>
  </si>
  <si>
    <t>Buscar en la reserva</t>
  </si>
  <si>
    <t>STI-870</t>
  </si>
  <si>
    <t>Get the Main Passenger by a Flag for the Accrual</t>
  </si>
  <si>
    <t>STI-883</t>
  </si>
  <si>
    <t>Validar solicitudes de creacion de acumulacion para usuarios anonimos</t>
  </si>
  <si>
    <t>STI-887</t>
  </si>
  <si>
    <t>Enviar metodo de pago directamente sin mapeo de campos en acrual per pax.</t>
  </si>
  <si>
    <t>STI-897</t>
  </si>
  <si>
    <t>Crear batch para la acumulaciones con AccrualAPI</t>
  </si>
  <si>
    <t>STI-993</t>
  </si>
  <si>
    <t>Regresar error custom cuando la reserva no acumula</t>
  </si>
  <si>
    <t>STI-994</t>
  </si>
  <si>
    <t>Acumular solamente los vuelos volados y excluir los cancelados</t>
  </si>
  <si>
    <t>STI-1265</t>
  </si>
  <si>
    <t>Crear endpoint GET accruals</t>
  </si>
  <si>
    <t>STI-1264</t>
  </si>
  <si>
    <t>Crear endpoint de estadisticas</t>
  </si>
  <si>
    <t>STI-1351</t>
  </si>
  <si>
    <t>Realizar ajustes en Pipeline y demostración</t>
  </si>
  <si>
    <t>STI-1325</t>
  </si>
  <si>
    <t>Cancelar las acumulaciones que Gravty tenga en blacklist</t>
  </si>
  <si>
    <t>STI-1267</t>
  </si>
  <si>
    <t>Batch de accrualBatch guarde en BD, el BitId, saldo anterior y nuevo.</t>
  </si>
  <si>
    <t>STI-1369</t>
  </si>
  <si>
    <t>Cancelar PNRs de blacklist y usuarios merge del Accrual API</t>
  </si>
  <si>
    <t>STI-1376</t>
  </si>
  <si>
    <t>[Accrual batch] - Sistema de Gestión de Registros Antiguos y Limpieza de Cola</t>
  </si>
  <si>
    <t>STI-1377</t>
  </si>
  <si>
    <t>[Accrual api] - Mejoras de Configuración e Infraestructura</t>
  </si>
  <si>
    <t>STI-1387</t>
  </si>
  <si>
    <t>Cambiar el tipo de Queues en SQS de FIFO a Standard</t>
  </si>
  <si>
    <t>STI-1293</t>
  </si>
  <si>
    <t>Acumulación Post Last Flight de Iberia</t>
  </si>
  <si>
    <t>STI-1341</t>
  </si>
  <si>
    <t>Acumular por segmentos de Alianzas</t>
  </si>
  <si>
    <t>STI-1408</t>
  </si>
  <si>
    <t>Liberacion Accrual API 1.1</t>
  </si>
  <si>
    <t>STI-1410</t>
  </si>
  <si>
    <t>Agregar variables de encolamiento y procesamiento en variables de GIT y Lambda</t>
  </si>
  <si>
    <t>STI-1424</t>
  </si>
  <si>
    <t>Ajuste de GitLab CI files en repositorio centralizado para usar variables</t>
  </si>
  <si>
    <t>STI-1425</t>
  </si>
  <si>
    <t>Seguimiento a error de API /booking/full en retro acumulaciones</t>
  </si>
  <si>
    <t>STI-1421</t>
  </si>
  <si>
    <t>Agregar métodos de pago aceptados por medio de variable en lambda</t>
  </si>
  <si>
    <t>STI-1434</t>
  </si>
  <si>
    <t xml:space="preserve">Enviar el bundle del basket a Gravty
</t>
  </si>
  <si>
    <t>STI-1423</t>
  </si>
  <si>
    <t>[Doters] Creacion del Swagger de todos los endpoints de AccrualAPI</t>
  </si>
  <si>
    <t>STI-1439</t>
  </si>
  <si>
    <t>Crear servicio que haga la acumulación con PNR y Apellido</t>
  </si>
  <si>
    <t>STI-1440</t>
  </si>
  <si>
    <t>Agregar validacion de metodos de pago Offline para retroacumulacion</t>
  </si>
  <si>
    <t>STI-1441</t>
  </si>
  <si>
    <t>Agregar validación de "Flight departed" para retroacumulacion</t>
  </si>
  <si>
    <t>STI-1449</t>
  </si>
  <si>
    <t>Modificar SP de Offline para las necesidades del proyecto de AccrualAPI</t>
  </si>
  <si>
    <t>STI-1422</t>
  </si>
  <si>
    <t>[Doters] Mejora en la busqueda de reservas</t>
  </si>
  <si>
    <t>STI-1405</t>
  </si>
  <si>
    <t>[Doters] Acumulacion con Hoteles</t>
  </si>
  <si>
    <t>STI-1460</t>
  </si>
  <si>
    <t>PerPassenger: Acumular puntos a los pasajeros</t>
  </si>
  <si>
    <t>STI-1494</t>
  </si>
  <si>
    <t>Manejar variable en webhook VB-Doters: waphone_validated</t>
  </si>
  <si>
    <t>STI-1498</t>
  </si>
  <si>
    <t>Integración directa con API de Navitaire (quitar adaptadores) del Webhook VB-Doters</t>
  </si>
  <si>
    <t>STI-1495</t>
  </si>
  <si>
    <t>Manejar variable en webhook VB-Doters: profileUpdated</t>
  </si>
  <si>
    <t>STI-1492</t>
  </si>
  <si>
    <t>Quitar limitante de fecha en la acumulación por PNR y Lastname</t>
  </si>
  <si>
    <t>STI-1510</t>
  </si>
  <si>
    <t>Cambiar el response del accrualDetails endpoint</t>
  </si>
  <si>
    <t>STI-1511</t>
  </si>
  <si>
    <t>Crear endpoint para validar token que es enviado con Generic API</t>
  </si>
  <si>
    <t>STI-1517</t>
  </si>
  <si>
    <t>Migración de pipeline de Generic API a Gitlab</t>
  </si>
  <si>
    <t>STI-1532</t>
  </si>
  <si>
    <t>Error al enviar acumulaciones con tipo de moneda en retroacclaim</t>
  </si>
  <si>
    <t>STI-1535</t>
  </si>
  <si>
    <t>Ajustes para salida a producción archivos de conciliación.</t>
  </si>
  <si>
    <t>STI-1540</t>
  </si>
  <si>
    <t>Webhook de VB-Doters debe agregar comentario solo cuando se actualiza nombre, apellido y DoB</t>
  </si>
  <si>
    <t>STI-1541</t>
  </si>
  <si>
    <t>Regresar error especifico cuando el tipo de moneda no es aceptado en retroacclaim</t>
  </si>
  <si>
    <t>STI-1545</t>
  </si>
  <si>
    <t>Creacion de Swagger para los endpoints restantes</t>
  </si>
  <si>
    <t>STI-1561</t>
  </si>
  <si>
    <t>Encontrar el dueño de la reserva entre los pasajeros</t>
  </si>
  <si>
    <t>STI-1567</t>
  </si>
  <si>
    <t>Cambiar longitud en los campos de Numeros para el servicio del Webhook</t>
  </si>
  <si>
    <t>STI-1569</t>
  </si>
  <si>
    <t>Agregar campos al servicio para el Webhook del SSO</t>
  </si>
  <si>
    <t>STI-1578</t>
  </si>
  <si>
    <t>Modificar pipeline de Viva Web para Angular mas reciente</t>
  </si>
  <si>
    <t>STI-1576</t>
  </si>
  <si>
    <t>Analyze - Staff Travel V2.0</t>
  </si>
  <si>
    <t>STI-1602</t>
  </si>
  <si>
    <t>Fundación del proyecto - Estructura Clean Architecture, pipeline CI/CD, logging Serilog/Datadog y health check</t>
  </si>
  <si>
    <t>STI-1597</t>
  </si>
  <si>
    <t>CRUD Empleados - Listado con filtros, creación individual, actualización parcial, baja lógica, carga masiva CSV y auto-registro vía webhook SSO</t>
  </si>
  <si>
    <t>STI-1598</t>
  </si>
  <si>
    <t>CRUD Beneficiarios - Registro por slot por parte del empleado usuario y consulta administrativa con filtros por parte del administrador, con validación de temporada activa y límites por nivel</t>
  </si>
  <si>
    <t>STI-1676</t>
  </si>
  <si>
    <t>Agregar iniciales en los documentos</t>
  </si>
  <si>
    <t>STI-1594</t>
  </si>
  <si>
    <t>CRUD Temporadas - Gestión de temporadas con fechas de vigencia y lista de empleados habilitados</t>
  </si>
  <si>
    <t>STI-1595</t>
  </si>
  <si>
    <t>CRUD Relaciones - Gestión de tipos de parentesco y sus documentos requeridos por tipo</t>
  </si>
  <si>
    <t>STI-1596</t>
  </si>
  <si>
    <t>CRUD Tipos de Documentos - Gestión de tipos de documentos con campos/tags de validación para Bedrock</t>
  </si>
  <si>
    <t>STI-1605</t>
  </si>
  <si>
    <t>Nuevos valores para basket de Iberia en Message Dispatcher</t>
  </si>
  <si>
    <t>STI-1600</t>
  </si>
  <si>
    <t>Flujos de administrador sobre beneficiarios: aprobación, rechazo y desactivación con notificaciones por email vía SendGrid</t>
  </si>
  <si>
    <t>STI-1601</t>
  </si>
  <si>
    <t>Integración Navitaire (StaffTravelAPI) - Crear empleado, modificar y desactivar beneficiarios vía API interna</t>
  </si>
  <si>
    <t>STI-1615</t>
  </si>
  <si>
    <t>Error en el SQS de AccrualAPI</t>
  </si>
  <si>
    <t>STI-1612</t>
  </si>
  <si>
    <t>Desplegar Angular 20 en ambientes restantes</t>
  </si>
  <si>
    <t>STI-1619</t>
  </si>
  <si>
    <t>Desplegar Angular 20 en ambiente productivo</t>
  </si>
  <si>
    <t>STI-1589</t>
  </si>
  <si>
    <t>Enviar a Gravty del flujo de donde viene la acumulación</t>
  </si>
  <si>
    <t>STI-1581</t>
  </si>
  <si>
    <t>Compliance en Datos Personales</t>
  </si>
  <si>
    <t>STI-1624</t>
  </si>
  <si>
    <t>Acumulaciones con formas de pago Y6 y VO</t>
  </si>
  <si>
    <t>STI-1629</t>
  </si>
  <si>
    <t>Configurar máximo de reintentos por acumulación para cancelación automática</t>
  </si>
  <si>
    <t>STI-1573</t>
  </si>
  <si>
    <t>Regresar error en /retroacclaim endpoint</t>
  </si>
  <si>
    <t>STI-1630</t>
  </si>
  <si>
    <t>Crear frontend temporal para pruebas de SSO con Staff Travel</t>
  </si>
  <si>
    <t>STI-1633</t>
  </si>
  <si>
    <t>[Accrual Doters] Aceptar el valor de null en campo de pointsAmount</t>
  </si>
  <si>
    <t>STI-1640</t>
  </si>
  <si>
    <t>Agregar parámetro en git para cambiar acumulacion Iberia</t>
  </si>
  <si>
    <t>STI-1606</t>
  </si>
  <si>
    <t>Evitar acumular reservas de Staff y EVT/TVT</t>
  </si>
  <si>
    <t>STI-1645</t>
  </si>
  <si>
    <t>Reducir numero de logs en Datadog para Accrual API y Accrual Batch</t>
  </si>
  <si>
    <t>STI-1599</t>
  </si>
  <si>
    <t>Carga y validación de documentos: upload multipart, análisis con AWS Bedrock y almacenamiento en S3</t>
  </si>
  <si>
    <t>STI-1646</t>
  </si>
  <si>
    <t>Agregar nuevo status para reservas no procesadas</t>
  </si>
  <si>
    <t>STI-1661</t>
  </si>
  <si>
    <t>[Iberia] Se esta mandando el payment_id vacio hacia Gravty</t>
  </si>
  <si>
    <t>STI-1658</t>
  </si>
  <si>
    <t>Servicio que regrese el Token de MyIdTravel validando el JWT del Generic API</t>
  </si>
  <si>
    <t>STI-1660</t>
  </si>
  <si>
    <t>Manejo de sesiones con el OTP, para que puedan editar todo lo necesario en un periodo de tiempo</t>
  </si>
  <si>
    <t>STI-1664</t>
  </si>
  <si>
    <t>Unificar Empleados con Beneficiarios</t>
  </si>
  <si>
    <t>STI-1688</t>
  </si>
  <si>
    <t>[Transactions] Revisión de casos operativos</t>
  </si>
  <si>
    <t>STI-1683</t>
  </si>
  <si>
    <t>Nuevo servicio standby list</t>
  </si>
  <si>
    <t>To be discussed</t>
  </si>
  <si>
    <t>STI-1677</t>
  </si>
  <si>
    <t>Nuevo endpoint de estadisticas</t>
  </si>
  <si>
    <t>STI-1689</t>
  </si>
  <si>
    <t>Agregar nuevos endpoints al OTP session</t>
  </si>
  <si>
    <t>En proceso</t>
  </si>
  <si>
    <t>STI-1694</t>
  </si>
  <si>
    <t>Revisar CORS de Staff Travel API y validación de Beneficiario</t>
  </si>
  <si>
    <t>,</t>
  </si>
  <si>
    <t>Suma de Registrado Agosto26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</si>
</sst>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font>
      <sz val="11"/>
      <color theme="1"/>
      <name val="Aptos Narrow"/>
      <family val="2"/>
      <scheme val="minor"/>
    </font>
    <font>
      <b/>
      <sz val="11"/>
      <color theme="1"/>
      <name val="Aptos Narrow"/>
      <family val="2"/>
      <scheme val="minor"/>
    </font>
    <font>
      <b/>
      <sz val="14"/>
      <color theme="1"/>
      <name val="Aptos Narrow"/>
      <family val="2"/>
      <scheme val="minor"/>
    </font>
    <font>
      <sz val="11"/>
      <color theme="1"/>
      <name val="Poppins Light"/>
      <family val="3"/>
    </font>
    <font>
      <b/>
      <sz val="11"/>
      <color rgb="FF000000"/>
      <name val="Roboto Condensed"/>
    </font>
    <font>
      <sz val="10"/>
      <name val="Arial"/>
      <family val="2"/>
    </font>
    <font>
      <sz val="11"/>
      <color rgb="FF000000"/>
      <name val="Roboto Condensed"/>
    </font>
    <font>
      <b/>
      <sz val="11"/>
      <name val="Arial"/>
      <family val="2"/>
    </font>
    <font>
      <b/>
      <sz val="11"/>
      <color rgb="FF000000"/>
      <name val="Poppins Light"/>
      <family val="3"/>
    </font>
    <font>
      <sz val="11"/>
      <color rgb="FF000000"/>
      <name val="Poppins Light"/>
      <family val="3"/>
    </font>
    <font>
      <b/>
      <sz val="11"/>
      <color theme="0"/>
      <name val="Aptos Narrow"/>
      <family val="2"/>
      <scheme val="minor"/>
    </font>
    <font>
      <sz val="10"/>
      <color theme="1"/>
      <name val="Aptos Narrow"/>
      <family val="2"/>
      <scheme val="minor"/>
    </font>
    <font>
      <sz val="9"/>
      <color theme="1"/>
      <name val="Aptos Narrow"/>
      <family val="2"/>
      <scheme val="minor"/>
    </font>
    <font>
      <sz val="11"/>
      <color rgb="FF000000"/>
      <name val="Aptos Narrow"/>
      <family val="2"/>
    </font>
    <font>
      <sz val="11"/>
      <color theme="0"/>
      <name val="Aptos Narrow"/>
      <family val="2"/>
      <scheme val="minor"/>
    </font>
    <font>
      <sz val="11"/>
      <color rgb="FF000000"/>
      <name val="Aptos Narrow"/>
      <family val="2"/>
      <scheme val="minor"/>
    </font>
    <font>
      <b/>
      <sz val="11"/>
      <color rgb="FF000000"/>
      <name val="Aptos Narrow"/>
      <family val="2"/>
      <scheme val="minor"/>
    </font>
    <font>
      <b/>
      <sz val="12"/>
      <color theme="1"/>
      <name val="Aptos Narrow"/>
      <family val="2"/>
      <scheme val="minor"/>
    </font>
    <font>
      <sz val="11"/>
      <color rgb="FF000000"/>
      <name val="Aptos Narrow"/>
    </font>
    <font>
      <b/>
      <sz val="11"/>
      <color rgb="FFFF0000"/>
      <name val="Aptos Narrow"/>
      <family val="2"/>
      <scheme val="minor"/>
    </font>
    <font>
      <sz val="11"/>
      <color rgb="FFFF0000"/>
      <name val="Aptos Narrow"/>
      <family val="2"/>
      <scheme val="minor"/>
    </font>
    <font>
      <b/>
      <sz val="12"/>
      <color rgb="FF000000"/>
      <name val="Aptos Narrow"/>
      <family val="2"/>
      <scheme val="minor"/>
    </font>
    <font>
      <sz val="12"/>
      <color theme="1"/>
      <name val="Aptos Narrow"/>
      <family val="2"/>
      <scheme val="minor"/>
    </font>
    <font>
      <b/>
      <sz val="11"/>
      <color rgb="FF000000"/>
      <name val="Segoe UI"/>
      <family val="2"/>
    </font>
    <font>
      <sz val="11"/>
      <color rgb="FF000000"/>
      <name val="Segoe UI"/>
      <family val="2"/>
    </font>
    <font>
      <sz val="11"/>
      <color rgb="FF000000"/>
      <name val="Segoe UI"/>
    </font>
    <font>
      <sz val="10"/>
      <color rgb="FF000000"/>
      <name val="Arial Unicode MS"/>
    </font>
    <font>
      <sz val="11"/>
      <color rgb="FF000000"/>
      <name val="Aptos Narrow"/>
      <scheme val="minor"/>
    </font>
    <font>
      <b/>
      <sz val="11"/>
      <color rgb="FF000000"/>
      <name val="Aptos Narrow"/>
      <scheme val="minor"/>
    </font>
  </fonts>
  <fills count="25">
    <fill>
      <patternFill patternType="none"/>
    </fill>
    <fill>
      <patternFill patternType="gray125"/>
    </fill>
    <fill>
      <patternFill patternType="solid">
        <fgColor theme="0"/>
        <bgColor indexed="64"/>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theme="8"/>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rgb="FFDAF2D0"/>
        <bgColor rgb="FF000000"/>
      </patternFill>
    </fill>
    <fill>
      <patternFill patternType="solid">
        <fgColor rgb="FFD5FF6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B9FA05"/>
        <bgColor indexed="64"/>
      </patternFill>
    </fill>
    <fill>
      <patternFill patternType="solid">
        <fgColor theme="0" tint="-0.249977111117893"/>
        <bgColor indexed="64"/>
      </patternFill>
    </fill>
    <fill>
      <patternFill patternType="solid">
        <fgColor rgb="FFFFFF00"/>
        <bgColor indexed="64"/>
      </patternFill>
    </fill>
    <fill>
      <patternFill patternType="solid">
        <fgColor rgb="FFF26D97"/>
        <bgColor indexed="64"/>
      </patternFill>
    </fill>
    <fill>
      <patternFill patternType="solid">
        <fgColor rgb="FF002060"/>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theme="8" tint="-0.249977111117893"/>
      </left>
      <right style="thin">
        <color theme="8" tint="-0.249977111117893"/>
      </right>
      <top/>
      <bottom style="thin">
        <color theme="8" tint="-0.249977111117893"/>
      </bottom>
      <diagonal/>
    </border>
    <border>
      <left/>
      <right/>
      <top style="thin">
        <color theme="4" tint="0.39997558519241921"/>
      </top>
      <bottom style="thin">
        <color theme="4"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bottom/>
      <diagonal/>
    </border>
    <border>
      <left/>
      <right style="thin">
        <color theme="9" tint="0.39997558519241921"/>
      </right>
      <top/>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rgb="FF000000"/>
      </bottom>
      <diagonal/>
    </border>
    <border>
      <left/>
      <right style="thin">
        <color theme="1" tint="0.499984740745262"/>
      </right>
      <top/>
      <bottom style="thin">
        <color rgb="FF000000"/>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71">
    <xf numFmtId="0" fontId="0" fillId="0" borderId="0" xfId="0"/>
    <xf numFmtId="0" fontId="0" fillId="0" borderId="0" xfId="0" applyAlignment="1">
      <alignment horizontal="center"/>
    </xf>
    <xf numFmtId="9"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xf>
    <xf numFmtId="0" fontId="0" fillId="2" borderId="0" xfId="0" applyFill="1" applyAlignment="1">
      <alignment horizontal="center" vertical="center"/>
    </xf>
    <xf numFmtId="0" fontId="0" fillId="0" borderId="0" xfId="0" applyAlignment="1">
      <alignment horizontal="center" wrapText="1"/>
    </xf>
    <xf numFmtId="0" fontId="3" fillId="0" borderId="5" xfId="0" applyFont="1" applyBorder="1" applyAlignment="1">
      <alignment horizontal="center" vertical="center" wrapText="1"/>
    </xf>
    <xf numFmtId="0" fontId="1" fillId="0" borderId="0" xfId="0" applyFont="1"/>
    <xf numFmtId="0" fontId="6" fillId="0" borderId="9" xfId="0" applyFont="1" applyBorder="1" applyAlignment="1">
      <alignment horizontal="center" vertical="center"/>
    </xf>
    <xf numFmtId="0" fontId="7" fillId="3" borderId="10" xfId="0" applyFont="1" applyFill="1" applyBorder="1" applyAlignment="1">
      <alignment horizontal="center" vertical="center"/>
    </xf>
    <xf numFmtId="0" fontId="7" fillId="4" borderId="10" xfId="0" applyFont="1" applyFill="1" applyBorder="1" applyAlignment="1">
      <alignment horizontal="center" vertical="center"/>
    </xf>
    <xf numFmtId="0" fontId="4" fillId="4" borderId="10" xfId="0" applyFont="1" applyFill="1" applyBorder="1" applyAlignment="1">
      <alignment horizontal="center" vertical="center"/>
    </xf>
    <xf numFmtId="0" fontId="7" fillId="5" borderId="10" xfId="0" applyFont="1" applyFill="1" applyBorder="1" applyAlignment="1">
      <alignment horizontal="center" vertical="center"/>
    </xf>
    <xf numFmtId="0" fontId="8" fillId="0" borderId="4" xfId="0" applyFont="1" applyBorder="1" applyAlignment="1">
      <alignment horizontal="center" vertical="center" wrapText="1"/>
    </xf>
    <xf numFmtId="0" fontId="9" fillId="0" borderId="10" xfId="0" applyFont="1" applyBorder="1" applyAlignment="1">
      <alignment horizontal="center" vertical="center" wrapText="1"/>
    </xf>
    <xf numFmtId="0" fontId="5" fillId="0" borderId="9" xfId="0" applyFont="1" applyBorder="1" applyAlignment="1">
      <alignment horizontal="center" vertical="center" textRotation="255" wrapText="1"/>
    </xf>
    <xf numFmtId="0" fontId="6" fillId="0" borderId="10" xfId="0" applyFont="1" applyBorder="1" applyAlignment="1">
      <alignment horizontal="center" vertical="center"/>
    </xf>
    <xf numFmtId="0" fontId="0" fillId="0" borderId="0" xfId="0" applyAlignment="1">
      <alignment vertical="center"/>
    </xf>
    <xf numFmtId="0" fontId="10" fillId="6" borderId="12" xfId="0" applyFont="1" applyFill="1" applyBorder="1" applyAlignment="1">
      <alignment horizontal="center" vertical="center"/>
    </xf>
    <xf numFmtId="0" fontId="10" fillId="6" borderId="12" xfId="0" applyFont="1" applyFill="1" applyBorder="1" applyAlignment="1">
      <alignment horizontal="center" vertical="top"/>
    </xf>
    <xf numFmtId="0" fontId="10" fillId="6" borderId="12" xfId="0" applyFont="1" applyFill="1" applyBorder="1" applyAlignment="1">
      <alignment horizontal="center" vertical="top" wrapText="1"/>
    </xf>
    <xf numFmtId="0" fontId="11" fillId="0" borderId="0" xfId="0" applyFont="1" applyAlignment="1">
      <alignment horizontal="left" vertical="center"/>
    </xf>
    <xf numFmtId="0" fontId="11" fillId="0" borderId="0" xfId="0" applyFont="1" applyAlignment="1">
      <alignment horizontal="left" vertical="center" wrapText="1"/>
    </xf>
    <xf numFmtId="9" fontId="11" fillId="0" borderId="0" xfId="0" applyNumberFormat="1"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left" vertical="center" wrapText="1"/>
    </xf>
    <xf numFmtId="0" fontId="11" fillId="7" borderId="0" xfId="0" applyFont="1" applyFill="1" applyAlignment="1">
      <alignment horizontal="left" vertical="center"/>
    </xf>
    <xf numFmtId="0" fontId="11" fillId="7" borderId="0" xfId="0" applyFont="1" applyFill="1" applyAlignment="1">
      <alignment horizontal="left" vertical="center" wrapText="1"/>
    </xf>
    <xf numFmtId="9" fontId="11" fillId="7" borderId="0" xfId="0" applyNumberFormat="1" applyFont="1" applyFill="1" applyAlignment="1">
      <alignment horizontal="center" vertical="center"/>
    </xf>
    <xf numFmtId="0" fontId="11" fillId="7" borderId="0" xfId="0" applyFont="1" applyFill="1" applyAlignment="1">
      <alignment horizontal="center" vertical="center"/>
    </xf>
    <xf numFmtId="0" fontId="11" fillId="8" borderId="13" xfId="0" applyFont="1" applyFill="1" applyBorder="1" applyAlignment="1">
      <alignment horizontal="center" vertical="center"/>
    </xf>
    <xf numFmtId="0" fontId="12" fillId="7" borderId="0" xfId="0" applyFont="1" applyFill="1" applyAlignment="1">
      <alignment horizontal="left" vertical="center" wrapText="1"/>
    </xf>
    <xf numFmtId="0" fontId="11" fillId="2" borderId="0" xfId="0" applyFont="1" applyFill="1" applyAlignment="1">
      <alignment horizontal="left" vertical="center"/>
    </xf>
    <xf numFmtId="0" fontId="11" fillId="2" borderId="0" xfId="0" applyFont="1" applyFill="1" applyAlignment="1">
      <alignment horizontal="left" vertical="center" wrapText="1"/>
    </xf>
    <xf numFmtId="9" fontId="11" fillId="2" borderId="0" xfId="0" applyNumberFormat="1" applyFont="1" applyFill="1" applyAlignment="1">
      <alignment horizontal="center" vertical="center"/>
    </xf>
    <xf numFmtId="0" fontId="11" fillId="2" borderId="0" xfId="0" applyFont="1" applyFill="1" applyAlignment="1">
      <alignment horizontal="center" vertical="center"/>
    </xf>
    <xf numFmtId="0" fontId="11" fillId="2" borderId="13" xfId="0" applyFont="1" applyFill="1" applyBorder="1" applyAlignment="1">
      <alignment horizontal="center" vertical="center"/>
    </xf>
    <xf numFmtId="0" fontId="0" fillId="2" borderId="0" xfId="0" applyFill="1" applyAlignment="1">
      <alignment vertical="center"/>
    </xf>
    <xf numFmtId="0" fontId="0" fillId="2" borderId="0" xfId="0" applyFill="1"/>
    <xf numFmtId="0" fontId="0" fillId="7" borderId="0" xfId="0" applyFill="1" applyAlignment="1">
      <alignment vertical="center"/>
    </xf>
    <xf numFmtId="0" fontId="0" fillId="7" borderId="0" xfId="0" applyFill="1"/>
    <xf numFmtId="0" fontId="0" fillId="0" borderId="0" xfId="0" applyAlignment="1">
      <alignment horizontal="left" vertical="center"/>
    </xf>
    <xf numFmtId="0" fontId="0" fillId="0" borderId="0" xfId="0" applyAlignment="1">
      <alignment horizontal="left" vertical="top"/>
    </xf>
    <xf numFmtId="0" fontId="0" fillId="0" borderId="0" xfId="0" applyAlignment="1">
      <alignment horizontal="center" vertical="top"/>
    </xf>
    <xf numFmtId="0" fontId="11" fillId="0" borderId="0" xfId="0" applyFont="1" applyAlignment="1">
      <alignment horizontal="center" vertical="top"/>
    </xf>
    <xf numFmtId="0" fontId="11" fillId="9" borderId="0" xfId="0" applyFont="1" applyFill="1" applyAlignment="1">
      <alignment horizontal="left" vertical="center" wrapText="1"/>
    </xf>
    <xf numFmtId="0" fontId="11" fillId="10" borderId="0" xfId="0" applyFont="1" applyFill="1" applyAlignment="1">
      <alignment horizontal="left" vertical="center" wrapText="1"/>
    </xf>
    <xf numFmtId="0" fontId="11" fillId="10" borderId="13" xfId="0" applyFont="1" applyFill="1" applyBorder="1" applyAlignment="1">
      <alignment horizontal="left" vertical="center" wrapText="1"/>
    </xf>
    <xf numFmtId="0" fontId="11" fillId="9" borderId="13" xfId="0" applyFont="1" applyFill="1" applyBorder="1" applyAlignment="1">
      <alignment horizontal="left" vertical="center" wrapText="1"/>
    </xf>
    <xf numFmtId="0" fontId="0" fillId="0" borderId="0" xfId="0" applyAlignment="1">
      <alignment wrapText="1"/>
    </xf>
    <xf numFmtId="0" fontId="0" fillId="0" borderId="0" xfId="0" applyAlignment="1">
      <alignment vertical="top"/>
    </xf>
    <xf numFmtId="0" fontId="0" fillId="0" borderId="0" xfId="0" applyAlignment="1">
      <alignment horizontal="center" vertical="top" wrapText="1"/>
    </xf>
    <xf numFmtId="0" fontId="0" fillId="2" borderId="0" xfId="0" applyFill="1" applyAlignment="1">
      <alignment horizontal="center" vertical="top"/>
    </xf>
    <xf numFmtId="0" fontId="0" fillId="12" borderId="0" xfId="0" applyFill="1" applyAlignment="1">
      <alignment horizontal="center" vertical="center"/>
    </xf>
    <xf numFmtId="2" fontId="0" fillId="12" borderId="0" xfId="0" applyNumberFormat="1" applyFill="1" applyAlignment="1">
      <alignment horizontal="center" vertical="center"/>
    </xf>
    <xf numFmtId="14" fontId="0" fillId="2" borderId="0" xfId="0" applyNumberFormat="1" applyFill="1" applyAlignment="1">
      <alignment vertical="top"/>
    </xf>
    <xf numFmtId="0" fontId="0" fillId="0" borderId="0" xfId="0" applyAlignment="1">
      <alignment horizontal="left" vertical="top" wrapText="1"/>
    </xf>
    <xf numFmtId="0" fontId="10" fillId="13" borderId="0" xfId="0" applyFont="1" applyFill="1" applyAlignment="1">
      <alignment horizontal="center" vertical="center"/>
    </xf>
    <xf numFmtId="0" fontId="10" fillId="13" borderId="0" xfId="0" applyFont="1" applyFill="1" applyAlignment="1">
      <alignment horizontal="center" vertical="center" wrapText="1"/>
    </xf>
    <xf numFmtId="0" fontId="1" fillId="11" borderId="0" xfId="0" applyFont="1" applyFill="1" applyAlignment="1">
      <alignment horizontal="center" vertical="center"/>
    </xf>
    <xf numFmtId="14" fontId="0" fillId="12" borderId="0" xfId="0" applyNumberFormat="1" applyFill="1" applyAlignment="1">
      <alignment horizontal="center" vertical="center" wrapText="1"/>
    </xf>
    <xf numFmtId="0" fontId="0" fillId="12" borderId="15" xfId="0" applyFill="1" applyBorder="1" applyAlignment="1">
      <alignment horizontal="center" vertical="center"/>
    </xf>
    <xf numFmtId="14" fontId="0" fillId="12" borderId="15" xfId="0" applyNumberFormat="1" applyFill="1" applyBorder="1" applyAlignment="1">
      <alignment horizontal="center" vertical="center" wrapText="1"/>
    </xf>
    <xf numFmtId="0" fontId="15" fillId="12" borderId="16" xfId="0" applyFont="1" applyFill="1" applyBorder="1" applyAlignment="1">
      <alignment horizontal="left" vertical="center" wrapText="1"/>
    </xf>
    <xf numFmtId="0" fontId="0" fillId="12" borderId="18" xfId="0" applyFill="1" applyBorder="1" applyAlignment="1">
      <alignment horizontal="left" vertical="center"/>
    </xf>
    <xf numFmtId="0" fontId="0" fillId="12" borderId="18" xfId="0" applyFill="1" applyBorder="1" applyAlignment="1">
      <alignment horizontal="left" vertical="center" wrapText="1"/>
    </xf>
    <xf numFmtId="0" fontId="0" fillId="12" borderId="20" xfId="0" applyFill="1" applyBorder="1" applyAlignment="1">
      <alignment horizontal="center" vertical="center"/>
    </xf>
    <xf numFmtId="14" fontId="0" fillId="12" borderId="20" xfId="0" applyNumberFormat="1" applyFill="1" applyBorder="1" applyAlignment="1">
      <alignment horizontal="center" vertical="center" wrapText="1"/>
    </xf>
    <xf numFmtId="0" fontId="0" fillId="12" borderId="21" xfId="0" applyFill="1" applyBorder="1" applyAlignment="1">
      <alignment horizontal="left" vertical="center"/>
    </xf>
    <xf numFmtId="14" fontId="0" fillId="12" borderId="15" xfId="0" applyNumberFormat="1" applyFill="1" applyBorder="1" applyAlignment="1">
      <alignment horizontal="center" vertical="center"/>
    </xf>
    <xf numFmtId="14" fontId="0" fillId="12" borderId="0" xfId="0" applyNumberFormat="1" applyFill="1" applyAlignment="1">
      <alignment horizontal="center" vertical="center"/>
    </xf>
    <xf numFmtId="14" fontId="0" fillId="12" borderId="20" xfId="0" applyNumberFormat="1" applyFill="1" applyBorder="1" applyAlignment="1">
      <alignment horizontal="center" vertical="center"/>
    </xf>
    <xf numFmtId="0" fontId="0" fillId="12" borderId="21" xfId="0" applyFill="1" applyBorder="1" applyAlignment="1">
      <alignment horizontal="left" vertical="center" wrapText="1"/>
    </xf>
    <xf numFmtId="0" fontId="0" fillId="2" borderId="0" xfId="0" applyFill="1" applyAlignment="1">
      <alignment vertical="top"/>
    </xf>
    <xf numFmtId="0" fontId="0" fillId="0" borderId="0" xfId="0" applyAlignment="1">
      <alignment horizontal="center" vertical="top" indent="2"/>
    </xf>
    <xf numFmtId="0" fontId="14" fillId="13" borderId="0" xfId="0" applyFont="1" applyFill="1" applyAlignment="1">
      <alignment vertical="top"/>
    </xf>
    <xf numFmtId="10" fontId="0" fillId="2" borderId="0" xfId="0" applyNumberFormat="1" applyFill="1" applyAlignment="1">
      <alignment vertical="top"/>
    </xf>
    <xf numFmtId="14" fontId="0" fillId="0" borderId="0" xfId="0" applyNumberFormat="1" applyAlignment="1">
      <alignment horizontal="center" vertical="top"/>
    </xf>
    <xf numFmtId="14" fontId="0" fillId="2" borderId="0" xfId="0" applyNumberFormat="1" applyFill="1" applyAlignment="1">
      <alignment horizontal="center" vertical="top"/>
    </xf>
    <xf numFmtId="0" fontId="0" fillId="2" borderId="0" xfId="0" applyFill="1" applyAlignment="1">
      <alignment horizontal="left" vertical="top"/>
    </xf>
    <xf numFmtId="10" fontId="0" fillId="2" borderId="0" xfId="0" applyNumberFormat="1" applyFill="1" applyAlignment="1">
      <alignment horizontal="center" vertical="top"/>
    </xf>
    <xf numFmtId="0" fontId="1" fillId="16" borderId="0" xfId="0" applyFont="1" applyFill="1" applyAlignment="1">
      <alignment horizontal="center" vertical="center"/>
    </xf>
    <xf numFmtId="0" fontId="13" fillId="2" borderId="0" xfId="0" applyFont="1" applyFill="1" applyAlignment="1">
      <alignment horizontal="left" vertical="top"/>
    </xf>
    <xf numFmtId="0" fontId="0" fillId="2" borderId="0" xfId="0" applyFill="1" applyAlignment="1">
      <alignment horizontal="left" vertical="top" wrapText="1"/>
    </xf>
    <xf numFmtId="0" fontId="0" fillId="17" borderId="0" xfId="0" applyFill="1" applyAlignment="1">
      <alignment horizontal="center" vertical="top"/>
    </xf>
    <xf numFmtId="0" fontId="17" fillId="2" borderId="0" xfId="0" applyFont="1" applyFill="1" applyAlignment="1">
      <alignment vertical="top"/>
    </xf>
    <xf numFmtId="0" fontId="18" fillId="0" borderId="0" xfId="0" applyFont="1" applyAlignment="1">
      <alignment horizontal="center" vertical="top"/>
    </xf>
    <xf numFmtId="0" fontId="0" fillId="17" borderId="0" xfId="0" applyFill="1" applyAlignment="1">
      <alignment horizontal="left" vertical="top"/>
    </xf>
    <xf numFmtId="14" fontId="0" fillId="17" borderId="0" xfId="0" applyNumberFormat="1" applyFill="1" applyAlignment="1">
      <alignment horizontal="center" vertical="top"/>
    </xf>
    <xf numFmtId="10" fontId="0" fillId="17" borderId="0" xfId="0" applyNumberFormat="1" applyFill="1" applyAlignment="1">
      <alignment horizontal="center" vertical="top"/>
    </xf>
    <xf numFmtId="0" fontId="18" fillId="17" borderId="0" xfId="0" applyFont="1" applyFill="1" applyAlignment="1">
      <alignment horizontal="center"/>
    </xf>
    <xf numFmtId="0" fontId="18" fillId="0" borderId="0" xfId="0" applyFont="1" applyAlignment="1">
      <alignment horizontal="center"/>
    </xf>
    <xf numFmtId="0" fontId="18" fillId="2" borderId="0" xfId="0" applyFont="1" applyFill="1" applyAlignment="1">
      <alignment horizontal="center"/>
    </xf>
    <xf numFmtId="0" fontId="0" fillId="2" borderId="0" xfId="0" applyFill="1" applyAlignment="1">
      <alignment horizontal="center" vertical="top" wrapText="1"/>
    </xf>
    <xf numFmtId="9" fontId="0" fillId="2" borderId="0" xfId="0" applyNumberFormat="1" applyFill="1" applyAlignment="1">
      <alignment horizontal="center" vertical="top"/>
    </xf>
    <xf numFmtId="0" fontId="19" fillId="2" borderId="0" xfId="0" applyFont="1" applyFill="1" applyAlignment="1">
      <alignment vertical="top"/>
    </xf>
    <xf numFmtId="0" fontId="20" fillId="2" borderId="0" xfId="0" applyFont="1" applyFill="1" applyAlignment="1">
      <alignment vertical="top"/>
    </xf>
    <xf numFmtId="0" fontId="20" fillId="2" borderId="0" xfId="0" applyFont="1" applyFill="1" applyAlignment="1">
      <alignment horizontal="center" vertical="top"/>
    </xf>
    <xf numFmtId="0" fontId="15" fillId="2" borderId="0" xfId="0" applyFont="1" applyFill="1" applyAlignment="1">
      <alignment vertical="top"/>
    </xf>
    <xf numFmtId="0" fontId="13" fillId="15" borderId="0" xfId="0" applyFont="1" applyFill="1" applyAlignment="1">
      <alignment horizontal="center"/>
    </xf>
    <xf numFmtId="0" fontId="16" fillId="14" borderId="0" xfId="0" applyFont="1" applyFill="1" applyAlignment="1">
      <alignment horizontal="center" vertical="center"/>
    </xf>
    <xf numFmtId="0" fontId="1" fillId="14" borderId="0" xfId="0" applyFont="1" applyFill="1" applyAlignment="1">
      <alignment horizontal="center" vertical="center"/>
    </xf>
    <xf numFmtId="0" fontId="1" fillId="14" borderId="0" xfId="0" applyFont="1" applyFill="1" applyAlignment="1">
      <alignment horizontal="center" vertical="top"/>
    </xf>
    <xf numFmtId="14" fontId="1" fillId="14" borderId="0" xfId="0" applyNumberFormat="1" applyFont="1" applyFill="1" applyAlignment="1">
      <alignment horizontal="center" vertical="center"/>
    </xf>
    <xf numFmtId="0" fontId="16" fillId="14" borderId="0" xfId="0" applyFont="1" applyFill="1" applyAlignment="1">
      <alignment vertical="top"/>
    </xf>
    <xf numFmtId="0" fontId="16" fillId="14" borderId="0" xfId="0" applyFont="1" applyFill="1" applyAlignment="1">
      <alignment horizontal="center" vertical="top"/>
    </xf>
    <xf numFmtId="0" fontId="16" fillId="14" borderId="0" xfId="0" applyFont="1" applyFill="1" applyAlignment="1">
      <alignment vertical="top" wrapText="1"/>
    </xf>
    <xf numFmtId="0" fontId="16" fillId="14" borderId="0" xfId="0" applyFont="1" applyFill="1" applyAlignment="1">
      <alignment horizontal="center" vertical="top" wrapText="1"/>
    </xf>
    <xf numFmtId="0" fontId="0" fillId="14" borderId="0" xfId="0" applyFill="1" applyAlignment="1">
      <alignment vertical="top"/>
    </xf>
    <xf numFmtId="0" fontId="13" fillId="18" borderId="0" xfId="0" applyFont="1" applyFill="1" applyAlignment="1">
      <alignment horizontal="center"/>
    </xf>
    <xf numFmtId="2" fontId="13" fillId="15" borderId="0" xfId="0" applyNumberFormat="1" applyFont="1" applyFill="1" applyAlignment="1">
      <alignment horizontal="center" vertical="center"/>
    </xf>
    <xf numFmtId="0" fontId="13" fillId="18" borderId="0" xfId="0" applyFont="1" applyFill="1" applyAlignment="1">
      <alignment horizontal="center" vertical="center"/>
    </xf>
    <xf numFmtId="2" fontId="13" fillId="18" borderId="0" xfId="0" applyNumberFormat="1" applyFont="1" applyFill="1" applyAlignment="1">
      <alignment horizontal="center" vertical="center"/>
    </xf>
    <xf numFmtId="0" fontId="0" fillId="2" borderId="25" xfId="0" applyFill="1" applyBorder="1" applyAlignment="1">
      <alignment horizontal="left" vertical="center" wrapText="1"/>
    </xf>
    <xf numFmtId="0" fontId="0" fillId="2" borderId="24" xfId="0" applyFill="1" applyBorder="1" applyAlignment="1">
      <alignment horizontal="left" vertical="center" wrapText="1"/>
    </xf>
    <xf numFmtId="14" fontId="0" fillId="2" borderId="25" xfId="0" applyNumberFormat="1" applyFill="1" applyBorder="1" applyAlignment="1">
      <alignment horizontal="center" vertical="center" wrapText="1"/>
    </xf>
    <xf numFmtId="14" fontId="0" fillId="2" borderId="26" xfId="0" applyNumberFormat="1" applyFill="1" applyBorder="1" applyAlignment="1">
      <alignment horizontal="center" vertical="center" wrapText="1"/>
    </xf>
    <xf numFmtId="14" fontId="0" fillId="2" borderId="30" xfId="0" applyNumberFormat="1" applyFill="1" applyBorder="1" applyAlignment="1">
      <alignment horizontal="center" vertical="center" wrapText="1"/>
    </xf>
    <xf numFmtId="0" fontId="16" fillId="19" borderId="24" xfId="0" applyFont="1" applyFill="1" applyBorder="1" applyAlignment="1">
      <alignment horizontal="center" vertical="center"/>
    </xf>
    <xf numFmtId="0" fontId="16" fillId="19" borderId="24" xfId="0" applyFont="1" applyFill="1" applyBorder="1" applyAlignment="1">
      <alignment horizontal="center" vertical="center" wrapText="1"/>
    </xf>
    <xf numFmtId="0" fontId="15" fillId="2" borderId="34" xfId="0" applyFont="1" applyFill="1" applyBorder="1" applyAlignment="1">
      <alignment horizontal="left" vertical="center" wrapText="1"/>
    </xf>
    <xf numFmtId="0" fontId="0" fillId="2" borderId="34" xfId="0" applyFill="1" applyBorder="1" applyAlignment="1">
      <alignment horizontal="left" vertical="center" wrapText="1"/>
    </xf>
    <xf numFmtId="0" fontId="0" fillId="2" borderId="34" xfId="0" applyFill="1" applyBorder="1" applyAlignment="1">
      <alignment horizontal="left" vertical="center"/>
    </xf>
    <xf numFmtId="0" fontId="0" fillId="2" borderId="30" xfId="0" applyFill="1" applyBorder="1" applyAlignment="1">
      <alignment horizontal="center" vertical="center"/>
    </xf>
    <xf numFmtId="0" fontId="0" fillId="2" borderId="28" xfId="0" applyFill="1" applyBorder="1" applyAlignment="1">
      <alignment horizontal="center" vertical="center"/>
    </xf>
    <xf numFmtId="0" fontId="0" fillId="2" borderId="22" xfId="0" applyFill="1" applyBorder="1" applyAlignment="1">
      <alignment horizontal="center" vertical="center"/>
    </xf>
    <xf numFmtId="0" fontId="0" fillId="2" borderId="32" xfId="0" applyFill="1" applyBorder="1" applyAlignment="1">
      <alignment horizontal="center" vertical="center"/>
    </xf>
    <xf numFmtId="0" fontId="0" fillId="2" borderId="23" xfId="0" applyFill="1" applyBorder="1" applyAlignment="1">
      <alignment horizontal="center" vertical="center"/>
    </xf>
    <xf numFmtId="0" fontId="0" fillId="20" borderId="0" xfId="0" applyFill="1" applyAlignment="1">
      <alignment horizontal="center" vertical="top"/>
    </xf>
    <xf numFmtId="0" fontId="1" fillId="14" borderId="0" xfId="0" applyFont="1" applyFill="1" applyAlignment="1">
      <alignment horizontal="center" vertical="top" wrapText="1"/>
    </xf>
    <xf numFmtId="14" fontId="1" fillId="14" borderId="0" xfId="0" applyNumberFormat="1" applyFont="1" applyFill="1" applyAlignment="1">
      <alignment horizontal="center" vertical="top"/>
    </xf>
    <xf numFmtId="0" fontId="0" fillId="2" borderId="0" xfId="0" applyFill="1" applyAlignment="1">
      <alignment vertical="top" wrapText="1"/>
    </xf>
    <xf numFmtId="0" fontId="1" fillId="0" borderId="0" xfId="0" applyFont="1" applyAlignment="1">
      <alignment horizontal="center" vertical="top" indent="2"/>
    </xf>
    <xf numFmtId="0" fontId="0" fillId="2" borderId="0" xfId="0" applyFill="1" applyAlignment="1">
      <alignment horizontal="center" wrapText="1"/>
    </xf>
    <xf numFmtId="9" fontId="0" fillId="2" borderId="0" xfId="0" applyNumberFormat="1" applyFill="1" applyAlignment="1">
      <alignment horizontal="center" vertical="center"/>
    </xf>
    <xf numFmtId="14" fontId="0" fillId="2" borderId="1" xfId="0" applyNumberFormat="1" applyFill="1" applyBorder="1" applyAlignment="1">
      <alignment horizontal="center" vertical="center"/>
    </xf>
    <xf numFmtId="0" fontId="0" fillId="2" borderId="37" xfId="0" applyFill="1" applyBorder="1" applyAlignment="1">
      <alignment horizontal="center" vertical="center"/>
    </xf>
    <xf numFmtId="0" fontId="0" fillId="2" borderId="6" xfId="0" applyFill="1" applyBorder="1" applyAlignment="1">
      <alignment horizontal="center" vertical="center"/>
    </xf>
    <xf numFmtId="0" fontId="0" fillId="20" borderId="0" xfId="0" applyFill="1"/>
    <xf numFmtId="14" fontId="0" fillId="0" borderId="0" xfId="0" applyNumberFormat="1"/>
    <xf numFmtId="14" fontId="1" fillId="14" borderId="0" xfId="0" applyNumberFormat="1" applyFont="1" applyFill="1" applyAlignment="1">
      <alignment vertical="center"/>
    </xf>
    <xf numFmtId="0" fontId="0" fillId="20" borderId="0" xfId="0" applyFill="1" applyAlignment="1">
      <alignment horizontal="left" vertical="top"/>
    </xf>
    <xf numFmtId="14" fontId="0" fillId="2" borderId="0" xfId="0" applyNumberFormat="1" applyFill="1" applyAlignment="1">
      <alignment horizontal="left" vertical="top"/>
    </xf>
    <xf numFmtId="9" fontId="0" fillId="2" borderId="0" xfId="0" applyNumberFormat="1" applyFill="1" applyAlignment="1">
      <alignment horizontal="left" vertical="top"/>
    </xf>
    <xf numFmtId="0" fontId="0" fillId="21" borderId="0" xfId="0" applyFill="1" applyAlignment="1">
      <alignment horizontal="left" vertical="top"/>
    </xf>
    <xf numFmtId="0" fontId="0" fillId="2" borderId="0" xfId="0" applyFill="1" applyAlignment="1">
      <alignment horizontal="center" vertical="top" indent="2"/>
    </xf>
    <xf numFmtId="0" fontId="18" fillId="2" borderId="0" xfId="0" applyFont="1" applyFill="1" applyAlignment="1">
      <alignment horizontal="center" vertical="top"/>
    </xf>
    <xf numFmtId="0" fontId="0" fillId="0" borderId="0" xfId="0" applyAlignment="1">
      <alignment horizontal="left"/>
    </xf>
    <xf numFmtId="0" fontId="0" fillId="0" borderId="0" xfId="0" pivotButton="1"/>
    <xf numFmtId="0" fontId="0" fillId="22" borderId="0" xfId="0" applyFill="1"/>
    <xf numFmtId="3" fontId="0" fillId="0" borderId="0" xfId="0" applyNumberFormat="1"/>
    <xf numFmtId="14" fontId="1" fillId="19" borderId="0" xfId="0" applyNumberFormat="1" applyFont="1" applyFill="1" applyAlignment="1">
      <alignment horizontal="center" vertical="center"/>
    </xf>
    <xf numFmtId="43" fontId="0" fillId="0" borderId="0" xfId="0" applyNumberFormat="1" applyAlignment="1">
      <alignment horizontal="center" vertical="top"/>
    </xf>
    <xf numFmtId="0" fontId="0" fillId="0" borderId="0" xfId="0" applyAlignment="1">
      <alignment horizontal="left" vertical="top" indent="2"/>
    </xf>
    <xf numFmtId="0" fontId="13" fillId="0" borderId="0" xfId="0" applyFont="1" applyAlignment="1">
      <alignment horizontal="center" vertical="top"/>
    </xf>
    <xf numFmtId="0" fontId="22" fillId="0" borderId="0" xfId="0" applyFont="1" applyAlignment="1">
      <alignment horizontal="center" vertical="top"/>
    </xf>
    <xf numFmtId="0" fontId="0" fillId="0" borderId="0" xfId="0" applyAlignment="1">
      <alignment horizontal="center" vertical="top" wrapText="1" indent="2"/>
    </xf>
    <xf numFmtId="9" fontId="0" fillId="0" borderId="0" xfId="0" applyNumberFormat="1" applyAlignment="1">
      <alignment horizontal="center" vertical="top"/>
    </xf>
    <xf numFmtId="14" fontId="1" fillId="19" borderId="0" xfId="0" applyNumberFormat="1" applyFont="1" applyFill="1" applyAlignment="1">
      <alignment horizontal="center" vertical="top"/>
    </xf>
    <xf numFmtId="43" fontId="0" fillId="0" borderId="0" xfId="0" applyNumberFormat="1"/>
    <xf numFmtId="0" fontId="0" fillId="0" borderId="1" xfId="0" applyBorder="1" applyAlignment="1">
      <alignment horizontal="center"/>
    </xf>
    <xf numFmtId="0" fontId="1" fillId="0" borderId="3" xfId="0" applyFont="1" applyBorder="1" applyAlignment="1">
      <alignment horizontal="center"/>
    </xf>
    <xf numFmtId="0" fontId="0" fillId="0" borderId="1" xfId="0" applyBorder="1" applyAlignment="1">
      <alignment horizont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6" xfId="0" applyFont="1" applyBorder="1" applyAlignment="1">
      <alignment horizontal="center"/>
    </xf>
    <xf numFmtId="0" fontId="1" fillId="0" borderId="8" xfId="0" applyFont="1" applyBorder="1" applyAlignment="1">
      <alignment horizontal="center" vertical="center" textRotation="90"/>
    </xf>
    <xf numFmtId="0" fontId="1" fillId="2" borderId="30" xfId="0" applyFont="1" applyFill="1" applyBorder="1" applyAlignment="1">
      <alignment horizontal="center" vertical="center"/>
    </xf>
    <xf numFmtId="0" fontId="1" fillId="2" borderId="32"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26" xfId="0" applyFont="1" applyFill="1" applyBorder="1" applyAlignment="1">
      <alignment horizontal="center" vertical="center"/>
    </xf>
    <xf numFmtId="0" fontId="0" fillId="2" borderId="29" xfId="0" applyFill="1" applyBorder="1" applyAlignment="1">
      <alignment horizontal="center" vertical="center" wrapText="1"/>
    </xf>
    <xf numFmtId="0" fontId="0" fillId="2" borderId="0" xfId="0" applyFill="1" applyAlignment="1">
      <alignment horizontal="center" vertical="center" wrapText="1"/>
    </xf>
    <xf numFmtId="0" fontId="0" fillId="2" borderId="33" xfId="0" applyFill="1" applyBorder="1" applyAlignment="1">
      <alignment horizontal="center" vertical="center" wrapText="1"/>
    </xf>
    <xf numFmtId="0" fontId="16" fillId="18" borderId="0" xfId="0" applyFont="1" applyFill="1" applyAlignment="1">
      <alignment horizontal="center" vertical="center" wrapText="1"/>
    </xf>
    <xf numFmtId="0" fontId="21" fillId="12" borderId="0" xfId="0" applyFont="1" applyFill="1" applyAlignment="1">
      <alignment horizontal="center" vertical="center"/>
    </xf>
    <xf numFmtId="0" fontId="1" fillId="2" borderId="28"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36" xfId="0" applyFont="1" applyFill="1" applyBorder="1" applyAlignment="1">
      <alignment horizontal="center" vertical="center"/>
    </xf>
    <xf numFmtId="0" fontId="0" fillId="2" borderId="28"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35" xfId="0" applyFill="1" applyBorder="1" applyAlignment="1">
      <alignment horizontal="center" vertical="center" wrapText="1"/>
    </xf>
    <xf numFmtId="0" fontId="0" fillId="12" borderId="15" xfId="0" applyFill="1" applyBorder="1" applyAlignment="1">
      <alignment horizontal="center" vertical="center" wrapText="1"/>
    </xf>
    <xf numFmtId="0" fontId="0" fillId="12" borderId="0" xfId="0" applyFill="1" applyAlignment="1">
      <alignment horizontal="center" vertical="center" wrapText="1"/>
    </xf>
    <xf numFmtId="0" fontId="0" fillId="12" borderId="20" xfId="0" applyFill="1" applyBorder="1" applyAlignment="1">
      <alignment horizontal="center" vertical="center" wrapText="1"/>
    </xf>
    <xf numFmtId="0" fontId="0" fillId="12" borderId="15" xfId="0" applyFill="1" applyBorder="1" applyAlignment="1">
      <alignment horizontal="center" vertical="center"/>
    </xf>
    <xf numFmtId="0" fontId="0" fillId="12" borderId="0" xfId="0" applyFill="1" applyAlignment="1">
      <alignment horizontal="center" vertical="center"/>
    </xf>
    <xf numFmtId="0" fontId="0" fillId="12" borderId="20" xfId="0" applyFill="1" applyBorder="1" applyAlignment="1">
      <alignment horizontal="center" vertical="center"/>
    </xf>
    <xf numFmtId="0" fontId="1" fillId="11" borderId="0" xfId="0" applyFont="1" applyFill="1" applyAlignment="1">
      <alignment horizontal="center" vertical="center"/>
    </xf>
    <xf numFmtId="0" fontId="0" fillId="12" borderId="14" xfId="0" applyFill="1" applyBorder="1" applyAlignment="1">
      <alignment horizontal="center" vertical="center"/>
    </xf>
    <xf numFmtId="0" fontId="0" fillId="12" borderId="17" xfId="0" applyFill="1" applyBorder="1" applyAlignment="1">
      <alignment horizontal="center" vertical="center"/>
    </xf>
    <xf numFmtId="0" fontId="0" fillId="12" borderId="19" xfId="0" applyFill="1" applyBorder="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0" fillId="0" borderId="0" xfId="0" applyFill="1" applyAlignment="1">
      <alignment horizontal="center" vertical="top"/>
    </xf>
    <xf numFmtId="0" fontId="0" fillId="0" borderId="0" xfId="0" applyFill="1" applyAlignment="1">
      <alignment vertical="center"/>
    </xf>
    <xf numFmtId="0" fontId="0" fillId="0" borderId="0" xfId="0" applyFill="1"/>
    <xf numFmtId="0" fontId="0" fillId="0" borderId="0" xfId="0" applyFill="1" applyAlignment="1">
      <alignment vertical="top"/>
    </xf>
    <xf numFmtId="14" fontId="1" fillId="14" borderId="1" xfId="0" applyNumberFormat="1" applyFont="1" applyFill="1" applyBorder="1" applyAlignment="1">
      <alignment horizontal="center" vertical="top" wrapText="1"/>
    </xf>
    <xf numFmtId="43" fontId="1" fillId="14" borderId="1" xfId="0" applyNumberFormat="1" applyFont="1" applyFill="1" applyBorder="1" applyAlignment="1">
      <alignment horizontal="center" vertical="top" wrapText="1"/>
    </xf>
    <xf numFmtId="0" fontId="1" fillId="14" borderId="1" xfId="0" applyFont="1" applyFill="1" applyBorder="1" applyAlignment="1">
      <alignment horizontal="center" vertical="top" wrapText="1"/>
    </xf>
    <xf numFmtId="14" fontId="1" fillId="19" borderId="1" xfId="0" applyNumberFormat="1" applyFont="1" applyFill="1" applyBorder="1" applyAlignment="1">
      <alignment horizontal="center" vertical="top"/>
    </xf>
    <xf numFmtId="0" fontId="1" fillId="19" borderId="1" xfId="0" applyFont="1" applyFill="1" applyBorder="1" applyAlignment="1">
      <alignment horizontal="left" vertical="top" wrapText="1" indent="2"/>
    </xf>
    <xf numFmtId="14" fontId="1" fillId="23" borderId="1" xfId="0" applyNumberFormat="1" applyFont="1" applyFill="1" applyBorder="1" applyAlignment="1">
      <alignment horizontal="center" vertical="top"/>
    </xf>
    <xf numFmtId="0" fontId="0" fillId="0" borderId="1" xfId="0" applyBorder="1" applyAlignment="1">
      <alignment horizontal="left" vertical="top" wrapText="1"/>
    </xf>
    <xf numFmtId="0" fontId="0" fillId="2" borderId="1" xfId="0" applyFill="1" applyBorder="1" applyAlignment="1">
      <alignment horizontal="center" vertical="top"/>
    </xf>
    <xf numFmtId="14" fontId="0" fillId="0" borderId="1" xfId="0" applyNumberFormat="1" applyBorder="1" applyAlignment="1">
      <alignment horizontal="center"/>
    </xf>
    <xf numFmtId="0" fontId="0" fillId="0" borderId="1" xfId="0" applyBorder="1" applyAlignment="1">
      <alignment horizontal="center" vertical="center"/>
    </xf>
    <xf numFmtId="0" fontId="13" fillId="0" borderId="1" xfId="0" applyFont="1" applyBorder="1" applyAlignment="1">
      <alignment horizontal="center"/>
    </xf>
    <xf numFmtId="43" fontId="0" fillId="2" borderId="1" xfId="0" applyNumberFormat="1" applyFill="1" applyBorder="1" applyAlignment="1">
      <alignment horizontal="center" wrapText="1"/>
    </xf>
    <xf numFmtId="9" fontId="0" fillId="2" borderId="1" xfId="0" applyNumberFormat="1"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left" vertical="top" indent="2"/>
    </xf>
    <xf numFmtId="0" fontId="0" fillId="0" borderId="1" xfId="0" applyBorder="1" applyAlignment="1">
      <alignment horizontal="center" vertical="top"/>
    </xf>
    <xf numFmtId="0" fontId="0" fillId="0" borderId="1" xfId="0" applyBorder="1" applyAlignment="1">
      <alignment vertical="top"/>
    </xf>
    <xf numFmtId="0" fontId="0" fillId="0" borderId="1" xfId="0" applyBorder="1"/>
    <xf numFmtId="0" fontId="0" fillId="2" borderId="1" xfId="0" applyFill="1" applyBorder="1"/>
    <xf numFmtId="0" fontId="0" fillId="0" borderId="1" xfId="0" applyBorder="1" applyAlignment="1">
      <alignment horizontal="center" vertical="top" indent="2"/>
    </xf>
    <xf numFmtId="0" fontId="15" fillId="2" borderId="1" xfId="0" applyFont="1" applyFill="1" applyBorder="1" applyAlignment="1">
      <alignment horizontal="center"/>
    </xf>
    <xf numFmtId="14" fontId="0" fillId="0" borderId="1" xfId="0" applyNumberFormat="1" applyBorder="1" applyAlignment="1">
      <alignment horizontal="center" vertical="top"/>
    </xf>
    <xf numFmtId="14" fontId="15" fillId="0" borderId="1" xfId="0" applyNumberFormat="1" applyFont="1" applyBorder="1" applyAlignment="1">
      <alignment horizontal="center"/>
    </xf>
    <xf numFmtId="0" fontId="15" fillId="2" borderId="1" xfId="0" applyFont="1" applyFill="1" applyBorder="1" applyAlignment="1">
      <alignment horizontal="center" vertical="top"/>
    </xf>
    <xf numFmtId="0" fontId="0" fillId="0" borderId="1" xfId="0" applyBorder="1" applyAlignment="1">
      <alignment horizontal="left" vertical="top"/>
    </xf>
    <xf numFmtId="0" fontId="0" fillId="17" borderId="1" xfId="0" applyFill="1" applyBorder="1" applyAlignment="1">
      <alignment horizontal="center" vertical="top"/>
    </xf>
    <xf numFmtId="14" fontId="0" fillId="0" borderId="1" xfId="0" applyNumberFormat="1" applyBorder="1" applyAlignment="1">
      <alignment horizontal="center" vertical="center"/>
    </xf>
    <xf numFmtId="43" fontId="0" fillId="2" borderId="1" xfId="0" applyNumberFormat="1" applyFill="1" applyBorder="1" applyAlignment="1">
      <alignment horizontal="center" vertical="center" wrapText="1"/>
    </xf>
    <xf numFmtId="43" fontId="0" fillId="2" borderId="1" xfId="0" applyNumberFormat="1" applyFill="1" applyBorder="1" applyAlignment="1">
      <alignment horizontal="center" vertical="top" wrapText="1"/>
    </xf>
    <xf numFmtId="14" fontId="15" fillId="0" borderId="1" xfId="0" applyNumberFormat="1" applyFont="1" applyBorder="1" applyAlignment="1">
      <alignment horizontal="center" vertical="top"/>
    </xf>
    <xf numFmtId="0" fontId="13" fillId="0" borderId="1" xfId="0" applyFont="1" applyBorder="1" applyAlignment="1">
      <alignment horizontal="left" vertical="top"/>
    </xf>
    <xf numFmtId="0" fontId="22" fillId="0" borderId="1" xfId="0" applyFont="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left" vertical="top" wrapText="1"/>
    </xf>
    <xf numFmtId="14" fontId="0" fillId="0" borderId="1" xfId="0" applyNumberFormat="1" applyFill="1" applyBorder="1" applyAlignment="1">
      <alignment horizontal="center" vertical="top"/>
    </xf>
    <xf numFmtId="0" fontId="13" fillId="0" borderId="1" xfId="0" applyFont="1" applyFill="1" applyBorder="1" applyAlignment="1">
      <alignment horizontal="center" vertical="top"/>
    </xf>
    <xf numFmtId="43" fontId="0" fillId="0" borderId="1" xfId="0" applyNumberFormat="1" applyFill="1" applyBorder="1" applyAlignment="1">
      <alignment horizontal="center" vertical="top" wrapText="1"/>
    </xf>
    <xf numFmtId="0" fontId="0" fillId="2" borderId="1" xfId="0" applyFill="1" applyBorder="1" applyAlignment="1">
      <alignment horizontal="left" vertical="top" wrapText="1" indent="2"/>
    </xf>
    <xf numFmtId="0" fontId="0" fillId="2" borderId="1" xfId="0" applyFill="1" applyBorder="1" applyAlignment="1">
      <alignment horizontal="left" vertical="top" wrapText="1"/>
    </xf>
    <xf numFmtId="14" fontId="0" fillId="2" borderId="1" xfId="0" applyNumberFormat="1" applyFill="1" applyBorder="1" applyAlignment="1">
      <alignment horizontal="center" vertical="top"/>
    </xf>
    <xf numFmtId="0" fontId="0" fillId="2" borderId="1" xfId="0" applyFill="1" applyBorder="1" applyAlignment="1">
      <alignment vertical="top"/>
    </xf>
    <xf numFmtId="0" fontId="0" fillId="2" borderId="1" xfId="0" applyFill="1" applyBorder="1" applyAlignment="1">
      <alignment horizontal="center" vertical="center"/>
    </xf>
    <xf numFmtId="0" fontId="0" fillId="0" borderId="1" xfId="0" applyFill="1" applyBorder="1" applyAlignment="1">
      <alignment horizontal="center" vertical="top" indent="2"/>
    </xf>
    <xf numFmtId="0" fontId="15" fillId="0" borderId="1" xfId="0" applyFont="1" applyFill="1" applyBorder="1" applyAlignment="1">
      <alignment horizontal="center" vertical="top"/>
    </xf>
    <xf numFmtId="0" fontId="0" fillId="0" borderId="1" xfId="0" applyBorder="1" applyAlignment="1">
      <alignment horizontal="left"/>
    </xf>
    <xf numFmtId="0" fontId="0" fillId="0" borderId="1" xfId="0" applyBorder="1" applyAlignment="1">
      <alignment horizontal="center" vertical="top" wrapText="1"/>
    </xf>
    <xf numFmtId="0" fontId="0" fillId="17" borderId="1" xfId="0" applyFill="1" applyBorder="1" applyAlignment="1">
      <alignment horizontal="center" vertical="top" wrapText="1"/>
    </xf>
    <xf numFmtId="0" fontId="13" fillId="0" borderId="1" xfId="0" applyFont="1" applyBorder="1" applyAlignment="1">
      <alignment horizontal="center" vertical="top"/>
    </xf>
    <xf numFmtId="43" fontId="0" fillId="2" borderId="1" xfId="0" applyNumberFormat="1" applyFill="1" applyBorder="1" applyAlignment="1">
      <alignment vertical="top" wrapText="1"/>
    </xf>
    <xf numFmtId="0" fontId="27" fillId="2" borderId="1" xfId="0" applyFont="1" applyFill="1" applyBorder="1" applyAlignment="1">
      <alignment horizontal="left" vertical="top" wrapText="1" indent="2"/>
    </xf>
    <xf numFmtId="0" fontId="0" fillId="0" borderId="1" xfId="0" applyFill="1" applyBorder="1" applyAlignment="1">
      <alignment horizontal="center" vertical="top" wrapText="1"/>
    </xf>
    <xf numFmtId="0" fontId="25" fillId="2" borderId="1" xfId="0" applyFont="1" applyFill="1" applyBorder="1" applyAlignment="1">
      <alignment horizontal="left" vertical="top" wrapText="1" indent="2"/>
    </xf>
    <xf numFmtId="0" fontId="15" fillId="0" borderId="1" xfId="0" applyFont="1" applyBorder="1" applyAlignment="1">
      <alignment horizontal="center" vertical="top"/>
    </xf>
    <xf numFmtId="14" fontId="13" fillId="0" borderId="1" xfId="0" applyNumberFormat="1" applyFont="1" applyBorder="1" applyAlignment="1">
      <alignment horizontal="center" vertical="top"/>
    </xf>
    <xf numFmtId="14" fontId="0" fillId="0" borderId="1" xfId="0" applyNumberFormat="1" applyBorder="1" applyAlignment="1">
      <alignment horizontal="center" vertical="top" wrapText="1"/>
    </xf>
    <xf numFmtId="9" fontId="0" fillId="2" borderId="1" xfId="0" applyNumberFormat="1" applyFill="1" applyBorder="1" applyAlignment="1">
      <alignment horizontal="left" vertical="top"/>
    </xf>
    <xf numFmtId="0" fontId="13" fillId="0" borderId="1" xfId="0" applyFont="1" applyBorder="1" applyAlignment="1">
      <alignment horizontal="center" vertical="top" indent="2"/>
    </xf>
    <xf numFmtId="0" fontId="0" fillId="0" borderId="1" xfId="0" applyBorder="1" applyAlignment="1">
      <alignment horizontal="center" vertical="top" wrapText="1" indent="2"/>
    </xf>
    <xf numFmtId="0" fontId="13" fillId="0" borderId="1" xfId="0" applyFont="1" applyFill="1" applyBorder="1" applyAlignment="1">
      <alignment horizontal="left" vertical="top" wrapText="1"/>
    </xf>
    <xf numFmtId="0" fontId="0" fillId="22" borderId="1" xfId="0" applyFill="1" applyBorder="1" applyAlignment="1">
      <alignment horizontal="center" vertical="top"/>
    </xf>
    <xf numFmtId="43" fontId="10" fillId="24" borderId="1" xfId="0" applyNumberFormat="1" applyFont="1" applyFill="1" applyBorder="1" applyAlignment="1">
      <alignment horizontal="center" vertical="top" wrapText="1"/>
    </xf>
    <xf numFmtId="0" fontId="5" fillId="0" borderId="6" xfId="0" applyFont="1" applyBorder="1" applyAlignment="1"/>
  </cellXfs>
  <cellStyles count="1">
    <cellStyle name="Normal" xfId="0" builtinId="0"/>
  </cellStyles>
  <dxfs count="4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b val="0"/>
        <i val="0"/>
        <strike val="0"/>
        <condense val="0"/>
        <extend val="0"/>
        <outline val="0"/>
        <shadow val="0"/>
        <u val="none"/>
        <vertAlign val="baseline"/>
        <sz val="10"/>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dxf>
    <dxf>
      <border outline="0">
        <bottom style="thin">
          <color theme="8" tint="-0.249977111117893"/>
        </bottom>
      </border>
    </dxf>
    <dxf>
      <border outline="0">
        <top style="thin">
          <color rgb="FF000000"/>
        </top>
      </border>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8"/>
        </patternFill>
      </fill>
      <alignment horizontal="center" vertical="top" textRotation="0" wrapText="1" indent="0" justifyLastLine="0" shrinkToFit="0" readingOrder="0"/>
      <border diagonalUp="0" diagonalDown="0" outline="0">
        <left style="thin">
          <color theme="8" tint="-0.249977111117893"/>
        </left>
        <right style="thin">
          <color theme="8" tint="-0.249977111117893"/>
        </right>
        <top/>
        <bottom/>
      </border>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FFFF63"/>
      <color rgb="FFB9FA05"/>
      <color rgb="FFF04D4D"/>
      <color rgb="FFF26D97"/>
      <color rgb="FFF2F2F2"/>
      <color rgb="FFFF2B2B"/>
      <color rgb="FFED4E4E"/>
      <color rgb="FF000000"/>
      <color rgb="FFEB0008"/>
      <color rgb="FFFF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952500</xdr:colOff>
      <xdr:row>0</xdr:row>
      <xdr:rowOff>-638175</xdr:rowOff>
    </xdr:from>
    <xdr:to>
      <xdr:col>0</xdr:col>
      <xdr:colOff>952500</xdr:colOff>
      <xdr:row>0</xdr:row>
      <xdr:rowOff>-638175</xdr:rowOff>
    </xdr:to>
    <xdr:pic>
      <xdr:nvPicPr>
        <xdr:cNvPr id="2" name="Imagen 1">
          <a:extLst>
            <a:ext uri="{FF2B5EF4-FFF2-40B4-BE49-F238E27FC236}">
              <a16:creationId xmlns:a16="http://schemas.microsoft.com/office/drawing/2014/main" id="{6EE05A53-3D4C-4553-ABA0-BA170FF3C1A9}"/>
            </a:ext>
          </a:extLst>
        </xdr:cNvPr>
        <xdr:cNvPicPr>
          <a:picLocks noChangeAspect="1"/>
        </xdr:cNvPicPr>
      </xdr:nvPicPr>
      <xdr:blipFill>
        <a:blip xmlns:r="http://schemas.openxmlformats.org/officeDocument/2006/relationships" r:embed="rId1"/>
        <a:stretch>
          <a:fillRect/>
        </a:stretch>
      </xdr:blipFill>
      <xdr:spPr>
        <a:xfrm>
          <a:off x="952500" y="-638175"/>
          <a:ext cx="0" cy="0"/>
        </a:xfrm>
        <a:prstGeom prst="rect">
          <a:avLst/>
        </a:prstGeom>
      </xdr:spPr>
    </xdr:pic>
    <xdr:clientData/>
  </xdr:twoCellAnchor>
  <xdr:twoCellAnchor editAs="oneCell">
    <xdr:from>
      <xdr:col>7</xdr:col>
      <xdr:colOff>590550</xdr:colOff>
      <xdr:row>53</xdr:row>
      <xdr:rowOff>133350</xdr:rowOff>
    </xdr:from>
    <xdr:to>
      <xdr:col>11</xdr:col>
      <xdr:colOff>0</xdr:colOff>
      <xdr:row>65</xdr:row>
      <xdr:rowOff>161925</xdr:rowOff>
    </xdr:to>
    <xdr:pic>
      <xdr:nvPicPr>
        <xdr:cNvPr id="5" name="Imagen 4">
          <a:extLst>
            <a:ext uri="{FF2B5EF4-FFF2-40B4-BE49-F238E27FC236}">
              <a16:creationId xmlns:a16="http://schemas.microsoft.com/office/drawing/2014/main" id="{857AD725-9177-5592-03F7-37E1A35EF559}"/>
            </a:ext>
            <a:ext uri="{147F2762-F138-4A5C-976F-8EAC2B608ADB}">
              <a16:predDERef xmlns:a16="http://schemas.microsoft.com/office/drawing/2014/main" pred="{6EE05A53-3D4C-4553-ABA0-BA170FF3C1A9}"/>
            </a:ext>
          </a:extLst>
        </xdr:cNvPr>
        <xdr:cNvPicPr>
          <a:picLocks noChangeAspect="1"/>
        </xdr:cNvPicPr>
      </xdr:nvPicPr>
      <xdr:blipFill>
        <a:blip xmlns:r="http://schemas.openxmlformats.org/officeDocument/2006/relationships" r:embed="rId2"/>
        <a:stretch>
          <a:fillRect/>
        </a:stretch>
      </xdr:blipFill>
      <xdr:spPr>
        <a:xfrm>
          <a:off x="7286625" y="12687300"/>
          <a:ext cx="4572000" cy="2771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952500</xdr:colOff>
      <xdr:row>0</xdr:row>
      <xdr:rowOff>-638175</xdr:rowOff>
    </xdr:from>
    <xdr:to>
      <xdr:col>0</xdr:col>
      <xdr:colOff>952500</xdr:colOff>
      <xdr:row>0</xdr:row>
      <xdr:rowOff>-638175</xdr:rowOff>
    </xdr:to>
    <xdr:pic>
      <xdr:nvPicPr>
        <xdr:cNvPr id="2" name="Imagen 1">
          <a:extLst>
            <a:ext uri="{FF2B5EF4-FFF2-40B4-BE49-F238E27FC236}">
              <a16:creationId xmlns:a16="http://schemas.microsoft.com/office/drawing/2014/main" id="{94412C28-C692-C93C-FD3E-35D84E8965B3}"/>
            </a:ext>
          </a:extLst>
        </xdr:cNvPr>
        <xdr:cNvPicPr>
          <a:picLocks noChangeAspect="1"/>
        </xdr:cNvPicPr>
      </xdr:nvPicPr>
      <xdr:blipFill>
        <a:blip xmlns:r="http://schemas.openxmlformats.org/officeDocument/2006/relationships" r:embed="rId1"/>
        <a:stretch>
          <a:fillRect/>
        </a:stretch>
      </xdr:blipFill>
      <xdr:spPr>
        <a:xfrm>
          <a:off x="952500" y="-638175"/>
          <a:ext cx="0" cy="0"/>
        </a:xfrm>
        <a:prstGeom prst="rect">
          <a:avLst/>
        </a:prstGeom>
      </xdr:spPr>
    </xdr:pic>
    <xdr:clientData/>
  </xdr:twoCellAnchor>
  <xdr:twoCellAnchor editAs="oneCell">
    <xdr:from>
      <xdr:col>6</xdr:col>
      <xdr:colOff>552450</xdr:colOff>
      <xdr:row>52</xdr:row>
      <xdr:rowOff>0</xdr:rowOff>
    </xdr:from>
    <xdr:to>
      <xdr:col>9</xdr:col>
      <xdr:colOff>609600</xdr:colOff>
      <xdr:row>64</xdr:row>
      <xdr:rowOff>0</xdr:rowOff>
    </xdr:to>
    <xdr:pic>
      <xdr:nvPicPr>
        <xdr:cNvPr id="4" name="Imagen 3">
          <a:extLst>
            <a:ext uri="{FF2B5EF4-FFF2-40B4-BE49-F238E27FC236}">
              <a16:creationId xmlns:a16="http://schemas.microsoft.com/office/drawing/2014/main" id="{5115F23D-4F73-FB97-7E76-79376AC9EF46}"/>
            </a:ext>
            <a:ext uri="{147F2762-F138-4A5C-976F-8EAC2B608ADB}">
              <a16:predDERef xmlns:a16="http://schemas.microsoft.com/office/drawing/2014/main" pred="{94412C28-C692-C93C-FD3E-35D84E8965B3}"/>
            </a:ext>
          </a:extLst>
        </xdr:cNvPr>
        <xdr:cNvPicPr>
          <a:picLocks noChangeAspect="1"/>
        </xdr:cNvPicPr>
      </xdr:nvPicPr>
      <xdr:blipFill>
        <a:blip xmlns:r="http://schemas.openxmlformats.org/officeDocument/2006/relationships" r:embed="rId2"/>
        <a:stretch>
          <a:fillRect/>
        </a:stretch>
      </xdr:blipFill>
      <xdr:spPr>
        <a:xfrm>
          <a:off x="6286500" y="12325350"/>
          <a:ext cx="4572000" cy="2743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438150</xdr:colOff>
      <xdr:row>11</xdr:row>
      <xdr:rowOff>171450</xdr:rowOff>
    </xdr:from>
    <xdr:to>
      <xdr:col>19</xdr:col>
      <xdr:colOff>190500</xdr:colOff>
      <xdr:row>31</xdr:row>
      <xdr:rowOff>9525</xdr:rowOff>
    </xdr:to>
    <xdr:pic>
      <xdr:nvPicPr>
        <xdr:cNvPr id="7" name="Imagen 1">
          <a:extLst>
            <a:ext uri="{FF2B5EF4-FFF2-40B4-BE49-F238E27FC236}">
              <a16:creationId xmlns:a16="http://schemas.microsoft.com/office/drawing/2014/main" id="{559F5F4B-A975-F64A-58E6-EB79A8FE35B0}"/>
            </a:ext>
          </a:extLst>
        </xdr:cNvPr>
        <xdr:cNvPicPr>
          <a:picLocks noChangeAspect="1"/>
        </xdr:cNvPicPr>
      </xdr:nvPicPr>
      <xdr:blipFill>
        <a:blip xmlns:r="http://schemas.openxmlformats.org/officeDocument/2006/relationships" r:embed="rId1"/>
        <a:stretch>
          <a:fillRect/>
        </a:stretch>
      </xdr:blipFill>
      <xdr:spPr>
        <a:xfrm>
          <a:off x="10582275" y="2266950"/>
          <a:ext cx="4572000" cy="2771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ohana Bolaños Ordoñez" id="{AAF3FDEC-9D65-46F4-B578-CA7E104364B3}" userId="S::johana.bolanos@techandsolve.com::c13f3f05-0a3c-40a1-8c4f-1ad12b722e0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027.690505324077" createdVersion="8" refreshedVersion="8" minRefreshableVersion="3" recordCount="202" xr:uid="{3A7FBC55-637B-4A02-8633-C6F791236DDF}">
  <cacheSource type="worksheet">
    <worksheetSource ref="A1:R160" sheet="Seguimiento Mes"/>
  </cacheSource>
  <cacheFields count="37">
    <cacheField name="Desarrollador" numFmtId="0">
      <sharedItems count="7">
        <s v="Eric De la Nuez"/>
        <s v="Luis Galindo"/>
        <s v="Luis Galindo Test"/>
        <s v="Marvin Cadavid"/>
        <s v="Felix Vegas"/>
        <s v="Kenny Munaque"/>
        <s v="Sebastian Miranda"/>
      </sharedItems>
    </cacheField>
    <cacheField name="Parent ID" numFmtId="0">
      <sharedItems/>
    </cacheField>
    <cacheField name="Observaciones" numFmtId="0">
      <sharedItems containsBlank="1" longText="1"/>
    </cacheField>
    <cacheField name="Summary" numFmtId="0">
      <sharedItems/>
    </cacheField>
    <cacheField name="Status" numFmtId="0">
      <sharedItems/>
    </cacheField>
    <cacheField name="Original Estimate" numFmtId="0">
      <sharedItems containsString="0" containsBlank="1" containsNumber="1" minValue="1" maxValue="157"/>
    </cacheField>
    <cacheField name="Fecha fin" numFmtId="14">
      <sharedItems containsNonDate="0" containsDate="1" containsString="0" containsBlank="1" minDate="2024-11-10T00:00:00" maxDate="2026-02-03T00:00:00"/>
    </cacheField>
    <cacheField name="Fecha entrega" numFmtId="14">
      <sharedItems containsNonDate="0" containsDate="1" containsString="0" containsBlank="1" minDate="2025-06-13T00:00:00" maxDate="2026-01-06T00:00:00"/>
    </cacheField>
    <cacheField name="Dias transcurridos" numFmtId="0">
      <sharedItems containsString="0" containsBlank="1" containsNumber="1" containsInteger="1" minValue="0" maxValue="46027"/>
    </cacheField>
    <cacheField name="Registrado meses previos" numFmtId="0">
      <sharedItems containsSemiMixedTypes="0" containsString="0" containsNumber="1" minValue="0" maxValue="119"/>
    </cacheField>
    <cacheField name="Registrado Nov 25" numFmtId="0">
      <sharedItems containsSemiMixedTypes="0" containsString="0" containsNumber="1" containsInteger="1" minValue="0" maxValue="72"/>
    </cacheField>
    <cacheField name="Registrado Dic 25" numFmtId="0">
      <sharedItems containsSemiMixedTypes="0" containsString="0" containsNumber="1" minValue="0" maxValue="56"/>
    </cacheField>
    <cacheField name="% desviación" numFmtId="9">
      <sharedItems containsMixedTypes="1" containsNumber="1" minValue="-1" maxValue="0.5"/>
    </cacheField>
    <cacheField name="In Review" numFmtId="0">
      <sharedItems containsString="0" containsBlank="1" containsNumber="1" containsInteger="1" minValue="0" maxValue="8"/>
    </cacheField>
    <cacheField name="Justificación" numFmtId="0">
      <sharedItems containsBlank="1" longText="1"/>
    </cacheField>
    <cacheField name="Tipo de Ticket" numFmtId="0">
      <sharedItems containsBlank="1"/>
    </cacheField>
    <cacheField name="1/12/2025" numFmtId="0">
      <sharedItems containsString="0" containsBlank="1" containsNumber="1" minValue="0.5" maxValue="8"/>
    </cacheField>
    <cacheField name="2/12/2025" numFmtId="0">
      <sharedItems containsString="0" containsBlank="1" containsNumber="1" minValue="0.5" maxValue="8"/>
    </cacheField>
    <cacheField name="3/12/2025" numFmtId="0">
      <sharedItems containsString="0" containsBlank="1" containsNumber="1" minValue="0.5" maxValue="8"/>
    </cacheField>
    <cacheField name="4/12/2025" numFmtId="0">
      <sharedItems containsString="0" containsBlank="1" containsNumber="1" minValue="0.5" maxValue="8"/>
    </cacheField>
    <cacheField name="5/12/2025" numFmtId="0">
      <sharedItems containsString="0" containsBlank="1" containsNumber="1" minValue="0.5" maxValue="8"/>
    </cacheField>
    <cacheField name="9/12/2025" numFmtId="0">
      <sharedItems containsString="0" containsBlank="1" containsNumber="1" minValue="0.5" maxValue="8"/>
    </cacheField>
    <cacheField name="10/12/2025" numFmtId="0">
      <sharedItems containsString="0" containsBlank="1" containsNumber="1" minValue="0.5" maxValue="8"/>
    </cacheField>
    <cacheField name="11/12/2025" numFmtId="0">
      <sharedItems containsString="0" containsBlank="1" containsNumber="1" minValue="0.5" maxValue="8"/>
    </cacheField>
    <cacheField name="12/12/2025" numFmtId="0">
      <sharedItems containsString="0" containsBlank="1" containsNumber="1" minValue="0.5" maxValue="8"/>
    </cacheField>
    <cacheField name="15/12/2025" numFmtId="0">
      <sharedItems containsString="0" containsBlank="1" containsNumber="1" minValue="0.5" maxValue="8"/>
    </cacheField>
    <cacheField name="16/12/2025" numFmtId="0">
      <sharedItems containsString="0" containsBlank="1" containsNumber="1" minValue="0.5" maxValue="8"/>
    </cacheField>
    <cacheField name="17/12/2025" numFmtId="0">
      <sharedItems containsString="0" containsBlank="1" containsNumber="1" minValue="0.5" maxValue="8"/>
    </cacheField>
    <cacheField name="18/12/2025" numFmtId="0">
      <sharedItems containsString="0" containsBlank="1" containsNumber="1" minValue="0.5" maxValue="8"/>
    </cacheField>
    <cacheField name="19/12/2025" numFmtId="0">
      <sharedItems containsString="0" containsBlank="1" containsNumber="1" minValue="0.5" maxValue="8"/>
    </cacheField>
    <cacheField name="22/12/2025" numFmtId="0">
      <sharedItems containsString="0" containsBlank="1" containsNumber="1" minValue="0.5" maxValue="8"/>
    </cacheField>
    <cacheField name="23/12/2025" numFmtId="0">
      <sharedItems containsString="0" containsBlank="1" containsNumber="1" minValue="0.5" maxValue="8"/>
    </cacheField>
    <cacheField name="24/12/2025" numFmtId="0">
      <sharedItems containsString="0" containsBlank="1" containsNumber="1" minValue="0.5" maxValue="8"/>
    </cacheField>
    <cacheField name="26/12/2025" numFmtId="0">
      <sharedItems containsString="0" containsBlank="1" containsNumber="1" minValue="0.5" maxValue="8"/>
    </cacheField>
    <cacheField name="29/12/2025" numFmtId="0">
      <sharedItems containsString="0" containsBlank="1" containsNumber="1" minValue="0.5" maxValue="8"/>
    </cacheField>
    <cacheField name="30/12/2025" numFmtId="0">
      <sharedItems containsString="0" containsBlank="1" containsNumber="1" minValue="0.5" maxValue="8"/>
    </cacheField>
    <cacheField name="31/12/2025" numFmtId="0">
      <sharedItems containsString="0" containsBlank="1" containsNumber="1" minValue="0.5" maxValue="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7.351438541664" createdVersion="8" refreshedVersion="8" minRefreshableVersion="3" recordCount="517" xr:uid="{4CDDA139-E5C8-4126-A09A-13CF22E3964F}">
  <cacheSource type="worksheet">
    <worksheetSource ref="A1:AJ518" sheet="Seguimiento Mes"/>
  </cacheSource>
  <cacheFields count="36">
    <cacheField name="Desarrollador" numFmtId="0">
      <sharedItems count="9">
        <s v="Eric De la Nuez"/>
        <s v="Luis Galindo"/>
        <s v="Luis Galindo Test"/>
        <s v="Sebastian Miranda"/>
        <s v="Daniel Llano"/>
        <s v="Gabriel Herrera"/>
        <s v="Felix Vegas"/>
        <s v="Kenny Munaque"/>
        <s v="Marvin Cadavid"/>
      </sharedItems>
    </cacheField>
    <cacheField name="Parent ID" numFmtId="0">
      <sharedItems/>
    </cacheField>
    <cacheField name="Summary" numFmtId="0">
      <sharedItems/>
    </cacheField>
    <cacheField name="Status" numFmtId="0">
      <sharedItems/>
    </cacheField>
    <cacheField name="Fecha fin" numFmtId="14">
      <sharedItems containsDate="1" containsBlank="1" containsMixedTypes="1" minDate="2024-11-10T00:00:00" maxDate="2026-09-05T00:00:00"/>
    </cacheField>
    <cacheField name="Fecha entrega" numFmtId="0">
      <sharedItems containsNonDate="0" containsDate="1" containsString="0" containsBlank="1" minDate="2025-06-13T00:00:00" maxDate="2026-09-01T00:00:00"/>
    </cacheField>
    <cacheField name="Original Estimate" numFmtId="0">
      <sharedItems containsBlank="1" containsMixedTypes="1" containsNumber="1" minValue="0" maxValue="272"/>
    </cacheField>
    <cacheField name="Registrado meses previos" numFmtId="0">
      <sharedItems containsSemiMixedTypes="0" containsString="0" containsNumber="1" minValue="0" maxValue="204"/>
    </cacheField>
    <cacheField name="Registrado Agosto26" numFmtId="43">
      <sharedItems containsSemiMixedTypes="0" containsString="0" containsNumber="1" minValue="0" maxValue="56"/>
    </cacheField>
    <cacheField name="Desviación 30%" numFmtId="9">
      <sharedItems containsMixedTypes="1" containsNumber="1" minValue="-1" maxValue="22"/>
    </cacheField>
    <cacheField name="Devoluciones" numFmtId="0">
      <sharedItems containsString="0" containsBlank="1" containsNumber="1" containsInteger="1" minValue="0" maxValue="8"/>
    </cacheField>
    <cacheField name="Tipo de Ticket" numFmtId="9">
      <sharedItems/>
    </cacheField>
    <cacheField name="Observaciones Desvío" numFmtId="0">
      <sharedItems containsBlank="1" longText="1"/>
    </cacheField>
    <cacheField name="03/08/2026" numFmtId="0">
      <sharedItems containsString="0" containsBlank="1" containsNumber="1" minValue="0.5" maxValue="8"/>
    </cacheField>
    <cacheField name="04/08/2026" numFmtId="0">
      <sharedItems containsString="0" containsBlank="1" containsNumber="1" minValue="0.5" maxValue="8"/>
    </cacheField>
    <cacheField name="05/08/2026" numFmtId="0">
      <sharedItems containsString="0" containsBlank="1" containsNumber="1" minValue="0.5" maxValue="8"/>
    </cacheField>
    <cacheField name="06/08/2026" numFmtId="0">
      <sharedItems containsString="0" containsBlank="1" containsNumber="1" minValue="0.5" maxValue="8"/>
    </cacheField>
    <cacheField name="07/08/2026" numFmtId="0">
      <sharedItems containsString="0" containsBlank="1" containsNumber="1" minValue="0.5" maxValue="8"/>
    </cacheField>
    <cacheField name="10/08/2026" numFmtId="0">
      <sharedItems containsString="0" containsBlank="1" containsNumber="1" minValue="0.5" maxValue="8"/>
    </cacheField>
    <cacheField name="11/08/2026" numFmtId="0">
      <sharedItems containsString="0" containsBlank="1" containsNumber="1" minValue="0.5" maxValue="8"/>
    </cacheField>
    <cacheField name="12/08/2026" numFmtId="0">
      <sharedItems containsString="0" containsBlank="1" containsNumber="1" minValue="0.5" maxValue="8"/>
    </cacheField>
    <cacheField name="13/08/2026" numFmtId="0">
      <sharedItems containsString="0" containsBlank="1" containsNumber="1" minValue="0.5" maxValue="8"/>
    </cacheField>
    <cacheField name="14/08/2026" numFmtId="0">
      <sharedItems containsString="0" containsBlank="1" containsNumber="1" minValue="0.5" maxValue="8"/>
    </cacheField>
    <cacheField name="17/08/2026" numFmtId="0">
      <sharedItems containsString="0" containsBlank="1" containsNumber="1" containsInteger="1" minValue="8" maxValue="8"/>
    </cacheField>
    <cacheField name="18/08/2026" numFmtId="0">
      <sharedItems containsString="0" containsBlank="1" containsNumber="1" minValue="0.5" maxValue="8"/>
    </cacheField>
    <cacheField name="19/08/2026" numFmtId="0">
      <sharedItems containsString="0" containsBlank="1" containsNumber="1" minValue="0.5" maxValue="8"/>
    </cacheField>
    <cacheField name="20/08/2026" numFmtId="0">
      <sharedItems containsString="0" containsBlank="1" containsNumber="1" minValue="0.5" maxValue="8"/>
    </cacheField>
    <cacheField name="21/08/2026" numFmtId="0">
      <sharedItems containsString="0" containsBlank="1" containsNumber="1" minValue="0.5" maxValue="8"/>
    </cacheField>
    <cacheField name="24/08/2026" numFmtId="0">
      <sharedItems containsString="0" containsBlank="1" containsNumber="1" minValue="0.5" maxValue="8"/>
    </cacheField>
    <cacheField name="25/08/2026" numFmtId="0">
      <sharedItems containsString="0" containsBlank="1" containsNumber="1" minValue="0.5" maxValue="8"/>
    </cacheField>
    <cacheField name="26/08/2026" numFmtId="0">
      <sharedItems containsString="0" containsBlank="1" containsNumber="1" minValue="0.5" maxValue="8"/>
    </cacheField>
    <cacheField name="27/08/2026" numFmtId="0">
      <sharedItems containsString="0" containsBlank="1" containsNumber="1" minValue="0.5" maxValue="8"/>
    </cacheField>
    <cacheField name="28/08/2026" numFmtId="0">
      <sharedItems containsString="0" containsBlank="1" containsNumber="1" minValue="0.5" maxValue="8"/>
    </cacheField>
    <cacheField name="29/08/2026" numFmtId="0">
      <sharedItems containsNonDate="0" containsString="0" containsBlank="1"/>
    </cacheField>
    <cacheField name="30/08/2026" numFmtId="0">
      <sharedItems containsNonDate="0" containsString="0" containsBlank="1"/>
    </cacheField>
    <cacheField name="31/08/2026" numFmtId="0">
      <sharedItems containsString="0" containsBlank="1" containsNumber="1" minValue="0.5" maxValue="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
  <r>
    <x v="0"/>
    <s v="API-1031"/>
    <m/>
    <s v="Marketplace - Add Notification"/>
    <s v="Finalizada"/>
    <n v="22"/>
    <d v="2025-07-10T00:00:00"/>
    <d v="2025-09-03T00:00:00"/>
    <m/>
    <n v="6"/>
    <n v="0"/>
    <n v="0"/>
    <n v="-0.72727272727272729"/>
    <n v="3"/>
    <m/>
    <s v="Normal"/>
    <m/>
    <m/>
    <m/>
    <m/>
    <m/>
    <m/>
    <m/>
    <m/>
    <m/>
    <m/>
    <m/>
    <m/>
    <m/>
    <m/>
    <m/>
    <m/>
    <m/>
    <m/>
    <m/>
    <m/>
    <m/>
  </r>
  <r>
    <x v="0"/>
    <s v="API-1179"/>
    <m/>
    <s v="Investigate - [Global] Blocked seat map assigment"/>
    <s v="Finalizada"/>
    <n v="33"/>
    <d v="2025-06-27T00:00:00"/>
    <d v="2025-07-09T00:00:00"/>
    <m/>
    <n v="8"/>
    <n v="0"/>
    <n v="0"/>
    <n v="-0.75757575757575757"/>
    <n v="2"/>
    <m/>
    <s v="Normal"/>
    <m/>
    <m/>
    <m/>
    <m/>
    <m/>
    <m/>
    <m/>
    <m/>
    <m/>
    <m/>
    <m/>
    <m/>
    <m/>
    <m/>
    <m/>
    <m/>
    <m/>
    <m/>
    <m/>
    <m/>
    <m/>
  </r>
  <r>
    <x v="0"/>
    <s v="API-1207"/>
    <m/>
    <s v="[Transfer] - Add new variables to transfer emails and change some formats"/>
    <s v="Finalizada"/>
    <n v="12"/>
    <d v="2025-07-16T00:00:00"/>
    <d v="2025-07-22T00:00:00"/>
    <m/>
    <n v="1"/>
    <n v="0"/>
    <n v="0"/>
    <n v="-0.91666666666666663"/>
    <n v="3"/>
    <m/>
    <s v="Normal"/>
    <m/>
    <m/>
    <m/>
    <m/>
    <m/>
    <m/>
    <m/>
    <m/>
    <m/>
    <m/>
    <m/>
    <m/>
    <m/>
    <m/>
    <m/>
    <m/>
    <m/>
    <m/>
    <m/>
    <m/>
    <m/>
  </r>
  <r>
    <x v="0"/>
    <s v="API-1211"/>
    <m/>
    <s v="[TotalRefund] - Extend rgBundlePricesSimple with refundableFare structure"/>
    <s v="Finalizada"/>
    <n v="8"/>
    <d v="2025-07-31T00:00:00"/>
    <d v="2025-08-05T00:00:00"/>
    <m/>
    <n v="2"/>
    <n v="0"/>
    <n v="0"/>
    <n v="-0.75"/>
    <n v="2"/>
    <m/>
    <s v="Normal"/>
    <m/>
    <m/>
    <m/>
    <m/>
    <m/>
    <m/>
    <m/>
    <m/>
    <m/>
    <m/>
    <m/>
    <m/>
    <m/>
    <m/>
    <m/>
    <m/>
    <m/>
    <m/>
    <m/>
    <m/>
    <m/>
  </r>
  <r>
    <x v="0"/>
    <s v="API-1216"/>
    <m/>
    <s v="[Aerus] Error in full due to a Seatmap error"/>
    <s v="Finalizada"/>
    <n v="16"/>
    <d v="2025-07-25T00:00:00"/>
    <d v="2025-07-30T00:00:00"/>
    <m/>
    <n v="4"/>
    <n v="0"/>
    <n v="0"/>
    <n v="-0.75"/>
    <n v="2"/>
    <m/>
    <s v="Normal"/>
    <m/>
    <m/>
    <m/>
    <m/>
    <m/>
    <m/>
    <m/>
    <m/>
    <m/>
    <m/>
    <m/>
    <m/>
    <m/>
    <m/>
    <m/>
    <m/>
    <m/>
    <m/>
    <m/>
    <m/>
    <m/>
  </r>
  <r>
    <x v="0"/>
    <s v="API-1225"/>
    <m/>
    <s v="Investigate - Boarding pass System error"/>
    <s v="Cerrada"/>
    <n v="16"/>
    <d v="2025-07-23T00:00:00"/>
    <d v="2025-08-20T00:00:00"/>
    <m/>
    <n v="3"/>
    <n v="0"/>
    <n v="0"/>
    <n v="-0.8125"/>
    <n v="1"/>
    <m/>
    <s v="Normal"/>
    <m/>
    <m/>
    <m/>
    <m/>
    <m/>
    <m/>
    <m/>
    <m/>
    <m/>
    <m/>
    <m/>
    <m/>
    <m/>
    <m/>
    <m/>
    <m/>
    <m/>
    <m/>
    <m/>
    <m/>
    <m/>
  </r>
  <r>
    <x v="0"/>
    <s v="API-1231"/>
    <m/>
    <s v="[TotalRefund] - Extend rgSSRPrices request with bundle sessionId"/>
    <s v="Finalizada"/>
    <n v="4"/>
    <d v="2025-08-06T00:00:00"/>
    <d v="2025-08-08T00:00:00"/>
    <m/>
    <n v="5"/>
    <n v="0"/>
    <n v="0"/>
    <n v="0.25"/>
    <n v="1"/>
    <m/>
    <s v="Normal"/>
    <m/>
    <m/>
    <m/>
    <m/>
    <m/>
    <m/>
    <m/>
    <m/>
    <m/>
    <m/>
    <m/>
    <m/>
    <m/>
    <m/>
    <m/>
    <m/>
    <m/>
    <m/>
    <m/>
    <m/>
    <m/>
  </r>
  <r>
    <x v="0"/>
    <s v="API-1238"/>
    <m/>
    <s v="Change the error code when Customer Number doesn't match in Companions"/>
    <s v="Finalizada"/>
    <n v="2"/>
    <d v="2025-08-14T00:00:00"/>
    <d v="2025-08-20T00:00:00"/>
    <m/>
    <n v="2"/>
    <n v="0"/>
    <n v="0"/>
    <n v="0"/>
    <n v="1"/>
    <m/>
    <s v="Normal"/>
    <m/>
    <m/>
    <m/>
    <m/>
    <m/>
    <m/>
    <m/>
    <m/>
    <m/>
    <m/>
    <m/>
    <m/>
    <m/>
    <m/>
    <m/>
    <m/>
    <m/>
    <m/>
    <m/>
    <m/>
    <m/>
  </r>
  <r>
    <x v="0"/>
    <s v="API-1258"/>
    <m/>
    <s v="[P2P] - Do not return transfer object in booking output for P2P comment"/>
    <s v="Finalizada"/>
    <n v="8"/>
    <d v="2025-08-06T00:00:00"/>
    <d v="2025-08-13T00:00:00"/>
    <m/>
    <n v="10"/>
    <n v="0"/>
    <n v="0"/>
    <n v="0.25"/>
    <n v="2"/>
    <m/>
    <s v="Normal"/>
    <m/>
    <m/>
    <m/>
    <m/>
    <m/>
    <m/>
    <m/>
    <m/>
    <m/>
    <m/>
    <m/>
    <m/>
    <m/>
    <m/>
    <m/>
    <m/>
    <m/>
    <m/>
    <m/>
    <m/>
    <m/>
  </r>
  <r>
    <x v="0"/>
    <s v="API-1262"/>
    <s v="23/10 El fallo ocurre cuando todos los vuelos de conexión están agotados. - 22/10 - Eric -The Pull Request was merged and deployed."/>
    <s v="Search Results Change"/>
    <s v="Finalizada"/>
    <n v="20"/>
    <d v="2025-08-14T00:00:00"/>
    <d v="2025-08-22T00:00:00"/>
    <m/>
    <n v="28"/>
    <n v="0"/>
    <n v="0"/>
    <n v="0.4"/>
    <n v="6"/>
    <m/>
    <s v="Desviado"/>
    <m/>
    <m/>
    <m/>
    <m/>
    <m/>
    <m/>
    <m/>
    <m/>
    <m/>
    <m/>
    <m/>
    <m/>
    <m/>
    <m/>
    <m/>
    <m/>
    <m/>
    <m/>
    <m/>
    <m/>
    <m/>
  </r>
  <r>
    <x v="0"/>
    <s v="API-1270"/>
    <m/>
    <s v="Extend lowfare search output with fareWithTua"/>
    <s v="Finalizada"/>
    <n v="16"/>
    <d v="2025-08-11T00:00:00"/>
    <d v="2025-08-19T00:00:00"/>
    <m/>
    <n v="23"/>
    <n v="0"/>
    <n v="0"/>
    <n v="0.4375"/>
    <n v="4"/>
    <m/>
    <s v="Desviado"/>
    <m/>
    <m/>
    <m/>
    <m/>
    <m/>
    <m/>
    <m/>
    <m/>
    <m/>
    <m/>
    <m/>
    <m/>
    <m/>
    <m/>
    <m/>
    <m/>
    <m/>
    <m/>
    <m/>
    <m/>
    <m/>
  </r>
  <r>
    <x v="0"/>
    <s v="API-1271"/>
    <m/>
    <s v="[Booking search]  - Check-in time in booking/full"/>
    <s v="Cerrada"/>
    <n v="34"/>
    <d v="2025-08-19T00:00:00"/>
    <d v="2025-08-29T00:00:00"/>
    <m/>
    <n v="19"/>
    <n v="0"/>
    <n v="0"/>
    <n v="-0.44117647058823528"/>
    <n v="0"/>
    <m/>
    <s v="Normal"/>
    <m/>
    <m/>
    <m/>
    <m/>
    <m/>
    <m/>
    <m/>
    <m/>
    <m/>
    <m/>
    <m/>
    <m/>
    <m/>
    <m/>
    <m/>
    <m/>
    <m/>
    <m/>
    <m/>
    <m/>
    <m/>
  </r>
  <r>
    <x v="0"/>
    <s v="API-843"/>
    <m/>
    <s v="Investigation - [Payments] Vouchers - Map the error details data"/>
    <s v="Finalizada"/>
    <n v="38"/>
    <d v="2025-05-21T00:00:00"/>
    <d v="2025-06-17T00:00:00"/>
    <m/>
    <n v="9"/>
    <n v="0"/>
    <n v="0"/>
    <n v="-0.76315789473684215"/>
    <n v="2"/>
    <m/>
    <s v="Normal"/>
    <m/>
    <m/>
    <m/>
    <m/>
    <m/>
    <m/>
    <m/>
    <m/>
    <m/>
    <m/>
    <m/>
    <m/>
    <m/>
    <m/>
    <m/>
    <m/>
    <m/>
    <m/>
    <m/>
    <m/>
    <m/>
  </r>
  <r>
    <x v="0"/>
    <s v="API-1253"/>
    <m/>
    <s v="[Boarding Passes]  Add connectsInStation"/>
    <s v="Finalizada"/>
    <n v="16"/>
    <d v="2025-09-08T00:00:00"/>
    <d v="2025-09-08T00:00:00"/>
    <m/>
    <n v="20"/>
    <n v="0"/>
    <n v="0"/>
    <n v="0.25"/>
    <n v="3"/>
    <m/>
    <s v="Normal"/>
    <m/>
    <m/>
    <m/>
    <m/>
    <m/>
    <m/>
    <m/>
    <m/>
    <m/>
    <m/>
    <m/>
    <m/>
    <m/>
    <m/>
    <m/>
    <m/>
    <m/>
    <m/>
    <m/>
    <m/>
    <m/>
  </r>
  <r>
    <x v="0"/>
    <s v="API-1292"/>
    <s v="2710 - Alex lo finaliza - 23/10 Pior dice que está aprobado - 22/10 - Eric consulta sobre zona horaria - Victor responde ciudad de méxico"/>
    <s v="Create /availability/presales"/>
    <s v="Finalizada"/>
    <n v="28"/>
    <d v="2025-09-18T00:00:00"/>
    <d v="2025-09-18T00:00:00"/>
    <m/>
    <n v="36"/>
    <n v="0"/>
    <n v="0"/>
    <n v="0.2857142857142857"/>
    <n v="3"/>
    <m/>
    <s v="Normal"/>
    <m/>
    <m/>
    <m/>
    <m/>
    <m/>
    <m/>
    <m/>
    <m/>
    <m/>
    <m/>
    <m/>
    <m/>
    <m/>
    <m/>
    <m/>
    <m/>
    <m/>
    <m/>
    <m/>
    <m/>
    <m/>
  </r>
  <r>
    <x v="0"/>
    <s v="API-1297"/>
    <m/>
    <s v="rgBundlePriceSimple is sending Zero days in lengthOfStayInDays"/>
    <s v="Finalizada"/>
    <n v="8"/>
    <d v="2025-09-17T00:00:00"/>
    <d v="2025-09-17T00:00:00"/>
    <m/>
    <n v="10"/>
    <n v="0"/>
    <n v="0"/>
    <n v="0.25"/>
    <n v="3"/>
    <m/>
    <s v="Normal"/>
    <m/>
    <m/>
    <m/>
    <m/>
    <m/>
    <m/>
    <m/>
    <m/>
    <m/>
    <m/>
    <m/>
    <m/>
    <m/>
    <m/>
    <m/>
    <m/>
    <m/>
    <m/>
    <m/>
    <m/>
    <m/>
  </r>
  <r>
    <x v="0"/>
    <s v="API-1299"/>
    <m/>
    <s v="[UK Tax] Mantain use of fees in booking and check-in flow"/>
    <s v="Finalizada"/>
    <n v="24"/>
    <d v="2025-09-09T00:00:00"/>
    <d v="2025-09-09T00:00:00"/>
    <m/>
    <n v="27"/>
    <n v="0"/>
    <n v="0"/>
    <n v="0.125"/>
    <n v="7"/>
    <m/>
    <s v="Normal"/>
    <m/>
    <m/>
    <m/>
    <m/>
    <m/>
    <m/>
    <m/>
    <m/>
    <m/>
    <m/>
    <m/>
    <m/>
    <m/>
    <m/>
    <m/>
    <m/>
    <m/>
    <m/>
    <m/>
    <m/>
    <m/>
  </r>
  <r>
    <x v="0"/>
    <s v="API-1300"/>
    <m/>
    <s v="Discount the rgBundlePriceSimple to the AirfareDifference and show in bundleDifference"/>
    <s v="Finalizada"/>
    <n v="20"/>
    <d v="2025-09-17T00:00:00"/>
    <d v="2025-09-17T00:00:00"/>
    <m/>
    <n v="26"/>
    <n v="0"/>
    <n v="0"/>
    <n v="0.3"/>
    <n v="3"/>
    <m/>
    <s v="Normal"/>
    <m/>
    <m/>
    <m/>
    <m/>
    <m/>
    <m/>
    <m/>
    <m/>
    <m/>
    <m/>
    <m/>
    <m/>
    <m/>
    <m/>
    <m/>
    <m/>
    <m/>
    <m/>
    <m/>
    <m/>
    <m/>
  </r>
  <r>
    <x v="0"/>
    <s v="API-1309"/>
    <m/>
    <s v="[Total Refund] - Extend reimbursement options rules for Excluded FEE Codes"/>
    <s v="Finalizada"/>
    <n v="10"/>
    <d v="2025-09-23T00:00:00"/>
    <d v="2025-09-23T00:00:00"/>
    <m/>
    <n v="13"/>
    <n v="0"/>
    <n v="0"/>
    <n v="0.3"/>
    <n v="2"/>
    <m/>
    <s v="Normal"/>
    <m/>
    <m/>
    <m/>
    <m/>
    <m/>
    <m/>
    <m/>
    <m/>
    <m/>
    <m/>
    <m/>
    <m/>
    <m/>
    <m/>
    <m/>
    <m/>
    <m/>
    <m/>
    <m/>
    <m/>
    <m/>
  </r>
  <r>
    <x v="0"/>
    <s v="API-1322"/>
    <m/>
    <s v="[Total Refund] - Send new parameter in rgBundlePrices"/>
    <s v="Finalizada"/>
    <n v="11"/>
    <d v="2025-09-25T00:00:00"/>
    <d v="2025-09-25T00:00:00"/>
    <m/>
    <n v="14"/>
    <n v="0"/>
    <n v="0"/>
    <n v="0.27272727272727271"/>
    <n v="4"/>
    <m/>
    <s v="Normal"/>
    <m/>
    <m/>
    <m/>
    <m/>
    <m/>
    <m/>
    <m/>
    <m/>
    <m/>
    <m/>
    <m/>
    <m/>
    <m/>
    <m/>
    <m/>
    <m/>
    <m/>
    <m/>
    <m/>
    <m/>
    <m/>
  </r>
  <r>
    <x v="0"/>
    <s v="API-1294"/>
    <s v="30/09 no hay comentarios desde la entrega"/>
    <s v="Add VD product class to search request / low fare request"/>
    <s v="En revisión"/>
    <n v="24"/>
    <d v="2025-09-29T00:00:00"/>
    <d v="2025-09-29T00:00:00"/>
    <n v="98"/>
    <n v="31"/>
    <n v="0"/>
    <n v="0"/>
    <n v="0.29166666666666669"/>
    <n v="1"/>
    <m/>
    <s v="Normal"/>
    <m/>
    <m/>
    <m/>
    <m/>
    <m/>
    <m/>
    <m/>
    <m/>
    <m/>
    <m/>
    <m/>
    <m/>
    <m/>
    <m/>
    <m/>
    <m/>
    <m/>
    <m/>
    <m/>
    <m/>
    <m/>
  </r>
  <r>
    <x v="0"/>
    <s v="API-1158"/>
    <s v="24/10 Se bloquea por consultas  -15/10/2025 - Arturo deja otros ejemplos para pruebas - Se pasa "/>
    <s v="[Booking Search] Extend service to support different digit search"/>
    <s v="Finalizada"/>
    <n v="16"/>
    <d v="2025-10-09T00:00:00"/>
    <d v="2025-10-09T00:00:00"/>
    <m/>
    <n v="20"/>
    <n v="0"/>
    <n v="0"/>
    <n v="0.25"/>
    <n v="3"/>
    <m/>
    <s v="Normal"/>
    <m/>
    <m/>
    <m/>
    <m/>
    <m/>
    <m/>
    <m/>
    <m/>
    <m/>
    <m/>
    <m/>
    <m/>
    <m/>
    <m/>
    <m/>
    <m/>
    <m/>
    <m/>
    <m/>
    <m/>
    <m/>
  </r>
  <r>
    <x v="0"/>
    <s v="API-1295"/>
    <s v="0710_ Actualizado por Eric - 23/10 se  asigna a Piotr - 07/10 no hay comentarios hasta la fecha"/>
    <s v="Add presale flag to the booking journey"/>
    <s v="En revisión"/>
    <n v="4"/>
    <d v="2025-10-06T00:00:00"/>
    <d v="2025-10-07T00:00:00"/>
    <n v="90"/>
    <n v="5"/>
    <n v="0"/>
    <n v="0"/>
    <n v="0.25"/>
    <n v="1"/>
    <m/>
    <s v="Normal"/>
    <m/>
    <m/>
    <m/>
    <m/>
    <m/>
    <m/>
    <m/>
    <m/>
    <m/>
    <m/>
    <m/>
    <m/>
    <m/>
    <m/>
    <m/>
    <m/>
    <m/>
    <m/>
    <m/>
    <m/>
    <m/>
  </r>
  <r>
    <x v="0"/>
    <s v="API-1335"/>
    <s v="2410/ Edgar lo finaliza -21/10- Belem lo asigna a Edga - 10/10 Eric La solicitud de extracción se fusionó y se implementó."/>
    <s v="[UK Tax] Consider connecting flights "/>
    <s v="Finalizada"/>
    <n v="24"/>
    <d v="2025-10-14T00:00:00"/>
    <d v="2025-10-06T00:00:00"/>
    <m/>
    <n v="28"/>
    <n v="0"/>
    <n v="0"/>
    <n v="0.16666666666666666"/>
    <n v="1"/>
    <m/>
    <s v="Normal"/>
    <m/>
    <m/>
    <m/>
    <m/>
    <m/>
    <m/>
    <m/>
    <m/>
    <m/>
    <m/>
    <m/>
    <m/>
    <m/>
    <m/>
    <m/>
    <m/>
    <m/>
    <m/>
    <m/>
    <m/>
    <m/>
  </r>
  <r>
    <x v="0"/>
    <s v="API-1339"/>
    <s v="r - 13/10 Victor: Parece que todo funciona correctamente."/>
    <s v="LongStayInDAys to revGAuge is not comparing dates correctly"/>
    <s v="Finalizada"/>
    <n v="16"/>
    <d v="2025-10-06T00:00:00"/>
    <d v="2025-10-03T00:00:00"/>
    <m/>
    <n v="20"/>
    <n v="0"/>
    <n v="0"/>
    <n v="0.25"/>
    <n v="2"/>
    <m/>
    <s v="Normal"/>
    <m/>
    <m/>
    <m/>
    <m/>
    <m/>
    <m/>
    <m/>
    <m/>
    <m/>
    <m/>
    <m/>
    <m/>
    <m/>
    <m/>
    <m/>
    <m/>
    <m/>
    <m/>
    <m/>
    <m/>
    <m/>
  </r>
  <r>
    <x v="0"/>
    <s v="API-1275"/>
    <s v="0511/ Hector reconoce que tuvo un error y que el flujo es correcto - 2710/ Ticket devuelto  - 16/19 ERic responde a una pregunta de Héctor"/>
    <s v="[CardInformation] Get card information"/>
    <s v="Finalizada"/>
    <n v="8"/>
    <d v="2025-10-29T00:00:00"/>
    <d v="2025-10-30T00:00:00"/>
    <n v="67"/>
    <n v="10"/>
    <n v="0"/>
    <n v="0"/>
    <n v="0.25"/>
    <n v="5"/>
    <m/>
    <s v="Normal"/>
    <m/>
    <m/>
    <m/>
    <m/>
    <m/>
    <m/>
    <m/>
    <m/>
    <m/>
    <m/>
    <m/>
    <m/>
    <m/>
    <m/>
    <m/>
    <m/>
    <m/>
    <m/>
    <m/>
    <m/>
    <m/>
  </r>
  <r>
    <x v="0"/>
    <s v="API-872"/>
    <s v="0511/ Arturo probó y resultados correctos /2210/ Eric test report"/>
    <s v="[Doters] Wipeout"/>
    <s v="Finalizada"/>
    <n v="28"/>
    <d v="2025-10-30T00:00:00"/>
    <d v="2025-10-22T00:00:00"/>
    <m/>
    <n v="35"/>
    <n v="0"/>
    <n v="0"/>
    <n v="0.25"/>
    <n v="2"/>
    <m/>
    <s v="Normal"/>
    <m/>
    <m/>
    <m/>
    <m/>
    <m/>
    <m/>
    <m/>
    <m/>
    <m/>
    <m/>
    <m/>
    <m/>
    <m/>
    <m/>
    <m/>
    <m/>
    <m/>
    <m/>
    <m/>
    <m/>
    <m/>
  </r>
  <r>
    <x v="0"/>
    <s v="API-1355"/>
    <s v="2410_Eric responde -13/10 Pitor le deja mensaje a Arturo"/>
    <s v="[Presales] Add an additional field on new endpoint /availability/presales"/>
    <s v="En revisión "/>
    <n v="20"/>
    <d v="2025-10-27T00:00:00"/>
    <d v="2025-10-24T00:00:00"/>
    <n v="73"/>
    <n v="26"/>
    <n v="0"/>
    <n v="0"/>
    <n v="0.3"/>
    <n v="1"/>
    <m/>
    <s v="Normal"/>
    <m/>
    <m/>
    <m/>
    <m/>
    <m/>
    <m/>
    <m/>
    <m/>
    <m/>
    <m/>
    <m/>
    <m/>
    <m/>
    <m/>
    <m/>
    <m/>
    <m/>
    <m/>
    <m/>
    <m/>
    <m/>
  </r>
  <r>
    <x v="0"/>
    <s v="API-1333"/>
    <s v="04/11 - SEeregresa a Eric y se bloquea por falta de definición se eleva consultas a Belem"/>
    <s v="[Kiosk] Add verified documents"/>
    <s v="Finalizada"/>
    <n v="24"/>
    <d v="2025-10-30T00:00:00"/>
    <d v="2025-10-31T00:00:00"/>
    <n v="66"/>
    <n v="31"/>
    <n v="0"/>
    <n v="0"/>
    <n v="0.29166666666666669"/>
    <n v="5"/>
    <m/>
    <s v="Normal"/>
    <m/>
    <m/>
    <m/>
    <m/>
    <m/>
    <m/>
    <m/>
    <m/>
    <m/>
    <m/>
    <m/>
    <m/>
    <m/>
    <m/>
    <m/>
    <m/>
    <m/>
    <m/>
    <m/>
    <m/>
    <m/>
  </r>
  <r>
    <x v="0"/>
    <s v="API-1302"/>
    <s v="0611/ Se bloquea por desconocimiento de pruebas, se le pide a Adrián colaboración."/>
    <s v="[HotelsPlus] - Return hotelsplus availability label in lowfares respose"/>
    <s v="Finalizada"/>
    <n v="24"/>
    <d v="2025-11-06T00:00:00"/>
    <d v="2025-11-07T00:00:00"/>
    <n v="59"/>
    <n v="12"/>
    <n v="19"/>
    <n v="0"/>
    <n v="0.29166666666666669"/>
    <n v="5"/>
    <m/>
    <s v="Normal"/>
    <m/>
    <m/>
    <m/>
    <m/>
    <m/>
    <m/>
    <m/>
    <m/>
    <m/>
    <m/>
    <m/>
    <m/>
    <m/>
    <m/>
    <m/>
    <m/>
    <m/>
    <m/>
    <m/>
    <m/>
    <m/>
  </r>
  <r>
    <x v="0"/>
    <s v="API-1405"/>
    <m/>
    <s v="Add a new role for Agency users"/>
    <s v="Finalizada"/>
    <n v="5"/>
    <d v="2025-11-13T00:00:00"/>
    <d v="2025-11-13T00:00:00"/>
    <n v="53"/>
    <n v="0"/>
    <n v="6"/>
    <n v="0"/>
    <n v="0.2"/>
    <n v="1"/>
    <m/>
    <s v="Normal"/>
    <m/>
    <m/>
    <m/>
    <m/>
    <m/>
    <m/>
    <m/>
    <m/>
    <m/>
    <m/>
    <m/>
    <m/>
    <m/>
    <m/>
    <m/>
    <m/>
    <m/>
    <m/>
    <m/>
    <m/>
    <m/>
  </r>
  <r>
    <x v="0"/>
    <s v="API-1260"/>
    <s v="Se pausa el 1311 por solicitud de Belem para priorizar el 1404"/>
    <s v="[Uber]Passenger Count Limit"/>
    <s v="Tareas por hacer"/>
    <n v="12"/>
    <d v="2025-11-14T00:00:00"/>
    <m/>
    <m/>
    <n v="0"/>
    <n v="10"/>
    <n v="0"/>
    <n v="-0.16666666666666666"/>
    <m/>
    <m/>
    <s v="Normal"/>
    <m/>
    <m/>
    <m/>
    <m/>
    <m/>
    <m/>
    <m/>
    <m/>
    <m/>
    <m/>
    <m/>
    <m/>
    <m/>
    <m/>
    <m/>
    <m/>
    <m/>
    <m/>
    <m/>
    <m/>
    <m/>
  </r>
  <r>
    <x v="0"/>
    <s v="API-1393"/>
    <m/>
    <s v="[UK Tax] incorrect charge on round trip"/>
    <s v="Finalizada"/>
    <n v="13"/>
    <d v="2025-11-10T00:00:00"/>
    <d v="2025-11-07T00:00:00"/>
    <n v="59"/>
    <n v="0"/>
    <n v="16"/>
    <n v="0"/>
    <n v="0.23076923076923078"/>
    <n v="2"/>
    <m/>
    <s v="Normal"/>
    <m/>
    <m/>
    <m/>
    <m/>
    <m/>
    <m/>
    <m/>
    <m/>
    <m/>
    <m/>
    <m/>
    <m/>
    <m/>
    <m/>
    <m/>
    <m/>
    <m/>
    <m/>
    <m/>
    <m/>
    <m/>
  </r>
  <r>
    <x v="0"/>
    <s v="API-1358"/>
    <s v="1211/ Piotr y Macin lo pasan a discusíon"/>
    <s v="Log traces with status 400 as OK on graph/tokenupgrade"/>
    <s v="En discusión"/>
    <m/>
    <m/>
    <m/>
    <m/>
    <n v="0"/>
    <n v="8"/>
    <n v="0"/>
    <s v=""/>
    <n v="0"/>
    <m/>
    <s v="Normal"/>
    <m/>
    <m/>
    <m/>
    <m/>
    <m/>
    <m/>
    <m/>
    <m/>
    <m/>
    <m/>
    <m/>
    <m/>
    <m/>
    <m/>
    <m/>
    <m/>
    <m/>
    <m/>
    <m/>
    <m/>
    <m/>
  </r>
  <r>
    <x v="0"/>
    <s v="API-1404"/>
    <m/>
    <s v="Boarding Time - TJX"/>
    <s v="Finalizada"/>
    <n v="24"/>
    <d v="2025-11-19T00:00:00"/>
    <d v="2025-11-19T00:00:00"/>
    <m/>
    <n v="0"/>
    <n v="31"/>
    <n v="0"/>
    <n v="0.29166666666666669"/>
    <n v="2"/>
    <m/>
    <s v="Normal"/>
    <m/>
    <m/>
    <m/>
    <m/>
    <m/>
    <m/>
    <m/>
    <m/>
    <m/>
    <m/>
    <m/>
    <m/>
    <m/>
    <m/>
    <m/>
    <m/>
    <m/>
    <m/>
    <m/>
    <m/>
    <m/>
  </r>
  <r>
    <x v="0"/>
    <s v="API-1248"/>
    <m/>
    <s v="Investigation - [Account] Error when we are doing a Restore Token with Navitaire (TokenUpgrade)"/>
    <s v="En revisión "/>
    <n v="12"/>
    <d v="2025-11-24T00:00:00"/>
    <d v="2025-11-25T00:00:00"/>
    <m/>
    <n v="0"/>
    <n v="14"/>
    <n v="0"/>
    <n v="0.16666666666666666"/>
    <n v="1"/>
    <m/>
    <s v="Normal"/>
    <m/>
    <m/>
    <m/>
    <m/>
    <m/>
    <m/>
    <m/>
    <m/>
    <m/>
    <m/>
    <m/>
    <m/>
    <m/>
    <m/>
    <m/>
    <m/>
    <m/>
    <m/>
    <m/>
    <m/>
    <m/>
  </r>
  <r>
    <x v="0"/>
    <s v="API-1418"/>
    <m/>
    <s v="New bording zones"/>
    <s v="UAT"/>
    <n v="24"/>
    <d v="2025-11-27T00:00:00"/>
    <d v="2025-11-27T00:00:00"/>
    <n v="39"/>
    <n v="0"/>
    <n v="15"/>
    <n v="16"/>
    <n v="0.29166666666666669"/>
    <n v="5"/>
    <s v="Se devolvió por cambio en implementación de parte de Viva donde se aplicaría nueva validación solicitada, luego fue devuelto nuevamente para una consulta a Viva y una refactorización de código, y por ultimo se devuelve nuevamente por refactorización de código sobre los nuevos cambios."/>
    <s v="Devolución"/>
    <m/>
    <m/>
    <m/>
    <m/>
    <m/>
    <n v="8"/>
    <n v="8"/>
    <m/>
    <m/>
    <m/>
    <m/>
    <m/>
    <m/>
    <m/>
    <m/>
    <m/>
    <m/>
    <m/>
    <m/>
    <m/>
    <m/>
  </r>
  <r>
    <x v="0"/>
    <s v="API-1431"/>
    <m/>
    <s v="[GDS Bookings] Handle Contacts in booking/updatepassengers endpoint"/>
    <s v="En revisión"/>
    <n v="24"/>
    <d v="2025-12-02T00:00:00"/>
    <d v="2025-12-02T00:00:00"/>
    <n v="34"/>
    <n v="0"/>
    <n v="25"/>
    <n v="6"/>
    <n v="0.29166666666666669"/>
    <n v="1"/>
    <m/>
    <s v="Normal"/>
    <n v="6"/>
    <m/>
    <m/>
    <m/>
    <m/>
    <m/>
    <m/>
    <m/>
    <m/>
    <m/>
    <m/>
    <m/>
    <m/>
    <m/>
    <m/>
    <m/>
    <m/>
    <m/>
    <m/>
    <m/>
    <m/>
  </r>
  <r>
    <x v="0"/>
    <s v="API-1432"/>
    <m/>
    <s v="[GDS Bookings] Add a booking comment when a contact email is updated"/>
    <s v="En revisión"/>
    <n v="12"/>
    <d v="2025-12-04T00:00:00"/>
    <d v="2025-12-04T00:00:00"/>
    <n v="32"/>
    <n v="0"/>
    <n v="0"/>
    <n v="15"/>
    <n v="0.25"/>
    <n v="1"/>
    <m/>
    <s v="Normal"/>
    <n v="2"/>
    <n v="8"/>
    <n v="5"/>
    <m/>
    <m/>
    <m/>
    <m/>
    <m/>
    <m/>
    <m/>
    <m/>
    <m/>
    <m/>
    <m/>
    <m/>
    <m/>
    <m/>
    <m/>
    <m/>
    <m/>
    <m/>
  </r>
  <r>
    <x v="0"/>
    <s v="API-1433"/>
    <m/>
    <s v="[GDS Bookings] Add a notification when a GDS booking requires an email update"/>
    <s v="En revisión"/>
    <n v="16"/>
    <d v="2025-12-09T00:00:00"/>
    <d v="2025-12-09T00:00:00"/>
    <n v="27"/>
    <n v="0"/>
    <n v="0"/>
    <n v="19"/>
    <n v="0.1875"/>
    <n v="1"/>
    <m/>
    <s v="Normal"/>
    <m/>
    <m/>
    <n v="3"/>
    <n v="8"/>
    <n v="8"/>
    <m/>
    <m/>
    <m/>
    <m/>
    <m/>
    <m/>
    <m/>
    <m/>
    <m/>
    <m/>
    <m/>
    <m/>
    <m/>
    <m/>
    <m/>
    <m/>
  </r>
  <r>
    <x v="0"/>
    <s v="API-1459"/>
    <m/>
    <s v="[IROP] Check boarding status to return irop information"/>
    <s v="UAT"/>
    <n v="20"/>
    <d v="2025-12-16T00:00:00"/>
    <d v="2025-12-24T00:00:00"/>
    <n v="12"/>
    <n v="0"/>
    <n v="0"/>
    <n v="24"/>
    <n v="0.2"/>
    <n v="2"/>
    <m/>
    <s v="Normal"/>
    <m/>
    <m/>
    <m/>
    <m/>
    <m/>
    <m/>
    <m/>
    <n v="8"/>
    <n v="8"/>
    <n v="8"/>
    <m/>
    <m/>
    <m/>
    <m/>
    <m/>
    <m/>
    <m/>
    <m/>
    <m/>
    <m/>
    <m/>
  </r>
  <r>
    <x v="0"/>
    <s v="API-1466"/>
    <m/>
    <s v="[Error] ChangeJourneys"/>
    <s v="Bloqueada"/>
    <m/>
    <m/>
    <m/>
    <m/>
    <n v="0"/>
    <n v="0"/>
    <n v="24"/>
    <s v=""/>
    <n v="1"/>
    <m/>
    <s v="Normal"/>
    <m/>
    <m/>
    <m/>
    <m/>
    <m/>
    <m/>
    <m/>
    <m/>
    <m/>
    <m/>
    <n v="8"/>
    <n v="8"/>
    <n v="8"/>
    <m/>
    <m/>
    <m/>
    <m/>
    <m/>
    <m/>
    <m/>
    <m/>
  </r>
  <r>
    <x v="0"/>
    <s v="API-1458"/>
    <m/>
    <s v="Investigation - [Transfer] - Transfer cancellation not adding comment into Navitaire"/>
    <s v="En revisión"/>
    <n v="16"/>
    <d v="2025-12-23T00:00:00"/>
    <d v="2025-12-23T00:00:00"/>
    <n v="13"/>
    <n v="0"/>
    <n v="0"/>
    <n v="16"/>
    <n v="0"/>
    <n v="2"/>
    <m/>
    <s v="Normal"/>
    <m/>
    <m/>
    <m/>
    <m/>
    <m/>
    <m/>
    <m/>
    <m/>
    <m/>
    <m/>
    <m/>
    <m/>
    <m/>
    <n v="8"/>
    <n v="8"/>
    <m/>
    <m/>
    <m/>
    <m/>
    <m/>
    <m/>
  </r>
  <r>
    <x v="0"/>
    <s v="API-1481"/>
    <m/>
    <s v="[New bundle] - Adjustments required so that the flow is not broken when using the new bundle"/>
    <s v="UAT"/>
    <n v="15"/>
    <d v="2025-12-24T00:00:00"/>
    <d v="2025-12-30T00:00:00"/>
    <n v="6"/>
    <n v="0"/>
    <n v="0"/>
    <n v="13"/>
    <n v="-0.13333333333333333"/>
    <n v="4"/>
    <s v="Este ticket tuvo varios retornos porque hubo 2 ocasiones en las que hubo cambios de negocio solicitados en el ticket, y luego hubo 2 retornos por validación de review, 1 de ellos relacionado a los cambios de negocio"/>
    <s v="Normal"/>
    <m/>
    <m/>
    <m/>
    <m/>
    <m/>
    <m/>
    <m/>
    <m/>
    <m/>
    <m/>
    <m/>
    <m/>
    <m/>
    <m/>
    <m/>
    <n v="5"/>
    <m/>
    <m/>
    <n v="8"/>
    <m/>
    <m/>
  </r>
  <r>
    <x v="0"/>
    <s v="API-1456"/>
    <m/>
    <s v="Do not return services or insurances with Price 0"/>
    <s v="En revisión"/>
    <n v="29"/>
    <d v="2025-12-26T00:00:00"/>
    <d v="2026-01-05T00:00:00"/>
    <n v="0"/>
    <n v="0"/>
    <n v="0"/>
    <n v="35"/>
    <n v="0.20689655172413793"/>
    <n v="0"/>
    <m/>
    <s v="Normal"/>
    <m/>
    <m/>
    <m/>
    <m/>
    <m/>
    <m/>
    <m/>
    <m/>
    <m/>
    <m/>
    <m/>
    <m/>
    <m/>
    <m/>
    <m/>
    <n v="3"/>
    <n v="8"/>
    <n v="8"/>
    <m/>
    <n v="8"/>
    <n v="8"/>
  </r>
  <r>
    <x v="1"/>
    <s v="API-1080"/>
    <m/>
    <s v="Reimbursement method - ReverseCreditCard"/>
    <s v="Finalizada"/>
    <n v="34"/>
    <d v="2025-05-30T00:00:00"/>
    <d v="2025-06-13T00:00:00"/>
    <m/>
    <n v="4"/>
    <n v="0"/>
    <n v="0"/>
    <n v="-0.88235294117647056"/>
    <n v="4"/>
    <m/>
    <s v="Normal"/>
    <m/>
    <m/>
    <m/>
    <m/>
    <m/>
    <m/>
    <m/>
    <m/>
    <m/>
    <m/>
    <m/>
    <m/>
    <m/>
    <m/>
    <m/>
    <m/>
    <m/>
    <m/>
    <m/>
    <m/>
    <m/>
  </r>
  <r>
    <x v="1"/>
    <s v="API-1189"/>
    <m/>
    <s v="[Yuno Payments] - Return selected Wallet in booking full payments type"/>
    <s v="Finalizada"/>
    <n v="16"/>
    <d v="2025-07-29T00:00:00"/>
    <d v="2025-08-25T00:00:00"/>
    <m/>
    <n v="6"/>
    <n v="0"/>
    <n v="0"/>
    <n v="-0.625"/>
    <n v="1"/>
    <m/>
    <s v="Normal"/>
    <m/>
    <m/>
    <m/>
    <m/>
    <m/>
    <m/>
    <m/>
    <m/>
    <m/>
    <m/>
    <m/>
    <m/>
    <m/>
    <m/>
    <m/>
    <m/>
    <m/>
    <m/>
    <m/>
    <m/>
    <m/>
  </r>
  <r>
    <x v="1"/>
    <s v="API-1210"/>
    <m/>
    <s v="[Transfer] - Return transfer contact information during transfer process and not allow email editing email field"/>
    <s v="Finalizada"/>
    <n v="20"/>
    <d v="2025-07-21T00:00:00"/>
    <d v="2025-07-25T00:00:00"/>
    <m/>
    <n v="2"/>
    <n v="0"/>
    <n v="0"/>
    <n v="-0.9"/>
    <n v="3"/>
    <m/>
    <s v="Normal"/>
    <m/>
    <m/>
    <m/>
    <m/>
    <m/>
    <m/>
    <m/>
    <m/>
    <m/>
    <m/>
    <m/>
    <m/>
    <m/>
    <m/>
    <m/>
    <m/>
    <m/>
    <m/>
    <m/>
    <m/>
    <m/>
  </r>
  <r>
    <x v="1"/>
    <s v="API-1237"/>
    <m/>
    <s v="[Doters] Allow regular fare for anonymous users in RegularAndPoints flow"/>
    <s v="Finalizada"/>
    <n v="12"/>
    <d v="2025-07-31T00:00:00"/>
    <d v="2025-08-01T00:00:00"/>
    <m/>
    <n v="8"/>
    <n v="0"/>
    <n v="0"/>
    <n v="-0.33333333333333331"/>
    <n v="1"/>
    <m/>
    <s v="Normal"/>
    <m/>
    <m/>
    <m/>
    <m/>
    <m/>
    <m/>
    <m/>
    <m/>
    <m/>
    <m/>
    <m/>
    <m/>
    <m/>
    <m/>
    <m/>
    <m/>
    <m/>
    <m/>
    <m/>
    <m/>
    <m/>
  </r>
  <r>
    <x v="1"/>
    <s v="API-1247"/>
    <m/>
    <s v="Extend resources/stations with train stations"/>
    <s v="Finalizada"/>
    <n v="30"/>
    <d v="2025-08-05T00:00:00"/>
    <d v="2025-08-08T00:00:00"/>
    <m/>
    <n v="37"/>
    <n v="0"/>
    <n v="0"/>
    <n v="0.23333333333333334"/>
    <n v="3"/>
    <m/>
    <s v="Normal"/>
    <m/>
    <m/>
    <m/>
    <m/>
    <m/>
    <m/>
    <m/>
    <m/>
    <m/>
    <m/>
    <m/>
    <m/>
    <m/>
    <m/>
    <m/>
    <m/>
    <m/>
    <m/>
    <m/>
    <m/>
    <m/>
  </r>
  <r>
    <x v="1"/>
    <s v="API-1249"/>
    <m/>
    <s v="Create train/availability endpoint"/>
    <s v="Finalizada"/>
    <n v="36"/>
    <d v="2025-09-25T00:00:00"/>
    <d v="2025-09-25T00:00:00"/>
    <m/>
    <n v="49"/>
    <n v="0"/>
    <n v="0"/>
    <n v="0.3611111111111111"/>
    <n v="3"/>
    <m/>
    <s v="Desviado"/>
    <m/>
    <m/>
    <m/>
    <m/>
    <m/>
    <m/>
    <m/>
    <m/>
    <m/>
    <m/>
    <m/>
    <m/>
    <m/>
    <m/>
    <m/>
    <m/>
    <m/>
    <m/>
    <m/>
    <m/>
    <m/>
  </r>
  <r>
    <x v="1"/>
    <s v="API-1250"/>
    <s v="2410/ Adrián: Working as expected: -17/10 Luis bloquea el ticket sobre solicitud  a Adrián de pruebas y compartir resultados"/>
    <s v="Create train/add endpoint"/>
    <s v="Finalizada"/>
    <n v="50"/>
    <d v="2025-10-08T00:00:00"/>
    <d v="2025-09-19T00:00:00"/>
    <m/>
    <n v="65"/>
    <n v="0"/>
    <n v="0"/>
    <n v="0.3"/>
    <n v="4"/>
    <s v="17/10 se devuelve, está  en análisis"/>
    <s v="Normal"/>
    <m/>
    <m/>
    <m/>
    <m/>
    <m/>
    <m/>
    <m/>
    <m/>
    <m/>
    <m/>
    <m/>
    <m/>
    <m/>
    <m/>
    <m/>
    <m/>
    <m/>
    <m/>
    <m/>
    <m/>
    <m/>
  </r>
  <r>
    <x v="1"/>
    <s v="API-1251"/>
    <s v="2410/ Adrián: Working as expected:- 14/10 Adrián - Trabajando como se esperaba"/>
    <s v="Add train comment and extend basket dispatcher"/>
    <s v="Finalizada"/>
    <n v="27"/>
    <d v="2025-10-10T00:00:00"/>
    <d v="2025-09-19T00:00:00"/>
    <m/>
    <n v="35"/>
    <n v="0"/>
    <n v="0"/>
    <n v="0.29629629629629628"/>
    <n v="4"/>
    <m/>
    <s v="Normal"/>
    <m/>
    <m/>
    <m/>
    <m/>
    <m/>
    <m/>
    <m/>
    <m/>
    <m/>
    <m/>
    <m/>
    <m/>
    <m/>
    <m/>
    <m/>
    <m/>
    <m/>
    <m/>
    <m/>
    <m/>
    <m/>
  </r>
  <r>
    <x v="1"/>
    <s v="API-1252"/>
    <s v="2710 / Priotor sin comentarios -15/10 Luis solicita inf URL tren maya- 14/10 Adrián - Trabajando como se esperaba - "/>
    <s v="Extend booking output with train information"/>
    <s v="Finalizada"/>
    <n v="10"/>
    <d v="2025-10-10T00:00:00"/>
    <d v="2025-09-19T00:00:00"/>
    <m/>
    <n v="13"/>
    <n v="0"/>
    <n v="0"/>
    <n v="0.3"/>
    <n v="1"/>
    <m/>
    <s v="Normal"/>
    <m/>
    <m/>
    <m/>
    <m/>
    <m/>
    <m/>
    <m/>
    <m/>
    <m/>
    <m/>
    <m/>
    <m/>
    <m/>
    <m/>
    <m/>
    <m/>
    <m/>
    <m/>
    <m/>
    <m/>
    <m/>
  </r>
  <r>
    <x v="1"/>
    <s v="API-1290"/>
    <m/>
    <s v="[TUA] Add percent discount for Viva Candy on the fareWithTUA response"/>
    <s v="Finalizada"/>
    <n v="8"/>
    <d v="2025-09-22T00:00:00"/>
    <d v="2025-09-15T00:00:00"/>
    <m/>
    <n v="10"/>
    <n v="0"/>
    <n v="0"/>
    <n v="0.25"/>
    <n v="2"/>
    <m/>
    <s v="Normal"/>
    <m/>
    <m/>
    <m/>
    <m/>
    <m/>
    <m/>
    <m/>
    <m/>
    <m/>
    <m/>
    <m/>
    <m/>
    <m/>
    <m/>
    <m/>
    <m/>
    <m/>
    <m/>
    <m/>
    <m/>
    <m/>
  </r>
  <r>
    <x v="1"/>
    <s v="API-1291"/>
    <m/>
    <s v="[TUA] - Intl MXN empty field"/>
    <s v="Finalizada"/>
    <n v="14"/>
    <d v="2025-09-22T00:00:00"/>
    <d v="2025-09-22T00:00:00"/>
    <m/>
    <n v="18"/>
    <n v="0"/>
    <n v="0"/>
    <n v="0.2857142857142857"/>
    <n v="3"/>
    <m/>
    <s v="Normal"/>
    <m/>
    <m/>
    <m/>
    <m/>
    <m/>
    <m/>
    <m/>
    <m/>
    <m/>
    <m/>
    <m/>
    <m/>
    <m/>
    <m/>
    <m/>
    <m/>
    <m/>
    <m/>
    <m/>
    <m/>
    <m/>
  </r>
  <r>
    <x v="1"/>
    <s v="API-1303"/>
    <m/>
    <s v="[HotelsPlus] - When having promo code fareplace is not being called"/>
    <s v="Finalizada"/>
    <n v="12"/>
    <d v="2025-09-05T00:00:00"/>
    <d v="2025-09-05T00:00:00"/>
    <m/>
    <n v="15"/>
    <n v="0"/>
    <n v="0"/>
    <n v="0.25"/>
    <n v="1"/>
    <m/>
    <s v="Normal"/>
    <m/>
    <m/>
    <m/>
    <m/>
    <m/>
    <m/>
    <m/>
    <m/>
    <m/>
    <m/>
    <m/>
    <m/>
    <m/>
    <m/>
    <m/>
    <m/>
    <m/>
    <m/>
    <m/>
    <m/>
    <m/>
  </r>
  <r>
    <x v="1"/>
    <s v="API-1307"/>
    <m/>
    <s v="Add new role for Agency users"/>
    <s v="Finalizada"/>
    <n v="4"/>
    <d v="2025-09-08T00:00:00"/>
    <d v="2025-09-08T00:00:00"/>
    <m/>
    <n v="5"/>
    <n v="0"/>
    <n v="0"/>
    <n v="0.25"/>
    <n v="1"/>
    <m/>
    <s v="Normal"/>
    <m/>
    <m/>
    <m/>
    <m/>
    <m/>
    <m/>
    <m/>
    <m/>
    <m/>
    <m/>
    <m/>
    <m/>
    <m/>
    <m/>
    <m/>
    <m/>
    <m/>
    <m/>
    <m/>
    <m/>
    <m/>
  </r>
  <r>
    <x v="1"/>
    <s v="API-1069"/>
    <s v="0411 Luis responde un comentario - 2410 Hector responde - 16/10 Luis deja preguntas para ser respondidas por Héctor"/>
    <s v="Agency - Enable AG payment with USD/MXN"/>
    <s v="Finalizada"/>
    <n v="40"/>
    <d v="2025-11-04T00:00:00"/>
    <d v="2025-11-04T00:00:00"/>
    <n v="62"/>
    <n v="53.5"/>
    <n v="3"/>
    <n v="0"/>
    <n v="0.41249999999999998"/>
    <n v="1"/>
    <s v="Se encuentra en desarrollo actualmente_x000a__x000a_Validación con Navitare y Héctor sobre  nuevo enfoque de implementación. 2h - 07102025_x000a__x000a_Reunión contexto con Marcín sobre reunión con Héctor y NAv. Análisis inicial con Marcin de las implicaciones. Revisión de riesgos y formulación de preguntas del nuevo enfoque: 4h - 08102025"/>
    <s v="Desviado"/>
    <m/>
    <m/>
    <m/>
    <m/>
    <m/>
    <m/>
    <m/>
    <m/>
    <m/>
    <m/>
    <m/>
    <m/>
    <m/>
    <m/>
    <m/>
    <m/>
    <m/>
    <m/>
    <m/>
    <m/>
    <m/>
  </r>
  <r>
    <x v="1"/>
    <s v="API-1266"/>
    <s v="17/10 Luis comenta que se trata de un nuevo alcance y se suman 3 horas a la estimación original, 23/10 se devuelve por parte de Priort"/>
    <s v="[Experience] Add admin portal configuration"/>
    <s v="Finalizada"/>
    <n v="15"/>
    <d v="2025-10-17T00:00:00"/>
    <d v="2025-10-17T00:00:00"/>
    <m/>
    <n v="14"/>
    <n v="0"/>
    <n v="0"/>
    <n v="-6.6666666666666666E-2"/>
    <n v="3"/>
    <s v="Durante la implementación surgieron dudas que fueron validadas con Adrián, quedando pendiente un punto relacionado con el ticket API-1266, actualmente En revisión._x000a__x000a_En dicho ticket se definió una configuración única para todas las experiencias, pero se acordó que debe existir una configuración independiente por cada experiencia. Esto implica convertir la estructura actual en una lista de configuraciones, donde cada experiencia tenga la suya propia._x000a__x000a_Por este motivo, es necesario retomar el ticket 1266 y ajustar su implementación para cumplir con este nuevo requerimiento. Se adjunta un ejemplo de JSON que debe ser validado antes de continuar."/>
    <s v="Normal"/>
    <m/>
    <m/>
    <m/>
    <m/>
    <m/>
    <m/>
    <m/>
    <m/>
    <m/>
    <m/>
    <m/>
    <m/>
    <m/>
    <m/>
    <m/>
    <m/>
    <m/>
    <m/>
    <m/>
    <m/>
    <m/>
  </r>
  <r>
    <x v="1"/>
    <s v="API-1267"/>
    <s v="21/10 Luis deja comentarios a Adrian /Se activa el 20/10, se actualiza la fecha de engre para el 21/10"/>
    <s v="[Experience] Return experience services in booking/availableservices endpoint"/>
    <s v="En revisión"/>
    <n v="40"/>
    <d v="2025-10-21T00:00:00"/>
    <d v="2025-10-21T00:00:00"/>
    <n v="76"/>
    <n v="52"/>
    <n v="0"/>
    <n v="0"/>
    <n v="0.3"/>
    <n v="1"/>
    <s v="El ticket API-1267, previamente en estado En revisión, tuvo que ser regresado a En progreso con el fin de ampliar su funcionalidad conforme a nuevos requerimientos detectados durante la revisión._x000a__x000a_La actualización consiste en modificar la estructura actual de configuración —que hasta ahora era única (single settings structure)— para convertirla en un arreglo de configuraciones (array of settings). Esta modificación permite una mayor flexibilidad en la gestión de parámetros y asegura la compatibilidad con futuras extensiones del servicio._x000a__x000a_Como consecuencia de este ajuste, se ha estimado una extensión de esfuerzo de 3 horas adicionales respecto a la estimación original._x000a__x000a_En el comentario previo del ticket se incluye un ejemplo detallado de la nueva estructura de configuraciones._x000a_Esta propuesta de cambio ha sido revisada y aprobada en el mismo ticket."/>
    <s v="Normal"/>
    <m/>
    <m/>
    <m/>
    <m/>
    <m/>
    <m/>
    <m/>
    <m/>
    <m/>
    <m/>
    <m/>
    <m/>
    <m/>
    <m/>
    <m/>
    <m/>
    <m/>
    <m/>
    <m/>
    <m/>
    <m/>
  </r>
  <r>
    <x v="1"/>
    <s v="API-1316"/>
    <s v="2419/ Francisco: Working as expected - 15/10 Aprobado PR"/>
    <s v="Enable Hopper Insurance (VBJH) in Manage My Booking (MMB) Flow"/>
    <s v="Finalizada"/>
    <n v="24"/>
    <d v="2025-10-15T00:00:00"/>
    <d v="2025-10-02T00:00:00"/>
    <m/>
    <n v="28"/>
    <n v="0"/>
    <n v="0"/>
    <n v="0.16666666666666666"/>
    <n v="2"/>
    <m/>
    <s v="Normal"/>
    <m/>
    <m/>
    <m/>
    <m/>
    <m/>
    <m/>
    <m/>
    <m/>
    <m/>
    <m/>
    <m/>
    <m/>
    <m/>
    <m/>
    <m/>
    <m/>
    <m/>
    <m/>
    <m/>
    <m/>
    <m/>
  </r>
  <r>
    <x v="1"/>
    <s v="API-1319"/>
    <s v="2410/ Adrián:  - 21/10 Aprobado PR"/>
    <s v="Create train/delete endpoint"/>
    <s v="Finalizada"/>
    <n v="50"/>
    <d v="2025-10-01T00:00:00"/>
    <d v="2025-09-29T00:00:00"/>
    <m/>
    <n v="65"/>
    <n v="0"/>
    <n v="0"/>
    <n v="0.3"/>
    <n v="4"/>
    <m/>
    <s v="Normal"/>
    <m/>
    <m/>
    <m/>
    <m/>
    <m/>
    <m/>
    <m/>
    <m/>
    <m/>
    <m/>
    <m/>
    <m/>
    <m/>
    <m/>
    <m/>
    <m/>
    <m/>
    <m/>
    <m/>
    <m/>
    <m/>
  </r>
  <r>
    <x v="1"/>
    <s v="API-1268"/>
    <s v="2910 Luis deja PR - 22/10 Luis realiza una consulta a Adrián"/>
    <s v="[Experience] Add experience services"/>
    <s v="En revisión"/>
    <n v="24"/>
    <d v="2025-10-29T00:00:00"/>
    <d v="2025-10-29T00:00:00"/>
    <n v="68"/>
    <n v="31"/>
    <n v="0"/>
    <n v="0"/>
    <n v="0.29166666666666669"/>
    <n v="1"/>
    <m/>
    <s v="Normal"/>
    <m/>
    <m/>
    <m/>
    <m/>
    <m/>
    <m/>
    <m/>
    <m/>
    <m/>
    <m/>
    <m/>
    <m/>
    <m/>
    <m/>
    <m/>
    <m/>
    <m/>
    <m/>
    <m/>
    <m/>
    <m/>
  </r>
  <r>
    <x v="1"/>
    <s v="API-724"/>
    <s v="27/10 se pausa por Luis dependencia 1383"/>
    <s v="Use stateless booking retrieve requests"/>
    <s v="En revisión"/>
    <n v="40"/>
    <d v="2025-11-25T00:00:00"/>
    <d v="2025-11-25T00:00:00"/>
    <m/>
    <n v="8"/>
    <n v="44"/>
    <n v="0"/>
    <n v="0.3"/>
    <n v="1"/>
    <m/>
    <s v="Normal"/>
    <m/>
    <m/>
    <m/>
    <m/>
    <m/>
    <m/>
    <m/>
    <m/>
    <m/>
    <m/>
    <m/>
    <m/>
    <m/>
    <m/>
    <m/>
    <m/>
    <m/>
    <m/>
    <m/>
    <m/>
    <m/>
  </r>
  <r>
    <x v="1"/>
    <s v="API-1269"/>
    <s v="1311- Se vuelve a tomar - 24/10 se pausa por dependencia de la 1268"/>
    <s v="[Experience] Include experienceServices in booking output"/>
    <s v="En revisión"/>
    <n v="16"/>
    <d v="2025-11-17T00:00:00"/>
    <d v="2025-11-18T00:00:00"/>
    <n v="48"/>
    <n v="8"/>
    <n v="12"/>
    <n v="0"/>
    <n v="0.25"/>
    <n v="1"/>
    <m/>
    <s v="Normal"/>
    <m/>
    <m/>
    <m/>
    <m/>
    <m/>
    <m/>
    <m/>
    <m/>
    <m/>
    <m/>
    <m/>
    <m/>
    <m/>
    <m/>
    <m/>
    <m/>
    <m/>
    <m/>
    <m/>
    <m/>
    <m/>
  </r>
  <r>
    <x v="1"/>
    <s v="API-1158"/>
    <s v="07/10 se pasa a ERic"/>
    <s v="[Booking Search] Extend service to support different digit search"/>
    <s v="Finalizada"/>
    <n v="16"/>
    <d v="2025-10-09T00:00:00"/>
    <d v="2025-10-09T00:00:00"/>
    <m/>
    <n v="4"/>
    <n v="0"/>
    <n v="0"/>
    <n v="-0.75"/>
    <n v="0"/>
    <m/>
    <s v="Normal"/>
    <m/>
    <m/>
    <m/>
    <m/>
    <m/>
    <m/>
    <m/>
    <m/>
    <m/>
    <m/>
    <m/>
    <m/>
    <m/>
    <m/>
    <m/>
    <m/>
    <m/>
    <m/>
    <m/>
    <m/>
    <m/>
  </r>
  <r>
    <x v="1"/>
    <s v="API-1396"/>
    <s v="05/11 victor da vobo a pruebas"/>
    <s v="Add a new role for Agency users"/>
    <s v="Finalizada"/>
    <n v="4"/>
    <d v="2025-11-04T00:00:00"/>
    <d v="2025-11-04T00:00:00"/>
    <m/>
    <n v="0"/>
    <n v="5"/>
    <n v="0"/>
    <n v="0.25"/>
    <n v="1"/>
    <m/>
    <s v="Normal"/>
    <m/>
    <m/>
    <m/>
    <m/>
    <m/>
    <m/>
    <m/>
    <m/>
    <m/>
    <m/>
    <m/>
    <m/>
    <m/>
    <m/>
    <m/>
    <m/>
    <m/>
    <m/>
    <m/>
    <m/>
    <m/>
  </r>
  <r>
    <x v="1"/>
    <s v="API-1383"/>
    <m/>
    <s v="[TrenMaya] - Adjustments"/>
    <s v="En revisión"/>
    <n v="44"/>
    <d v="2025-11-13T00:00:00"/>
    <d v="2025-11-13T00:00:00"/>
    <n v="53"/>
    <n v="0"/>
    <n v="56"/>
    <n v="0"/>
    <n v="0.27272727272727271"/>
    <n v="3"/>
    <m/>
    <s v="Normal"/>
    <m/>
    <m/>
    <m/>
    <m/>
    <m/>
    <m/>
    <m/>
    <m/>
    <m/>
    <m/>
    <m/>
    <m/>
    <m/>
    <m/>
    <m/>
    <m/>
    <m/>
    <m/>
    <m/>
    <m/>
    <m/>
  </r>
  <r>
    <x v="1"/>
    <s v="API-1463"/>
    <m/>
    <s v="Change exchangeRate output in methods available output [Breaking Change]"/>
    <s v="En revisión"/>
    <n v="6"/>
    <d v="2025-12-31T00:00:00"/>
    <d v="2025-12-30T00:00:00"/>
    <n v="6"/>
    <n v="0"/>
    <n v="0"/>
    <n v="4.5"/>
    <n v="-0.25"/>
    <n v="1"/>
    <m/>
    <m/>
    <m/>
    <m/>
    <m/>
    <m/>
    <m/>
    <m/>
    <m/>
    <m/>
    <m/>
    <m/>
    <m/>
    <m/>
    <m/>
    <m/>
    <m/>
    <m/>
    <m/>
    <m/>
    <m/>
    <n v="4.5"/>
    <m/>
  </r>
  <r>
    <x v="1"/>
    <s v="API-1464"/>
    <m/>
    <s v="[PartialPayment] update FeeAmount and downPaymentAmount calculation"/>
    <s v="En revisión"/>
    <n v="3"/>
    <d v="2026-01-05T00:00:00"/>
    <d v="2025-12-30T00:00:00"/>
    <n v="6"/>
    <n v="0"/>
    <n v="0"/>
    <n v="3.5"/>
    <n v="0.16666666666666666"/>
    <n v="1"/>
    <m/>
    <m/>
    <m/>
    <m/>
    <m/>
    <m/>
    <m/>
    <m/>
    <m/>
    <m/>
    <m/>
    <m/>
    <m/>
    <m/>
    <m/>
    <m/>
    <m/>
    <m/>
    <m/>
    <m/>
    <m/>
    <n v="3.5"/>
    <m/>
  </r>
  <r>
    <x v="1"/>
    <s v="API-1408"/>
    <m/>
    <s v="Add InTransit field to passenger DestinationAddressInput"/>
    <s v="En revisión"/>
    <n v="30"/>
    <d v="2025-12-03T00:00:00"/>
    <d v="2025-12-03T00:00:00"/>
    <n v="33"/>
    <n v="0"/>
    <n v="24"/>
    <n v="15"/>
    <n v="0.3"/>
    <n v="2"/>
    <m/>
    <s v="Normal"/>
    <n v="8"/>
    <n v="7"/>
    <m/>
    <m/>
    <m/>
    <m/>
    <m/>
    <m/>
    <m/>
    <m/>
    <m/>
    <m/>
    <m/>
    <m/>
    <m/>
    <m/>
    <m/>
    <m/>
    <m/>
    <m/>
    <m/>
  </r>
  <r>
    <x v="1"/>
    <s v="API-1439"/>
    <m/>
    <s v="[AG] New Setting - Change Domain for Agencies"/>
    <s v="UAT"/>
    <n v="12"/>
    <d v="2025-12-05T00:00:00"/>
    <d v="2025-12-05T00:00:00"/>
    <n v="31"/>
    <n v="0"/>
    <n v="0"/>
    <n v="15"/>
    <n v="0.25"/>
    <n v="2"/>
    <m/>
    <s v="Normal"/>
    <m/>
    <n v="1"/>
    <n v="8"/>
    <n v="6"/>
    <m/>
    <m/>
    <m/>
    <m/>
    <m/>
    <m/>
    <m/>
    <m/>
    <m/>
    <m/>
    <m/>
    <m/>
    <m/>
    <m/>
    <m/>
    <m/>
    <m/>
  </r>
  <r>
    <x v="1"/>
    <s v="API-1119"/>
    <m/>
    <s v="[Avasa] Add new GET vehicle/locations endpoint"/>
    <s v="En revisión"/>
    <n v="20"/>
    <d v="2025-12-11T00:00:00"/>
    <d v="2025-12-11T00:00:00"/>
    <n v="25"/>
    <n v="0"/>
    <n v="0"/>
    <n v="26"/>
    <n v="0.3"/>
    <n v="1"/>
    <m/>
    <s v="Normal"/>
    <m/>
    <m/>
    <m/>
    <n v="2"/>
    <n v="8"/>
    <n v="8"/>
    <n v="8"/>
    <m/>
    <m/>
    <m/>
    <m/>
    <m/>
    <m/>
    <m/>
    <m/>
    <m/>
    <m/>
    <m/>
    <m/>
    <m/>
    <m/>
  </r>
  <r>
    <x v="1"/>
    <s v="API-1452"/>
    <m/>
    <s v="[Change Flight] Discrepancies between bundles"/>
    <s v="Cerrada"/>
    <n v="28"/>
    <d v="2025-12-22T00:00:00"/>
    <d v="2025-12-17T00:00:00"/>
    <n v="19"/>
    <n v="0"/>
    <n v="0"/>
    <n v="28"/>
    <n v="0"/>
    <n v="0"/>
    <m/>
    <s v="Normal"/>
    <m/>
    <m/>
    <m/>
    <m/>
    <m/>
    <m/>
    <m/>
    <n v="8"/>
    <n v="8"/>
    <n v="8"/>
    <n v="4"/>
    <m/>
    <m/>
    <m/>
    <m/>
    <m/>
    <m/>
    <m/>
    <m/>
    <m/>
    <m/>
  </r>
  <r>
    <x v="1"/>
    <s v="API-1120"/>
    <m/>
    <s v="[Avasa] Add new GET vehicle/availability endpoint"/>
    <s v="En Curso"/>
    <n v="32"/>
    <d v="2025-12-23T00:00:00"/>
    <m/>
    <m/>
    <n v="0"/>
    <n v="0"/>
    <n v="32"/>
    <n v="0"/>
    <n v="0"/>
    <m/>
    <s v="Normal"/>
    <m/>
    <m/>
    <m/>
    <m/>
    <m/>
    <m/>
    <m/>
    <m/>
    <m/>
    <m/>
    <n v="4"/>
    <n v="8"/>
    <n v="8"/>
    <n v="8"/>
    <n v="4"/>
    <m/>
    <m/>
    <m/>
    <m/>
    <m/>
    <m/>
  </r>
  <r>
    <x v="1"/>
    <s v="API-1167"/>
    <m/>
    <s v="[YunoAsync &amp; Yuno Wallet] Change in payment/checkstatus"/>
    <s v="Bloqueada"/>
    <n v="24"/>
    <d v="2025-12-30T00:00:00"/>
    <m/>
    <m/>
    <n v="0"/>
    <n v="0"/>
    <n v="36"/>
    <n v="0.5"/>
    <n v="0"/>
    <m/>
    <s v="Normal"/>
    <m/>
    <m/>
    <m/>
    <m/>
    <m/>
    <m/>
    <m/>
    <m/>
    <m/>
    <m/>
    <m/>
    <m/>
    <m/>
    <m/>
    <n v="4"/>
    <n v="8"/>
    <n v="8"/>
    <n v="8"/>
    <n v="8"/>
    <m/>
    <m/>
  </r>
  <r>
    <x v="2"/>
    <s v="API-1253"/>
    <m/>
    <s v="[Boarding Passes]  Add connectsInStation"/>
    <s v="Finalizada"/>
    <n v="16"/>
    <d v="2025-09-08T00:00:00"/>
    <d v="2025-09-08T00:00:00"/>
    <m/>
    <n v="13"/>
    <n v="0"/>
    <n v="0"/>
    <n v="-0.1875"/>
    <n v="0"/>
    <m/>
    <s v="Normal"/>
    <m/>
    <m/>
    <m/>
    <m/>
    <m/>
    <m/>
    <m/>
    <m/>
    <m/>
    <m/>
    <m/>
    <m/>
    <m/>
    <m/>
    <m/>
    <m/>
    <m/>
    <m/>
    <m/>
    <m/>
    <m/>
  </r>
  <r>
    <x v="2"/>
    <s v="API-1292"/>
    <m/>
    <s v="Create /availability/presales"/>
    <s v="Finalizada"/>
    <n v="28"/>
    <d v="2025-09-18T00:00:00"/>
    <d v="2025-09-18T00:00:00"/>
    <m/>
    <n v="1"/>
    <n v="0"/>
    <n v="0"/>
    <n v="-0.9642857142857143"/>
    <n v="0"/>
    <m/>
    <s v="Normal"/>
    <m/>
    <m/>
    <m/>
    <m/>
    <m/>
    <m/>
    <m/>
    <m/>
    <m/>
    <m/>
    <m/>
    <m/>
    <m/>
    <m/>
    <m/>
    <m/>
    <m/>
    <m/>
    <m/>
    <m/>
    <m/>
  </r>
  <r>
    <x v="2"/>
    <s v="API-1299"/>
    <m/>
    <s v="[UK Tax] Mantain use of fees in booking and check-in flow"/>
    <s v="Finalizada"/>
    <n v="24"/>
    <d v="2025-09-09T00:00:00"/>
    <d v="2025-09-09T00:00:00"/>
    <m/>
    <n v="3"/>
    <n v="0"/>
    <n v="0"/>
    <n v="-0.875"/>
    <n v="0"/>
    <m/>
    <s v="Normal"/>
    <m/>
    <m/>
    <m/>
    <m/>
    <m/>
    <m/>
    <m/>
    <m/>
    <m/>
    <m/>
    <m/>
    <m/>
    <m/>
    <m/>
    <m/>
    <m/>
    <m/>
    <m/>
    <m/>
    <m/>
    <m/>
  </r>
  <r>
    <x v="2"/>
    <s v="API-1300"/>
    <m/>
    <s v="Discount the rgBundlePriceSimple to the AirfareDifference and show in bundleDifference"/>
    <s v="Finalizada"/>
    <n v="20"/>
    <d v="2025-09-17T00:00:00"/>
    <d v="2025-09-17T00:00:00"/>
    <m/>
    <n v="1"/>
    <n v="0"/>
    <n v="0"/>
    <n v="-0.95"/>
    <n v="0"/>
    <m/>
    <s v="Normal"/>
    <m/>
    <m/>
    <m/>
    <m/>
    <m/>
    <m/>
    <m/>
    <m/>
    <m/>
    <m/>
    <m/>
    <m/>
    <m/>
    <m/>
    <m/>
    <m/>
    <m/>
    <m/>
    <m/>
    <m/>
    <m/>
  </r>
  <r>
    <x v="3"/>
    <s v="STI-403"/>
    <m/>
    <s v="Create Accrual Batch to Process Accruals"/>
    <s v="Finalizada"/>
    <n v="80"/>
    <d v="2025-09-17T00:00:00"/>
    <d v="2025-09-16T00:00:00"/>
    <n v="111"/>
    <n v="74"/>
    <n v="0"/>
    <n v="0"/>
    <n v="-7.4999999999999997E-2"/>
    <n v="1"/>
    <m/>
    <s v="Normal"/>
    <m/>
    <m/>
    <m/>
    <m/>
    <m/>
    <m/>
    <m/>
    <m/>
    <m/>
    <m/>
    <m/>
    <m/>
    <m/>
    <m/>
    <m/>
    <m/>
    <m/>
    <m/>
    <m/>
    <m/>
    <m/>
  </r>
  <r>
    <x v="3"/>
    <s v="STI-499"/>
    <s v="2310_ America consulta a erudiel por permisos, sin respuesta aún -14/10 Consulta de Erudiel respondida por chat por parte de Marvin, se debe hacer alguna otra aclaración?"/>
    <s v="Acumulacions Doters."/>
    <s v="Bloqueado"/>
    <n v="38"/>
    <d v="2025-10-10T00:00:00"/>
    <m/>
    <m/>
    <n v="49"/>
    <n v="0"/>
    <n v="0"/>
    <n v="0.28947368421052633"/>
    <n v="1"/>
    <m/>
    <s v="Normal"/>
    <m/>
    <m/>
    <m/>
    <m/>
    <m/>
    <m/>
    <m/>
    <m/>
    <m/>
    <m/>
    <m/>
    <m/>
    <m/>
    <m/>
    <m/>
    <m/>
    <m/>
    <m/>
    <m/>
    <m/>
    <m/>
  </r>
  <r>
    <x v="3"/>
    <s v="STI-553"/>
    <m/>
    <s v="Daily Meetings - Julio"/>
    <s v="Cerrada"/>
    <n v="12"/>
    <d v="2025-07-01T00:00:00"/>
    <d v="2025-07-31T00:00:00"/>
    <n v="158"/>
    <n v="0.5"/>
    <n v="0"/>
    <n v="0"/>
    <n v="-0.95833333333333337"/>
    <n v="0"/>
    <m/>
    <s v="Normal"/>
    <m/>
    <m/>
    <m/>
    <m/>
    <m/>
    <m/>
    <m/>
    <m/>
    <m/>
    <m/>
    <m/>
    <m/>
    <m/>
    <m/>
    <m/>
    <m/>
    <m/>
    <m/>
    <m/>
    <m/>
    <m/>
  </r>
  <r>
    <x v="3"/>
    <s v="STI-681"/>
    <m/>
    <s v="Eliminar acumulaciones que no exista el memberId en Gravty"/>
    <s v="Finalizada"/>
    <n v="16"/>
    <d v="2025-07-30T00:00:00"/>
    <d v="2025-08-04T00:00:00"/>
    <n v="154"/>
    <n v="5"/>
    <n v="0"/>
    <n v="0"/>
    <n v="-0.6875"/>
    <n v="1"/>
    <m/>
    <s v="Normal"/>
    <m/>
    <m/>
    <m/>
    <m/>
    <m/>
    <m/>
    <m/>
    <m/>
    <m/>
    <m/>
    <m/>
    <m/>
    <m/>
    <m/>
    <m/>
    <m/>
    <m/>
    <m/>
    <m/>
    <m/>
    <m/>
  </r>
  <r>
    <x v="3"/>
    <s v="STI-729"/>
    <m/>
    <s v="Monitoreo y estabilizacion de ejecucion de proceso de acumulacion en produccion"/>
    <s v="Finalizada"/>
    <n v="24"/>
    <d v="2025-07-28T00:00:00"/>
    <d v="2025-08-01T00:00:00"/>
    <n v="157"/>
    <n v="3"/>
    <n v="0"/>
    <n v="0"/>
    <n v="-0.875"/>
    <n v="1"/>
    <m/>
    <s v="Normal"/>
    <m/>
    <m/>
    <m/>
    <m/>
    <m/>
    <m/>
    <m/>
    <m/>
    <m/>
    <m/>
    <m/>
    <m/>
    <m/>
    <m/>
    <m/>
    <m/>
    <m/>
    <m/>
    <m/>
    <m/>
    <m/>
  </r>
  <r>
    <x v="3"/>
    <s v="STI-742"/>
    <m/>
    <s v="Daily Meetings - Agosto"/>
    <s v="Finalizada"/>
    <n v="10"/>
    <d v="2025-08-01T00:00:00"/>
    <d v="2025-08-31T00:00:00"/>
    <n v="127"/>
    <n v="9"/>
    <n v="0"/>
    <n v="0"/>
    <n v="-0.1"/>
    <n v="0"/>
    <m/>
    <s v="Normal"/>
    <m/>
    <m/>
    <m/>
    <m/>
    <m/>
    <m/>
    <m/>
    <m/>
    <m/>
    <m/>
    <m/>
    <m/>
    <m/>
    <m/>
    <m/>
    <m/>
    <m/>
    <m/>
    <m/>
    <m/>
    <m/>
  </r>
  <r>
    <x v="3"/>
    <s v="STI-743"/>
    <m/>
    <s v="Migrate accrual api implementation dynamodb to postgre DB"/>
    <s v="Finalizada"/>
    <n v="40"/>
    <d v="2025-08-04T00:00:00"/>
    <d v="2025-08-12T00:00:00"/>
    <n v="146"/>
    <n v="33"/>
    <n v="0"/>
    <n v="0"/>
    <n v="-0.17499999999999999"/>
    <n v="1"/>
    <m/>
    <s v="Normal"/>
    <m/>
    <m/>
    <m/>
    <m/>
    <m/>
    <m/>
    <m/>
    <m/>
    <m/>
    <m/>
    <m/>
    <m/>
    <m/>
    <m/>
    <m/>
    <m/>
    <m/>
    <m/>
    <m/>
    <m/>
    <m/>
  </r>
  <r>
    <x v="3"/>
    <s v="STI-773"/>
    <m/>
    <s v="Revisar logica de Ezy API para eventos de notificaciones"/>
    <s v="Finalizada"/>
    <n v="5"/>
    <d v="2025-08-06T00:00:00"/>
    <d v="2025-08-11T00:00:00"/>
    <n v="147"/>
    <n v="4.5"/>
    <n v="0"/>
    <n v="0"/>
    <n v="-0.1"/>
    <n v="1"/>
    <m/>
    <s v="Normal"/>
    <m/>
    <m/>
    <m/>
    <m/>
    <m/>
    <m/>
    <m/>
    <m/>
    <m/>
    <m/>
    <m/>
    <m/>
    <m/>
    <m/>
    <m/>
    <m/>
    <m/>
    <m/>
    <m/>
    <m/>
    <m/>
  </r>
  <r>
    <x v="3"/>
    <s v="STI-775"/>
    <m/>
    <s v="Gestion de merge para creacion de las nuevas ramas de desarrollo"/>
    <s v="Finalizada"/>
    <n v="12"/>
    <d v="2025-08-04T00:00:00"/>
    <d v="2025-08-11T00:00:00"/>
    <n v="147"/>
    <n v="11.5"/>
    <n v="0"/>
    <n v="0"/>
    <n v="-4.1666666666666664E-2"/>
    <n v="0"/>
    <m/>
    <s v="Normal"/>
    <m/>
    <m/>
    <m/>
    <m/>
    <m/>
    <m/>
    <m/>
    <m/>
    <m/>
    <m/>
    <m/>
    <m/>
    <m/>
    <m/>
    <m/>
    <m/>
    <m/>
    <m/>
    <m/>
    <m/>
    <m/>
  </r>
  <r>
    <x v="3"/>
    <s v="STI-776"/>
    <m/>
    <s v="Create /retroacclaim endpoint"/>
    <s v="Finalizada"/>
    <n v="24"/>
    <d v="2025-08-13T00:00:00"/>
    <d v="2025-08-26T00:00:00"/>
    <n v="132"/>
    <n v="23"/>
    <n v="0"/>
    <n v="0"/>
    <n v="-4.1666666666666664E-2"/>
    <n v="1"/>
    <m/>
    <s v="Normal"/>
    <m/>
    <m/>
    <m/>
    <m/>
    <m/>
    <m/>
    <m/>
    <m/>
    <m/>
    <m/>
    <m/>
    <m/>
    <m/>
    <m/>
    <m/>
    <m/>
    <m/>
    <m/>
    <m/>
    <m/>
    <m/>
  </r>
  <r>
    <x v="3"/>
    <s v="STI-777"/>
    <m/>
    <s v="Create /applyretroacclaim endpoint"/>
    <s v="Finalizada"/>
    <n v="24"/>
    <d v="2025-08-13T00:00:00"/>
    <d v="2025-08-26T00:00:00"/>
    <n v="132"/>
    <n v="23"/>
    <n v="0"/>
    <n v="0"/>
    <n v="-4.1666666666666664E-2"/>
    <n v="1"/>
    <m/>
    <s v="Normal"/>
    <m/>
    <m/>
    <m/>
    <m/>
    <m/>
    <m/>
    <m/>
    <m/>
    <m/>
    <m/>
    <m/>
    <m/>
    <m/>
    <m/>
    <m/>
    <m/>
    <m/>
    <m/>
    <m/>
    <m/>
    <m/>
  </r>
  <r>
    <x v="3"/>
    <s v="STI-786"/>
    <m/>
    <s v="Actualizar estatus de la acumulación de AccrualPerPax a AccrualAPI"/>
    <s v="Finalizada"/>
    <n v="24"/>
    <d v="2025-09-23T00:00:00"/>
    <d v="2025-09-24T00:00:00"/>
    <n v="103"/>
    <n v="28"/>
    <n v="0"/>
    <n v="0"/>
    <n v="0.16666666666666666"/>
    <n v="1"/>
    <m/>
    <s v="Normal"/>
    <m/>
    <m/>
    <m/>
    <m/>
    <m/>
    <m/>
    <m/>
    <m/>
    <m/>
    <m/>
    <m/>
    <m/>
    <m/>
    <m/>
    <m/>
    <m/>
    <m/>
    <m/>
    <m/>
    <m/>
    <m/>
  </r>
  <r>
    <x v="3"/>
    <s v="STI-826"/>
    <m/>
    <s v="Cambiar validaciones de negocio a que sea informativas"/>
    <s v="Finalizada"/>
    <n v="5"/>
    <d v="2025-08-20T00:00:00"/>
    <d v="2025-08-22T00:00:00"/>
    <n v="136"/>
    <n v="5"/>
    <n v="0"/>
    <n v="0"/>
    <n v="0"/>
    <n v="1"/>
    <m/>
    <s v="Normal"/>
    <m/>
    <m/>
    <m/>
    <m/>
    <m/>
    <m/>
    <m/>
    <m/>
    <m/>
    <m/>
    <m/>
    <m/>
    <m/>
    <m/>
    <m/>
    <m/>
    <m/>
    <m/>
    <m/>
    <m/>
    <m/>
  </r>
  <r>
    <x v="3"/>
    <s v="STI-849"/>
    <m/>
    <s v="Validaciones en la API de Accrual per Passenger"/>
    <s v="Finalizada"/>
    <n v="16"/>
    <d v="2025-08-22T00:00:00"/>
    <d v="2025-08-26T00:00:00"/>
    <n v="132"/>
    <n v="6"/>
    <n v="0"/>
    <n v="0"/>
    <n v="-0.625"/>
    <n v="1"/>
    <m/>
    <s v="Normal"/>
    <m/>
    <m/>
    <m/>
    <m/>
    <m/>
    <m/>
    <m/>
    <m/>
    <m/>
    <m/>
    <m/>
    <m/>
    <m/>
    <m/>
    <m/>
    <m/>
    <m/>
    <m/>
    <m/>
    <m/>
    <m/>
  </r>
  <r>
    <x v="3"/>
    <s v="STI-851"/>
    <s v="26/08 Se prueba en test y se valida comportamiento esperado. Asignado a Victor"/>
    <s v="Mejorar la trazabilidad de la api que recibe los PNR"/>
    <s v="Finalizada"/>
    <n v="24"/>
    <d v="2025-08-25T00:00:00"/>
    <d v="2025-08-28T00:00:00"/>
    <n v="130"/>
    <n v="14"/>
    <n v="0"/>
    <n v="0"/>
    <n v="-0.41666666666666669"/>
    <n v="1"/>
    <m/>
    <s v="Normal"/>
    <m/>
    <m/>
    <m/>
    <m/>
    <m/>
    <m/>
    <m/>
    <m/>
    <m/>
    <m/>
    <m/>
    <m/>
    <m/>
    <m/>
    <m/>
    <m/>
    <m/>
    <m/>
    <m/>
    <m/>
    <m/>
  </r>
  <r>
    <x v="3"/>
    <s v="STI-852"/>
    <m/>
    <s v="No regresar o permitir reservas de Staff Travel en /retroacclaim y /applyretroacclaim"/>
    <s v="Finalizada"/>
    <n v="12"/>
    <d v="2025-09-23T00:00:00"/>
    <d v="2025-09-24T00:00:00"/>
    <n v="103"/>
    <n v="13"/>
    <n v="0"/>
    <n v="0"/>
    <n v="8.3333333333333329E-2"/>
    <n v="1"/>
    <m/>
    <s v="Normal"/>
    <m/>
    <m/>
    <m/>
    <m/>
    <m/>
    <m/>
    <m/>
    <m/>
    <m/>
    <m/>
    <m/>
    <m/>
    <m/>
    <m/>
    <m/>
    <m/>
    <m/>
    <m/>
    <m/>
    <m/>
    <m/>
  </r>
  <r>
    <x v="3"/>
    <s v="STI-870"/>
    <m/>
    <s v="Get the Main Passenger by a Flag for the Accrual"/>
    <s v="Finalizada"/>
    <n v="24"/>
    <d v="2025-08-27T00:00:00"/>
    <d v="2025-08-29T00:00:00"/>
    <n v="129"/>
    <n v="17"/>
    <n v="0"/>
    <n v="0"/>
    <n v="-0.29166666666666669"/>
    <n v="1"/>
    <m/>
    <s v="Normal"/>
    <m/>
    <m/>
    <m/>
    <m/>
    <m/>
    <m/>
    <m/>
    <m/>
    <m/>
    <m/>
    <m/>
    <m/>
    <m/>
    <m/>
    <m/>
    <m/>
    <m/>
    <m/>
    <m/>
    <m/>
    <m/>
  </r>
  <r>
    <x v="3"/>
    <s v="STI-883"/>
    <m/>
    <s v="Validar solicitudes de creacion de acumulacion para usuarios anonimos"/>
    <s v="Finalizada"/>
    <n v="5"/>
    <d v="2025-08-28T00:00:00"/>
    <d v="2025-09-01T00:00:00"/>
    <n v="126"/>
    <n v="3"/>
    <n v="0"/>
    <n v="0"/>
    <n v="-0.4"/>
    <n v="1"/>
    <m/>
    <s v="Normal"/>
    <m/>
    <m/>
    <m/>
    <m/>
    <m/>
    <m/>
    <m/>
    <m/>
    <m/>
    <m/>
    <m/>
    <m/>
    <m/>
    <m/>
    <m/>
    <m/>
    <m/>
    <m/>
    <m/>
    <m/>
    <m/>
  </r>
  <r>
    <x v="3"/>
    <s v="STI-887"/>
    <m/>
    <s v="Enviar metodo de pago directamente sin mapeo de campos en acrual per pax."/>
    <s v="Finalizada"/>
    <n v="5"/>
    <d v="2025-08-29T00:00:00"/>
    <d v="2025-08-29T00:00:00"/>
    <n v="129"/>
    <n v="4"/>
    <n v="0"/>
    <n v="0"/>
    <n v="-0.2"/>
    <n v="1"/>
    <m/>
    <s v="Normal"/>
    <m/>
    <m/>
    <m/>
    <m/>
    <m/>
    <m/>
    <m/>
    <m/>
    <m/>
    <m/>
    <m/>
    <m/>
    <m/>
    <m/>
    <m/>
    <m/>
    <m/>
    <m/>
    <m/>
    <m/>
    <m/>
  </r>
  <r>
    <x v="3"/>
    <s v="STI-893"/>
    <m/>
    <s v="Daily Meetings - Septiembre"/>
    <s v="Finalizada"/>
    <n v="11"/>
    <d v="2025-09-30T00:00:00"/>
    <d v="2025-09-30T00:00:00"/>
    <n v="97"/>
    <n v="11"/>
    <n v="0"/>
    <n v="0"/>
    <n v="0"/>
    <n v="0"/>
    <m/>
    <s v="Normal"/>
    <m/>
    <m/>
    <m/>
    <m/>
    <m/>
    <m/>
    <m/>
    <m/>
    <m/>
    <m/>
    <m/>
    <m/>
    <m/>
    <m/>
    <m/>
    <m/>
    <m/>
    <m/>
    <m/>
    <m/>
    <m/>
  </r>
  <r>
    <x v="3"/>
    <s v="STI-897"/>
    <m/>
    <s v="Crear batch para la acumulaciones con AccrualAPI"/>
    <s v="Finalizada"/>
    <n v="40"/>
    <d v="2025-09-17T00:00:00"/>
    <d v="2025-09-16T00:00:00"/>
    <n v="111"/>
    <n v="38"/>
    <n v="0"/>
    <n v="0"/>
    <n v="-0.05"/>
    <n v="1"/>
    <m/>
    <s v="Normal"/>
    <m/>
    <m/>
    <m/>
    <m/>
    <m/>
    <m/>
    <m/>
    <m/>
    <m/>
    <m/>
    <m/>
    <m/>
    <m/>
    <m/>
    <m/>
    <m/>
    <m/>
    <m/>
    <m/>
    <m/>
    <m/>
  </r>
  <r>
    <x v="3"/>
    <s v="STI-993"/>
    <m/>
    <s v="Regresar error custom cuando la reserva no acumula"/>
    <s v="Finalizada"/>
    <n v="6"/>
    <d v="2025-09-15T00:00:00"/>
    <d v="2025-09-15T00:00:00"/>
    <n v="112"/>
    <n v="6"/>
    <n v="0"/>
    <n v="0"/>
    <n v="0"/>
    <n v="1"/>
    <m/>
    <s v="Normal"/>
    <m/>
    <m/>
    <m/>
    <m/>
    <m/>
    <m/>
    <m/>
    <m/>
    <m/>
    <m/>
    <m/>
    <m/>
    <m/>
    <m/>
    <m/>
    <m/>
    <m/>
    <m/>
    <m/>
    <m/>
    <m/>
  </r>
  <r>
    <x v="3"/>
    <s v="STI-994"/>
    <m/>
    <s v="Acumular solamente los vuelos volados y excluir los cancelados"/>
    <s v="Finalizada"/>
    <n v="16"/>
    <d v="2025-09-19T00:00:00"/>
    <d v="2025-09-18T00:00:00"/>
    <n v="109"/>
    <n v="20"/>
    <n v="0"/>
    <n v="0"/>
    <n v="0.25"/>
    <n v="1"/>
    <m/>
    <s v="Normal"/>
    <m/>
    <m/>
    <m/>
    <m/>
    <m/>
    <m/>
    <m/>
    <m/>
    <m/>
    <m/>
    <m/>
    <m/>
    <m/>
    <m/>
    <m/>
    <m/>
    <m/>
    <m/>
    <m/>
    <m/>
    <m/>
  </r>
  <r>
    <x v="3"/>
    <s v="STI-1033"/>
    <m/>
    <s v="Validar en /retroacclaim si ya se había acumulado previamente el PNR"/>
    <s v="Finalizada"/>
    <n v="5"/>
    <d v="2025-09-29T00:00:00"/>
    <d v="2025-09-29T00:00:00"/>
    <n v="98"/>
    <n v="5"/>
    <n v="0"/>
    <n v="0"/>
    <n v="0"/>
    <n v="0"/>
    <m/>
    <s v="Normal"/>
    <m/>
    <m/>
    <m/>
    <m/>
    <m/>
    <m/>
    <m/>
    <m/>
    <m/>
    <m/>
    <m/>
    <m/>
    <m/>
    <m/>
    <m/>
    <m/>
    <m/>
    <m/>
    <m/>
    <m/>
    <m/>
  </r>
  <r>
    <x v="3"/>
    <s v="STI-1031"/>
    <s v="1710- Está realizando pruebas Arturo"/>
    <s v="Crear flujo para Booking de Total Refund en AccrualAPI"/>
    <s v="Finalizada"/>
    <n v="50"/>
    <d v="2025-10-08T00:00:00"/>
    <d v="2025-10-03T00:00:00"/>
    <n v="94"/>
    <n v="35"/>
    <n v="0"/>
    <n v="0"/>
    <n v="-0.3"/>
    <n v="1"/>
    <m/>
    <s v="Normal"/>
    <m/>
    <m/>
    <m/>
    <m/>
    <m/>
    <m/>
    <m/>
    <m/>
    <m/>
    <m/>
    <m/>
    <m/>
    <m/>
    <m/>
    <m/>
    <m/>
    <m/>
    <m/>
    <m/>
    <m/>
    <m/>
  </r>
  <r>
    <x v="3"/>
    <s v="STI-1058"/>
    <m/>
    <s v="Daily Meetings - Octubre"/>
    <s v="Finalizada"/>
    <n v="11"/>
    <d v="2025-10-31T00:00:00"/>
    <d v="2025-10-31T00:00:00"/>
    <n v="66"/>
    <n v="11"/>
    <n v="0"/>
    <n v="0"/>
    <n v="0"/>
    <n v="0"/>
    <m/>
    <s v="Normal"/>
    <m/>
    <m/>
    <m/>
    <m/>
    <m/>
    <m/>
    <m/>
    <m/>
    <m/>
    <m/>
    <m/>
    <m/>
    <m/>
    <m/>
    <m/>
    <m/>
    <m/>
    <m/>
    <m/>
    <m/>
    <m/>
  </r>
  <r>
    <x v="3"/>
    <s v="STI-465"/>
    <s v="0710- Se intento probar con unos nuevos certificados enviados por Víctor pero estos no funcionaron."/>
    <s v="Sacar el algoritmo para generar el token y hacer login automático con MyIDTravel"/>
    <s v="Bloqueado"/>
    <n v="12.5"/>
    <d v="2025-07-08T00:00:00"/>
    <m/>
    <m/>
    <n v="7"/>
    <n v="0"/>
    <n v="0"/>
    <n v="-0.44"/>
    <n v="0"/>
    <m/>
    <s v="Normal"/>
    <m/>
    <m/>
    <m/>
    <m/>
    <m/>
    <m/>
    <m/>
    <m/>
    <m/>
    <m/>
    <m/>
    <m/>
    <m/>
    <m/>
    <m/>
    <m/>
    <m/>
    <m/>
    <m/>
    <m/>
    <m/>
  </r>
  <r>
    <x v="3"/>
    <s v="STI-864"/>
    <m/>
    <s v="Buscar en la reserva"/>
    <s v="Finalizada"/>
    <n v="12"/>
    <d v="2025-10-07T00:00:00"/>
    <d v="2025-10-06T00:00:00"/>
    <n v="91"/>
    <n v="12"/>
    <n v="0"/>
    <n v="0"/>
    <n v="0"/>
    <n v="1"/>
    <m/>
    <s v="Normal"/>
    <m/>
    <m/>
    <m/>
    <m/>
    <m/>
    <m/>
    <m/>
    <m/>
    <m/>
    <m/>
    <m/>
    <m/>
    <m/>
    <m/>
    <m/>
    <m/>
    <m/>
    <m/>
    <m/>
    <m/>
    <m/>
  </r>
  <r>
    <x v="3"/>
    <s v="STI-1064"/>
    <s v="09/10 victor - Buen día, Acabo de hacer las pruebas y funciona correctamente detectando que es una reserva de Staff y bloquearla."/>
    <s v="Bloquear reservas hechas por Staff en /addAccrual"/>
    <s v="Ready for prod"/>
    <n v="6"/>
    <d v="2025-10-07T00:00:00"/>
    <d v="2025-10-07T00:00:00"/>
    <n v="90"/>
    <n v="6"/>
    <n v="0"/>
    <n v="0"/>
    <n v="0"/>
    <n v="1"/>
    <m/>
    <s v="Normal"/>
    <m/>
    <m/>
    <m/>
    <m/>
    <m/>
    <m/>
    <m/>
    <m/>
    <m/>
    <m/>
    <m/>
    <m/>
    <m/>
    <m/>
    <m/>
    <m/>
    <m/>
    <m/>
    <m/>
    <m/>
    <m/>
  </r>
  <r>
    <x v="3"/>
    <s v="STI-1070"/>
    <s v="17/10/2025 Actualizacion:_x000a_Ejemplo de CURL: Marvin_x000a__x000a_ "/>
    <s v="Crear endpoint para acumular reservas enviandole solamente el PNR y Apellido de la reserva"/>
    <s v="UAT"/>
    <n v="16"/>
    <d v="2025-10-10T00:00:00"/>
    <d v="2025-10-10T00:00:00"/>
    <n v="87"/>
    <n v="15"/>
    <n v="3"/>
    <n v="0"/>
    <n v="0.125"/>
    <n v="1"/>
    <m/>
    <s v="Normal"/>
    <m/>
    <m/>
    <m/>
    <m/>
    <m/>
    <m/>
    <m/>
    <m/>
    <m/>
    <m/>
    <m/>
    <m/>
    <m/>
    <m/>
    <m/>
    <m/>
    <m/>
    <m/>
    <m/>
    <m/>
    <m/>
  </r>
  <r>
    <x v="3"/>
    <s v="STI-1083"/>
    <s v="15/10 Marvin: Actualizacion:_x000a_Se libera el endpoint para test. actualmente esta siendo probado por Victor - Ticket trabajado en sábado y lunes feriado"/>
    <s v="Crear endpoint de Doters para OTP"/>
    <s v="Finalizada"/>
    <n v="12"/>
    <d v="2025-10-14T00:00:00"/>
    <d v="2025-10-15T00:00:00"/>
    <n v="82"/>
    <n v="15"/>
    <n v="0"/>
    <n v="0"/>
    <n v="0.25"/>
    <n v="1"/>
    <m/>
    <s v="Normal"/>
    <m/>
    <m/>
    <m/>
    <m/>
    <m/>
    <m/>
    <m/>
    <m/>
    <m/>
    <m/>
    <m/>
    <m/>
    <m/>
    <m/>
    <m/>
    <m/>
    <m/>
    <m/>
    <m/>
    <m/>
    <m/>
  </r>
  <r>
    <x v="3"/>
    <s v="STI-1084"/>
    <s v="15/10  Victor Actualización:_x000a_De acuerdo al comentario enviado por @Victor Gardea , se realiza el ajuste para no requerir el memberid.  - Ticket trabajado en sábado y lunes feriado"/>
    <s v="Crear endpoint de Doters para Options del OTP"/>
    <s v="Finalizada"/>
    <n v="20"/>
    <d v="2025-10-14T00:00:00"/>
    <d v="2025-10-15T00:00:00"/>
    <n v="82"/>
    <n v="21"/>
    <n v="5"/>
    <n v="0"/>
    <n v="0.3"/>
    <n v="1"/>
    <m/>
    <s v="Normal"/>
    <m/>
    <m/>
    <m/>
    <m/>
    <m/>
    <m/>
    <m/>
    <m/>
    <m/>
    <m/>
    <m/>
    <m/>
    <m/>
    <m/>
    <m/>
    <m/>
    <m/>
    <m/>
    <m/>
    <m/>
    <m/>
  </r>
  <r>
    <x v="3"/>
    <s v="STI-404"/>
    <m/>
    <s v="Create Accrual Batch to Get Bookings from Offline Channels"/>
    <s v="UAT"/>
    <n v="120"/>
    <d v="2025-11-28T00:00:00"/>
    <d v="2025-11-28T00:00:00"/>
    <n v="38"/>
    <n v="66"/>
    <n v="72"/>
    <n v="0"/>
    <n v="0.15"/>
    <n v="1"/>
    <m/>
    <s v="Normal"/>
    <m/>
    <m/>
    <m/>
    <m/>
    <m/>
    <m/>
    <m/>
    <m/>
    <m/>
    <m/>
    <m/>
    <m/>
    <m/>
    <m/>
    <m/>
    <m/>
    <m/>
    <m/>
    <m/>
    <m/>
    <m/>
  </r>
  <r>
    <x v="3"/>
    <s v="STI-1127"/>
    <s v="2910 / Arturo no ha podido probar"/>
    <s v="Cambiar comportamiento cuando el vuelo ya salió en /addAccrual"/>
    <s v="En  pausa"/>
    <n v="8"/>
    <d v="2025-10-31T00:00:00"/>
    <m/>
    <m/>
    <n v="8"/>
    <n v="0"/>
    <n v="0"/>
    <n v="0"/>
    <n v="0"/>
    <m/>
    <s v="Normal"/>
    <m/>
    <m/>
    <m/>
    <m/>
    <m/>
    <m/>
    <m/>
    <m/>
    <m/>
    <m/>
    <m/>
    <m/>
    <m/>
    <m/>
    <m/>
    <m/>
    <m/>
    <m/>
    <m/>
    <m/>
    <m/>
  </r>
  <r>
    <x v="3"/>
    <s v="STI-1163_x000a__x000a__x000a__x000a_"/>
    <s v="2111- Victor informa que el lunes 24 Julio y América responden  - Solicitaron hace 3 semanas a América"/>
    <s v="Configuración y Mejoras del Proceso de Consolidación Doters - SafetyPay Notification"/>
    <s v="Comentarios"/>
    <n v="24"/>
    <d v="2024-11-10T00:00:00"/>
    <m/>
    <m/>
    <n v="6"/>
    <n v="16"/>
    <n v="0"/>
    <n v="-8.3333333333333329E-2"/>
    <n v="0"/>
    <m/>
    <s v="Normal"/>
    <m/>
    <m/>
    <m/>
    <m/>
    <m/>
    <m/>
    <m/>
    <m/>
    <m/>
    <m/>
    <m/>
    <m/>
    <m/>
    <m/>
    <m/>
    <m/>
    <m/>
    <m/>
    <m/>
    <m/>
    <m/>
  </r>
  <r>
    <x v="3"/>
    <s v="STI-1172"/>
    <m/>
    <s v="Daily Meetings - Noviembre"/>
    <s v="Finalizada"/>
    <n v="9"/>
    <d v="2025-11-30T00:00:00"/>
    <d v="2025-11-30T00:00:00"/>
    <n v="36"/>
    <n v="0"/>
    <n v="9"/>
    <n v="0"/>
    <n v="0"/>
    <n v="0"/>
    <m/>
    <s v="Normal"/>
    <m/>
    <m/>
    <m/>
    <m/>
    <m/>
    <m/>
    <m/>
    <m/>
    <m/>
    <m/>
    <m/>
    <m/>
    <m/>
    <m/>
    <m/>
    <m/>
    <m/>
    <m/>
    <m/>
    <m/>
    <m/>
  </r>
  <r>
    <x v="3"/>
    <s v="STI-1225"/>
    <m/>
    <s v="Daily Meetings - Diciembre"/>
    <s v="Finalizada"/>
    <n v="10.5"/>
    <d v="2025-12-31T00:00:00"/>
    <d v="2025-12-31T00:00:00"/>
    <n v="5"/>
    <n v="0"/>
    <n v="0"/>
    <n v="10.5"/>
    <n v="0"/>
    <n v="0"/>
    <m/>
    <s v="Normal"/>
    <n v="0.5"/>
    <n v="0.5"/>
    <n v="0.5"/>
    <n v="0.5"/>
    <n v="0.5"/>
    <n v="0.5"/>
    <n v="0.5"/>
    <n v="0.5"/>
    <n v="0.5"/>
    <n v="0.5"/>
    <n v="0.5"/>
    <n v="0.5"/>
    <n v="0.5"/>
    <n v="0.5"/>
    <n v="0.5"/>
    <n v="0.5"/>
    <n v="0.5"/>
    <n v="0.5"/>
    <n v="0.5"/>
    <n v="0.5"/>
    <n v="0.5"/>
  </r>
  <r>
    <x v="3"/>
    <s v="STI-1185"/>
    <m/>
    <s v="Crear un filtro de currencies que son aceptadas por el AccrualAPI"/>
    <s v="Finalizada"/>
    <n v="16"/>
    <d v="2025-11-14T00:00:00"/>
    <d v="2025-11-13T00:00:00"/>
    <n v="53"/>
    <n v="0"/>
    <n v="16"/>
    <n v="0"/>
    <n v="0"/>
    <n v="1"/>
    <m/>
    <s v="Normal"/>
    <m/>
    <m/>
    <m/>
    <m/>
    <m/>
    <m/>
    <m/>
    <m/>
    <m/>
    <m/>
    <m/>
    <m/>
    <m/>
    <m/>
    <m/>
    <m/>
    <m/>
    <m/>
    <m/>
    <m/>
    <m/>
  </r>
  <r>
    <x v="3"/>
    <s v="STI-1211"/>
    <m/>
    <s v="Acumulando puntos de métodos de pago que no debería"/>
    <s v="UAT"/>
    <n v="16"/>
    <d v="2025-11-27T00:00:00"/>
    <d v="2025-11-28T00:00:00"/>
    <n v="38"/>
    <n v="0"/>
    <n v="8"/>
    <n v="0"/>
    <n v="-0.5"/>
    <n v="1"/>
    <m/>
    <s v="Normal"/>
    <m/>
    <m/>
    <m/>
    <m/>
    <m/>
    <m/>
    <m/>
    <m/>
    <m/>
    <m/>
    <m/>
    <m/>
    <m/>
    <m/>
    <m/>
    <m/>
    <m/>
    <m/>
    <m/>
    <m/>
    <m/>
  </r>
  <r>
    <x v="3"/>
    <s v="STI-1224_x000a__x000a__x000a__x000a_"/>
    <m/>
    <s v="Revisión de eventos de booking full que no están retornando datos"/>
    <s v="UAT"/>
    <n v="16"/>
    <d v="2025-12-03T00:00:00"/>
    <d v="2025-12-04T00:00:00"/>
    <n v="32"/>
    <n v="0"/>
    <n v="8"/>
    <n v="12"/>
    <n v="0.25"/>
    <n v="1"/>
    <m/>
    <s v="Normal"/>
    <n v="4"/>
    <n v="8"/>
    <m/>
    <m/>
    <m/>
    <m/>
    <m/>
    <m/>
    <m/>
    <m/>
    <m/>
    <m/>
    <m/>
    <m/>
    <m/>
    <m/>
    <m/>
    <m/>
    <m/>
    <m/>
    <m/>
  </r>
  <r>
    <x v="3"/>
    <s v="STI-1221_x000a__x000a__x000a__x000a_"/>
    <s v="Evitar enviar a acumular montos negativos"/>
    <s v="Evitar enviar a acumular montos negativos"/>
    <s v="Ready for prod"/>
    <n v="16"/>
    <d v="2025-12-03T00:00:00"/>
    <d v="2025-12-02T00:00:00"/>
    <n v="34"/>
    <n v="0"/>
    <n v="16"/>
    <n v="4"/>
    <n v="0.25"/>
    <n v="1"/>
    <m/>
    <s v="Normal"/>
    <n v="4"/>
    <m/>
    <m/>
    <m/>
    <m/>
    <m/>
    <m/>
    <m/>
    <m/>
    <m/>
    <m/>
    <m/>
    <m/>
    <m/>
    <m/>
    <m/>
    <m/>
    <m/>
    <m/>
    <m/>
    <m/>
  </r>
  <r>
    <x v="3"/>
    <s v="STI-1223_x000a__x000a__x000a__x000a_"/>
    <m/>
    <s v="Registrar cuando exista un error aparezcan en Datadog como Error"/>
    <s v="UAT"/>
    <n v="8"/>
    <d v="2025-12-05T00:00:00"/>
    <d v="2025-12-09T00:00:00"/>
    <n v="27"/>
    <n v="0"/>
    <n v="0"/>
    <n v="10"/>
    <n v="0.25"/>
    <n v="1"/>
    <m/>
    <s v="Normal"/>
    <m/>
    <m/>
    <n v="8"/>
    <n v="2"/>
    <m/>
    <m/>
    <m/>
    <m/>
    <m/>
    <m/>
    <m/>
    <m/>
    <m/>
    <m/>
    <m/>
    <m/>
    <m/>
    <m/>
    <m/>
    <m/>
    <m/>
  </r>
  <r>
    <x v="3"/>
    <s v="STI-1229_x000a__x000a__x000a__x000a_"/>
    <m/>
    <s v="Agregar el filtro de las monedas que se aceptan a /retroacclaim"/>
    <s v="UAT"/>
    <n v="3"/>
    <d v="2025-12-05T00:00:00"/>
    <d v="2025-12-05T00:00:00"/>
    <n v="31"/>
    <n v="0"/>
    <n v="0"/>
    <n v="3"/>
    <n v="0"/>
    <n v="1"/>
    <m/>
    <s v="Normal"/>
    <m/>
    <m/>
    <m/>
    <n v="3"/>
    <m/>
    <m/>
    <m/>
    <m/>
    <m/>
    <m/>
    <m/>
    <m/>
    <m/>
    <m/>
    <m/>
    <m/>
    <m/>
    <m/>
    <m/>
    <m/>
    <m/>
  </r>
  <r>
    <x v="3"/>
    <s v="STI-1222_x000a__x000a__x000a__x000a_"/>
    <m/>
    <s v="Guardar acumulaciones previo a ser procesadas por el /addAccrual en un SQS"/>
    <s v="UAT"/>
    <n v="16"/>
    <d v="2025-12-12T00:00:00"/>
    <d v="2025-12-11T00:00:00"/>
    <n v="25"/>
    <n v="0"/>
    <n v="0"/>
    <n v="20"/>
    <n v="0.25"/>
    <n v="1"/>
    <m/>
    <s v="Normal"/>
    <m/>
    <m/>
    <m/>
    <n v="3"/>
    <n v="8"/>
    <n v="8"/>
    <n v="1"/>
    <m/>
    <m/>
    <m/>
    <m/>
    <m/>
    <m/>
    <m/>
    <m/>
    <m/>
    <m/>
    <m/>
    <m/>
    <m/>
    <m/>
  </r>
  <r>
    <x v="3"/>
    <s v="STI-1236_x000a__x000a__x000a__x000a_"/>
    <m/>
    <s v="Crear trigger para cuando una acumulación este completa o cancelada se envié a la tabla de archived"/>
    <s v="UAT"/>
    <n v="24"/>
    <d v="2025-12-16T00:00:00"/>
    <d v="2025-12-18T00:00:00"/>
    <n v="18"/>
    <n v="0"/>
    <n v="0"/>
    <n v="31"/>
    <n v="0.29166666666666669"/>
    <n v="1"/>
    <m/>
    <s v="Normal"/>
    <m/>
    <m/>
    <m/>
    <m/>
    <m/>
    <m/>
    <n v="7"/>
    <n v="8"/>
    <n v="8"/>
    <n v="8"/>
    <m/>
    <m/>
    <m/>
    <m/>
    <m/>
    <m/>
    <m/>
    <m/>
    <m/>
    <m/>
    <m/>
  </r>
  <r>
    <x v="3"/>
    <s v="STI-1242"/>
    <m/>
    <s v="Crear webhook que actualice datos de clientes en Navitaire"/>
    <s v="Bloqueada"/>
    <n v="32"/>
    <m/>
    <m/>
    <m/>
    <n v="0"/>
    <n v="0"/>
    <n v="16"/>
    <n v="-0.5"/>
    <n v="0"/>
    <m/>
    <s v="Normal"/>
    <m/>
    <m/>
    <m/>
    <m/>
    <m/>
    <m/>
    <m/>
    <m/>
    <m/>
    <m/>
    <n v="8"/>
    <n v="8"/>
    <m/>
    <m/>
    <m/>
    <m/>
    <m/>
    <m/>
    <m/>
    <m/>
    <m/>
  </r>
  <r>
    <x v="3"/>
    <s v="STI-1260"/>
    <m/>
    <s v="Crear flujo de faul tolerance al momento de acumular"/>
    <s v="UAT"/>
    <n v="8"/>
    <d v="2025-12-19T00:00:00"/>
    <d v="2025-12-18T00:00:00"/>
    <n v="18"/>
    <n v="0"/>
    <n v="0"/>
    <n v="8"/>
    <n v="0"/>
    <n v="1"/>
    <m/>
    <s v="Normal"/>
    <m/>
    <m/>
    <m/>
    <m/>
    <m/>
    <m/>
    <m/>
    <m/>
    <m/>
    <m/>
    <m/>
    <m/>
    <n v="8"/>
    <m/>
    <m/>
    <m/>
    <m/>
    <m/>
    <m/>
    <m/>
    <m/>
  </r>
  <r>
    <x v="3"/>
    <s v="STI-1263"/>
    <m/>
    <s v="Modificar el endpoint de SQS"/>
    <s v="En Curso"/>
    <n v="8"/>
    <d v="2025-12-22T00:00:00"/>
    <m/>
    <m/>
    <n v="0"/>
    <n v="0"/>
    <n v="0"/>
    <n v="-1"/>
    <n v="0"/>
    <m/>
    <s v="Normal"/>
    <m/>
    <m/>
    <m/>
    <m/>
    <m/>
    <m/>
    <m/>
    <m/>
    <m/>
    <m/>
    <m/>
    <m/>
    <m/>
    <m/>
    <m/>
    <m/>
    <m/>
    <m/>
    <m/>
    <m/>
    <m/>
  </r>
  <r>
    <x v="3"/>
    <s v="STI-1263"/>
    <m/>
    <s v="Modificar el endpoint de SQS"/>
    <s v="UAT"/>
    <n v="8"/>
    <d v="2025-12-22T00:00:00"/>
    <d v="2025-12-23T00:00:00"/>
    <n v="13"/>
    <n v="0"/>
    <n v="0"/>
    <n v="8"/>
    <n v="0"/>
    <n v="1"/>
    <m/>
    <s v="Normal"/>
    <m/>
    <m/>
    <m/>
    <m/>
    <m/>
    <m/>
    <m/>
    <m/>
    <m/>
    <m/>
    <m/>
    <m/>
    <m/>
    <n v="8"/>
    <m/>
    <m/>
    <m/>
    <m/>
    <m/>
    <m/>
    <m/>
  </r>
  <r>
    <x v="3"/>
    <s v="STI-1261"/>
    <m/>
    <s v="Crear lambda de enqueue para encolar acumulaciones de Posgres"/>
    <s v="UAT"/>
    <n v="32"/>
    <d v="2025-12-26T00:00:00"/>
    <d v="2025-12-26T00:00:00"/>
    <n v="10"/>
    <n v="0"/>
    <n v="0"/>
    <n v="32"/>
    <n v="0"/>
    <n v="1"/>
    <m/>
    <s v="Normal"/>
    <m/>
    <m/>
    <m/>
    <m/>
    <m/>
    <m/>
    <m/>
    <m/>
    <m/>
    <m/>
    <m/>
    <m/>
    <m/>
    <m/>
    <n v="8"/>
    <n v="8"/>
    <n v="8"/>
    <n v="8"/>
    <m/>
    <m/>
    <m/>
  </r>
  <r>
    <x v="3"/>
    <s v="STI-1262"/>
    <m/>
    <s v="Modificar accrualBatch para procesar registros del SQS"/>
    <s v="En Curso"/>
    <n v="36"/>
    <d v="2026-01-05T00:00:00"/>
    <m/>
    <m/>
    <n v="0"/>
    <n v="0"/>
    <n v="24"/>
    <n v="-0.33333333333333331"/>
    <n v="0"/>
    <m/>
    <s v="Normal"/>
    <m/>
    <m/>
    <m/>
    <m/>
    <m/>
    <m/>
    <m/>
    <m/>
    <m/>
    <m/>
    <m/>
    <m/>
    <m/>
    <m/>
    <m/>
    <m/>
    <m/>
    <m/>
    <n v="8"/>
    <n v="8"/>
    <n v="8"/>
  </r>
  <r>
    <x v="4"/>
    <s v="STI-173"/>
    <s v="No hay comentarios desde  julio"/>
    <s v="[P2P] - New service booking peer2peer"/>
    <s v="Ready for prod"/>
    <n v="108.5"/>
    <d v="2025-04-25T00:00:00"/>
    <d v="2025-08-19T00:00:00"/>
    <n v="139"/>
    <n v="119"/>
    <n v="0"/>
    <n v="3"/>
    <n v="0.12442396313364056"/>
    <n v="1"/>
    <m/>
    <s v="Normal"/>
    <m/>
    <m/>
    <m/>
    <m/>
    <m/>
    <m/>
    <m/>
    <m/>
    <n v="3"/>
    <m/>
    <m/>
    <m/>
    <m/>
    <m/>
    <m/>
    <m/>
    <m/>
    <m/>
    <m/>
    <m/>
    <m/>
  </r>
  <r>
    <x v="4"/>
    <s v="STI-228"/>
    <s v="3110 desplegado en producción  -Se solicitó cambio de alcance 16/10 - 20/10 integrar lo que hizo Kenny / 09/10/2025"/>
    <s v="[Apartados] Transactions - Booking cancellation"/>
    <s v="OPS"/>
    <n v="60"/>
    <d v="2025-10-21T00:00:00"/>
    <d v="2025-10-09T00:00:00"/>
    <n v="88"/>
    <n v="76.5"/>
    <n v="0"/>
    <n v="0"/>
    <n v="0.27500000000000002"/>
    <n v="8"/>
    <m/>
    <s v="Normal"/>
    <m/>
    <m/>
    <m/>
    <m/>
    <m/>
    <m/>
    <m/>
    <m/>
    <m/>
    <m/>
    <m/>
    <m/>
    <m/>
    <m/>
    <m/>
    <m/>
    <m/>
    <m/>
    <m/>
    <m/>
    <m/>
  </r>
  <r>
    <x v="4"/>
    <s v="STI-739"/>
    <s v="14/08 Observación de francisco: funcionando segun lo esperado"/>
    <s v="[Transfer] Actualización de Dispatcher"/>
    <s v="UAT"/>
    <n v="4"/>
    <d v="2025-07-31T00:00:00"/>
    <d v="2025-08-01T00:00:00"/>
    <n v="157"/>
    <n v="1"/>
    <n v="0"/>
    <n v="0"/>
    <n v="-0.75"/>
    <n v="1"/>
    <m/>
    <s v="Normal"/>
    <m/>
    <m/>
    <m/>
    <m/>
    <m/>
    <m/>
    <m/>
    <m/>
    <m/>
    <m/>
    <m/>
    <m/>
    <m/>
    <m/>
    <m/>
    <m/>
    <m/>
    <m/>
    <m/>
    <m/>
    <m/>
  </r>
  <r>
    <x v="4"/>
    <s v="STI-742"/>
    <m/>
    <s v="Daily Meetings - Agosto"/>
    <s v="Finalizada"/>
    <n v="10"/>
    <d v="2025-08-31T00:00:00"/>
    <d v="2025-08-31T00:00:00"/>
    <m/>
    <n v="9.5"/>
    <n v="0"/>
    <n v="0"/>
    <n v="-0.05"/>
    <n v="0"/>
    <m/>
    <s v="Normal"/>
    <m/>
    <m/>
    <m/>
    <m/>
    <m/>
    <m/>
    <m/>
    <m/>
    <m/>
    <m/>
    <m/>
    <m/>
    <m/>
    <m/>
    <m/>
    <m/>
    <m/>
    <m/>
    <m/>
    <m/>
    <m/>
  </r>
  <r>
    <x v="4"/>
    <s v="STI-748"/>
    <s v="14/08 se transfiere a Adrian para revisión "/>
    <s v="[P2P] Transfer Initiate - Check Transfer Queue"/>
    <s v="UAT"/>
    <n v="12"/>
    <d v="2025-08-06T00:00:00"/>
    <d v="2025-08-05T00:00:00"/>
    <n v="153"/>
    <n v="13"/>
    <n v="0"/>
    <n v="0"/>
    <n v="8.3333333333333329E-2"/>
    <n v="1"/>
    <m/>
    <s v="Normal"/>
    <m/>
    <m/>
    <m/>
    <m/>
    <m/>
    <m/>
    <m/>
    <m/>
    <m/>
    <m/>
    <m/>
    <m/>
    <m/>
    <m/>
    <m/>
    <m/>
    <m/>
    <m/>
    <m/>
    <m/>
    <m/>
  </r>
  <r>
    <x v="4"/>
    <s v="STI-758"/>
    <m/>
    <s v="[Special events] Update num tickets"/>
    <s v="Finalizada"/>
    <n v="5"/>
    <d v="2025-08-06T00:00:00"/>
    <d v="2025-08-08T00:00:00"/>
    <m/>
    <n v="5"/>
    <n v="0"/>
    <n v="0"/>
    <n v="0"/>
    <n v="0"/>
    <m/>
    <s v="Normal"/>
    <m/>
    <m/>
    <m/>
    <m/>
    <m/>
    <m/>
    <m/>
    <m/>
    <m/>
    <m/>
    <m/>
    <m/>
    <m/>
    <m/>
    <m/>
    <m/>
    <m/>
    <m/>
    <m/>
    <m/>
    <m/>
  </r>
  <r>
    <x v="4"/>
    <s v="STI-235"/>
    <s v="01/10 cambio de alcance asignado a Belem"/>
    <s v="[ReverseCreditCard] VB Transactions"/>
    <s v="OPS"/>
    <n v="42"/>
    <d v="2025-10-07T00:00:00"/>
    <d v="2025-10-03T00:00:00"/>
    <n v="94"/>
    <n v="46"/>
    <n v="0"/>
    <n v="0"/>
    <n v="9.5238095238095233E-2"/>
    <n v="2"/>
    <m/>
    <s v="Normal"/>
    <m/>
    <m/>
    <m/>
    <m/>
    <m/>
    <m/>
    <m/>
    <m/>
    <m/>
    <m/>
    <m/>
    <m/>
    <m/>
    <m/>
    <m/>
    <m/>
    <m/>
    <m/>
    <m/>
    <m/>
    <m/>
  </r>
  <r>
    <x v="4"/>
    <s v="STI-778"/>
    <s v="25/08 ticket en testing por Adrián"/>
    <s v="[Transactions] - Automatización en proceso de reenvio de VivaGifts"/>
    <s v="En revisión"/>
    <n v="38"/>
    <d v="2025-08-11T00:00:00"/>
    <d v="2025-08-25T00:00:00"/>
    <n v="133"/>
    <n v="39"/>
    <n v="0"/>
    <n v="0"/>
    <n v="2.6315789473684209E-2"/>
    <n v="1"/>
    <m/>
    <s v="Normal"/>
    <m/>
    <m/>
    <m/>
    <m/>
    <m/>
    <m/>
    <m/>
    <m/>
    <m/>
    <m/>
    <m/>
    <m/>
    <m/>
    <m/>
    <m/>
    <m/>
    <m/>
    <m/>
    <m/>
    <m/>
    <m/>
  </r>
  <r>
    <x v="4"/>
    <s v="STI-785"/>
    <m/>
    <s v="[Eventos] Raiders - número de boletos"/>
    <s v="Finalizada"/>
    <n v="1"/>
    <d v="2025-08-12T00:00:00"/>
    <d v="2025-08-12T00:00:00"/>
    <m/>
    <n v="1"/>
    <n v="0"/>
    <n v="0"/>
    <n v="0"/>
    <n v="1"/>
    <m/>
    <s v="Normal"/>
    <m/>
    <m/>
    <m/>
    <m/>
    <m/>
    <m/>
    <m/>
    <m/>
    <m/>
    <m/>
    <m/>
    <m/>
    <m/>
    <m/>
    <m/>
    <m/>
    <m/>
    <m/>
    <m/>
    <m/>
    <m/>
  </r>
  <r>
    <x v="4"/>
    <s v="STI-850"/>
    <m/>
    <s v="Pipeline Especial Events"/>
    <s v="Finalizada"/>
    <n v="11"/>
    <d v="2025-08-21T00:00:00"/>
    <d v="2025-08-26T00:00:00"/>
    <m/>
    <n v="12"/>
    <n v="0"/>
    <n v="0"/>
    <n v="9.0909090909090912E-2"/>
    <n v="1"/>
    <m/>
    <s v="Normal"/>
    <m/>
    <m/>
    <m/>
    <m/>
    <m/>
    <m/>
    <m/>
    <m/>
    <m/>
    <m/>
    <m/>
    <m/>
    <m/>
    <m/>
    <m/>
    <m/>
    <m/>
    <m/>
    <m/>
    <m/>
    <m/>
  </r>
  <r>
    <x v="4"/>
    <s v="STI-604"/>
    <s v="16/10 En revisión por Adrián (tuvo un cambio de alcance registrado el "/>
    <s v="[Tren Maya] - Dispatcher commitTrainBooking"/>
    <s v="En revisión"/>
    <n v="46"/>
    <d v="2025-09-23T00:00:00"/>
    <d v="2025-09-25T00:00:00"/>
    <n v="102"/>
    <n v="56"/>
    <n v="0"/>
    <n v="0"/>
    <n v="0.21739130434782608"/>
    <n v="2"/>
    <m/>
    <s v="Normal"/>
    <m/>
    <m/>
    <m/>
    <m/>
    <m/>
    <m/>
    <m/>
    <m/>
    <m/>
    <m/>
    <m/>
    <m/>
    <m/>
    <m/>
    <m/>
    <m/>
    <m/>
    <m/>
    <m/>
    <m/>
    <m/>
  </r>
  <r>
    <x v="4"/>
    <s v="STI-866"/>
    <s v="09/10 Feature publicado en producción"/>
    <s v="[Transactions] - Soportar nuevo type para Total Refund y manejo de ZSPOIL en nuevo FEE"/>
    <s v="OPS"/>
    <n v="34"/>
    <d v="2025-09-09T00:00:00"/>
    <d v="2025-09-09T00:00:00"/>
    <n v="118"/>
    <n v="41"/>
    <n v="0"/>
    <n v="0"/>
    <n v="0.20588235294117646"/>
    <n v="3"/>
    <m/>
    <s v="Normal"/>
    <m/>
    <m/>
    <m/>
    <m/>
    <m/>
    <m/>
    <m/>
    <m/>
    <m/>
    <m/>
    <m/>
    <m/>
    <m/>
    <m/>
    <m/>
    <m/>
    <m/>
    <m/>
    <m/>
    <m/>
    <m/>
  </r>
  <r>
    <x v="4"/>
    <s v="STI-868"/>
    <s v="20/10 Se bloquea el ticket en espera de que se resuelvan los TBD y estén disponibles los servicios nfTicket"/>
    <s v="[Waiting list] - Ajustes en transactions"/>
    <s v="Bloqueado"/>
    <n v="40"/>
    <d v="2025-10-31T00:00:00"/>
    <m/>
    <n v="46027"/>
    <n v="44"/>
    <n v="0"/>
    <n v="0"/>
    <n v="0.1"/>
    <n v="0"/>
    <m/>
    <s v="Normal"/>
    <m/>
    <m/>
    <m/>
    <m/>
    <m/>
    <m/>
    <m/>
    <m/>
    <m/>
    <m/>
    <m/>
    <m/>
    <m/>
    <m/>
    <m/>
    <m/>
    <m/>
    <m/>
    <m/>
    <m/>
    <m/>
  </r>
  <r>
    <x v="4"/>
    <s v="STI-893"/>
    <m/>
    <s v="Daily Meetings - Septiembre"/>
    <s v="Finalizada"/>
    <n v="11"/>
    <d v="2025-09-30T00:00:00"/>
    <d v="2025-09-30T00:00:00"/>
    <m/>
    <n v="11"/>
    <n v="0"/>
    <n v="0"/>
    <n v="0"/>
    <n v="0"/>
    <m/>
    <s v="Normal"/>
    <m/>
    <m/>
    <m/>
    <m/>
    <m/>
    <m/>
    <m/>
    <m/>
    <m/>
    <m/>
    <m/>
    <m/>
    <m/>
    <m/>
    <m/>
    <m/>
    <m/>
    <m/>
    <m/>
    <m/>
    <m/>
  </r>
  <r>
    <x v="4"/>
    <s v="STI-961"/>
    <m/>
    <s v="Apoyo en ticket de Flight Status Information"/>
    <s v="Finalizada"/>
    <n v="4"/>
    <d v="2025-09-17T00:00:00"/>
    <d v="2025-09-17T00:00:00"/>
    <m/>
    <n v="4"/>
    <n v="0"/>
    <n v="0"/>
    <n v="0"/>
    <n v="1"/>
    <m/>
    <s v="Normal"/>
    <m/>
    <m/>
    <m/>
    <m/>
    <m/>
    <m/>
    <m/>
    <m/>
    <m/>
    <m/>
    <m/>
    <m/>
    <m/>
    <m/>
    <m/>
    <m/>
    <m/>
    <m/>
    <m/>
    <m/>
    <m/>
  </r>
  <r>
    <x v="4"/>
    <s v="STI-867"/>
    <s v="3110 Feature publicado en producción - 09/10 El día 08-10 se solicitó un cambio en el ticket relacionado al balanceo de la nueva reserva, el fee de asientos y el manejo de discrepancias entre lo pagado por el dueño original y lo que se refleja en la nueva reserva.- Asignado a Adrián"/>
    <s v="[Transfer &amp; P2P] - Ajustes"/>
    <s v="OPS"/>
    <n v="41"/>
    <d v="2025-10-08T00:00:00"/>
    <d v="2025-10-08T00:00:00"/>
    <n v="89"/>
    <n v="52"/>
    <n v="0"/>
    <n v="0"/>
    <n v="0.26829268292682928"/>
    <n v="3"/>
    <m/>
    <s v="Normal"/>
    <m/>
    <m/>
    <m/>
    <m/>
    <m/>
    <m/>
    <m/>
    <m/>
    <m/>
    <m/>
    <m/>
    <m/>
    <m/>
    <m/>
    <m/>
    <m/>
    <m/>
    <m/>
    <m/>
    <m/>
    <m/>
  </r>
  <r>
    <x v="4"/>
    <s v="STI-780"/>
    <s v="3010/ Se aumenta en 2 horas la estimación original debido a reuniones con Nathaly y luego Arturo en la que se conversó sobre el tema de Vouchers "/>
    <s v="[Transactions] - Procesar reservas pagadas con Vouchers para generar vivaCash"/>
    <s v="En revisión"/>
    <n v="26"/>
    <d v="2025-10-28T00:00:00"/>
    <d v="2025-10-29T00:00:00"/>
    <n v="68"/>
    <n v="32.5"/>
    <n v="0"/>
    <n v="0"/>
    <n v="0.25"/>
    <n v="1"/>
    <m/>
    <s v="Normal"/>
    <m/>
    <m/>
    <m/>
    <m/>
    <m/>
    <m/>
    <m/>
    <m/>
    <m/>
    <m/>
    <m/>
    <m/>
    <m/>
    <m/>
    <m/>
    <m/>
    <m/>
    <m/>
    <m/>
    <m/>
    <m/>
  </r>
  <r>
    <x v="4"/>
    <s v="STI-1009"/>
    <s v="09/10 Ticket publicado en producción_x000a__x000a__x000a__x000a__x000a__x000a_"/>
    <s v="[TotalRefund] - Transactions reimbursement emails for totalrefund"/>
    <s v="OPS"/>
    <n v="38"/>
    <d v="2025-09-29T00:00:00"/>
    <d v="2025-09-29T00:00:00"/>
    <n v="98"/>
    <n v="38"/>
    <n v="0"/>
    <n v="0"/>
    <n v="0"/>
    <n v="1"/>
    <m/>
    <s v="Normal"/>
    <m/>
    <m/>
    <m/>
    <m/>
    <m/>
    <m/>
    <m/>
    <m/>
    <m/>
    <m/>
    <m/>
    <m/>
    <m/>
    <m/>
    <m/>
    <m/>
    <m/>
    <m/>
    <m/>
    <m/>
    <m/>
  </r>
  <r>
    <x v="4"/>
    <s v="STI-1058"/>
    <m/>
    <s v="Daily Meetings - Octubre"/>
    <s v="Finalizada"/>
    <n v="11"/>
    <d v="2025-10-31T00:00:00"/>
    <d v="2025-10-31T00:00:00"/>
    <m/>
    <n v="10.5"/>
    <n v="0"/>
    <n v="0"/>
    <n v="-4.5454545454545456E-2"/>
    <n v="0"/>
    <m/>
    <s v="Normal"/>
    <m/>
    <m/>
    <m/>
    <m/>
    <m/>
    <m/>
    <m/>
    <m/>
    <m/>
    <m/>
    <m/>
    <m/>
    <m/>
    <m/>
    <m/>
    <m/>
    <m/>
    <m/>
    <m/>
    <m/>
    <m/>
  </r>
  <r>
    <x v="4"/>
    <s v="STI-1102"/>
    <s v="3110- Feature desplegado en producción -22/10 se realizan ajustes y se coloca en test"/>
    <s v="[Transfer] Ajustes en fees y debug de breakdown"/>
    <s v="OPS"/>
    <n v="25"/>
    <d v="2025-10-24T00:00:00"/>
    <d v="2025-10-20T00:00:00"/>
    <n v="77"/>
    <n v="22"/>
    <n v="0"/>
    <n v="2"/>
    <n v="-0.04"/>
    <n v="1"/>
    <m/>
    <s v="Normal"/>
    <n v="2"/>
    <m/>
    <m/>
    <m/>
    <m/>
    <m/>
    <m/>
    <m/>
    <m/>
    <m/>
    <m/>
    <m/>
    <m/>
    <m/>
    <m/>
    <m/>
    <m/>
    <m/>
    <m/>
    <m/>
    <m/>
  </r>
  <r>
    <x v="4"/>
    <s v="STI-1117"/>
    <s v="2210 - se crea script Felix"/>
    <s v="[Special Events] Generar sql para RAIDEN25"/>
    <s v="Cerrada"/>
    <n v="2"/>
    <d v="2025-10-24T00:00:00"/>
    <d v="2025-10-22T00:00:00"/>
    <n v="75"/>
    <n v="2"/>
    <n v="0"/>
    <n v="0"/>
    <n v="0"/>
    <n v="1"/>
    <m/>
    <s v="Normal"/>
    <m/>
    <m/>
    <m/>
    <m/>
    <m/>
    <m/>
    <m/>
    <m/>
    <m/>
    <m/>
    <m/>
    <m/>
    <m/>
    <m/>
    <m/>
    <m/>
    <m/>
    <m/>
    <m/>
    <m/>
    <m/>
  </r>
  <r>
    <x v="4"/>
    <s v="STI-1140"/>
    <s v="3110/ Se pausa el desarrollo del feature por cambio de prioridad - Belem"/>
    <s v="[CommentsDB] - Tabla y servicios para almacenamiento de comentarios"/>
    <s v="En revisión"/>
    <n v="32"/>
    <d v="2025-11-05T00:00:00"/>
    <d v="2025-11-07T00:00:00"/>
    <n v="59"/>
    <n v="23"/>
    <n v="16"/>
    <n v="0"/>
    <n v="0.21875"/>
    <n v="1"/>
    <m/>
    <s v="Normal"/>
    <m/>
    <m/>
    <m/>
    <m/>
    <m/>
    <m/>
    <m/>
    <m/>
    <m/>
    <m/>
    <m/>
    <m/>
    <m/>
    <m/>
    <m/>
    <m/>
    <m/>
    <m/>
    <m/>
    <m/>
    <m/>
  </r>
  <r>
    <x v="4"/>
    <s v="STI-1115"/>
    <s v="2210 - Se realiza el ajuste en el comentario de la reserva y se prueba en ambiente test. - Reportado por Adrián - Resuelto por Félix, "/>
    <s v="[TotalRefund] - Adjust TotalRefund comment - remove marketplace"/>
    <s v="OPS"/>
    <n v="1"/>
    <d v="2025-10-22T00:00:00"/>
    <d v="2025-10-22T00:00:00"/>
    <n v="75"/>
    <n v="1"/>
    <n v="0"/>
    <n v="0"/>
    <n v="0"/>
    <n v="1"/>
    <m/>
    <s v="Normal"/>
    <m/>
    <m/>
    <m/>
    <m/>
    <m/>
    <m/>
    <m/>
    <m/>
    <m/>
    <m/>
    <m/>
    <m/>
    <m/>
    <m/>
    <m/>
    <m/>
    <m/>
    <m/>
    <m/>
    <m/>
    <m/>
  </r>
  <r>
    <x v="4"/>
    <s v="STI-1154"/>
    <s v="3010/ Reportado por Belem"/>
    <s v="Envío Correos - Fe erratas"/>
    <s v="OPS"/>
    <n v="3"/>
    <d v="2025-10-30T00:00:00"/>
    <d v="2025-10-30T00:00:00"/>
    <n v="67"/>
    <n v="3"/>
    <n v="0"/>
    <n v="0"/>
    <n v="0"/>
    <n v="1"/>
    <m/>
    <s v="Normal"/>
    <m/>
    <m/>
    <m/>
    <m/>
    <m/>
    <m/>
    <m/>
    <m/>
    <m/>
    <m/>
    <m/>
    <m/>
    <m/>
    <m/>
    <m/>
    <m/>
    <m/>
    <m/>
    <m/>
    <m/>
    <m/>
  </r>
  <r>
    <x v="4"/>
    <s v="STI-1118"/>
    <s v="2310 - Se completó la actualización de fees en la que se toma el valor de reembolso en negativo y luego se balancea la reserva con el fee ZREEMT."/>
    <s v="[TotalRefund] Fees logic update"/>
    <s v="En revisión"/>
    <n v="4"/>
    <d v="2025-10-22T00:00:00"/>
    <d v="2025-10-22T00:00:00"/>
    <n v="75"/>
    <n v="5"/>
    <n v="0"/>
    <n v="0"/>
    <n v="0.25"/>
    <n v="1"/>
    <m/>
    <s v="Normal"/>
    <m/>
    <m/>
    <m/>
    <m/>
    <m/>
    <m/>
    <m/>
    <m/>
    <m/>
    <m/>
    <m/>
    <m/>
    <m/>
    <m/>
    <m/>
    <m/>
    <m/>
    <m/>
    <m/>
    <m/>
    <m/>
  </r>
  <r>
    <x v="4"/>
    <s v="STI-1155"/>
    <s v="3110- En revisión - Feature publicado en test"/>
    <s v="[Apartados] Transactions Vivacash sin customerNumber_x000a__x000a__x000a__x000a_"/>
    <s v="OPS"/>
    <n v="16"/>
    <d v="2025-11-03T00:00:00"/>
    <d v="2025-10-31T00:00:00"/>
    <n v="66"/>
    <n v="6"/>
    <n v="0"/>
    <n v="0"/>
    <n v="-0.625"/>
    <n v="1"/>
    <m/>
    <s v="Normal"/>
    <m/>
    <m/>
    <m/>
    <m/>
    <m/>
    <m/>
    <m/>
    <m/>
    <m/>
    <m/>
    <m/>
    <m/>
    <m/>
    <m/>
    <m/>
    <m/>
    <m/>
    <m/>
    <m/>
    <m/>
    <m/>
  </r>
  <r>
    <x v="4"/>
    <s v="STI-1172"/>
    <m/>
    <s v="Daily Meetings - Noviembre"/>
    <s v="Finalizada"/>
    <n v="9"/>
    <d v="2025-11-30T00:00:00"/>
    <d v="2025-11-30T00:00:00"/>
    <m/>
    <n v="0"/>
    <n v="9"/>
    <n v="0"/>
    <n v="0"/>
    <n v="0"/>
    <m/>
    <s v="Normal"/>
    <m/>
    <m/>
    <m/>
    <m/>
    <m/>
    <m/>
    <m/>
    <m/>
    <m/>
    <m/>
    <m/>
    <m/>
    <m/>
    <m/>
    <m/>
    <m/>
    <m/>
    <m/>
    <m/>
    <m/>
    <m/>
  </r>
  <r>
    <x v="4"/>
    <s v="STI-1225"/>
    <m/>
    <s v="Daily Meetings - Diciembre"/>
    <s v="Finalizada"/>
    <n v="10.5"/>
    <d v="2025-12-31T00:00:00"/>
    <d v="2025-12-31T00:00:00"/>
    <n v="5"/>
    <n v="0"/>
    <n v="0"/>
    <n v="9.5"/>
    <n v="-9.5238095238095233E-2"/>
    <n v="0"/>
    <m/>
    <s v="Normal"/>
    <n v="0.5"/>
    <n v="0.5"/>
    <n v="0.5"/>
    <n v="0.5"/>
    <n v="0.5"/>
    <n v="0.5"/>
    <n v="0.5"/>
    <n v="0.5"/>
    <n v="0.5"/>
    <n v="0.5"/>
    <n v="0.5"/>
    <n v="0.5"/>
    <n v="0.5"/>
    <n v="0.5"/>
    <n v="0.5"/>
    <n v="0.5"/>
    <n v="0.5"/>
    <n v="0.5"/>
    <m/>
    <m/>
    <n v="0.5"/>
  </r>
  <r>
    <x v="4"/>
    <s v="STI-1173"/>
    <s v="0411 - Se reporta como error sin embargo no está contemplado el proceso de devolución de reembolsos, se cambia a HU porque es un cambio de alcance"/>
    <s v="Transactions - Error en amount en petición a compensation"/>
    <s v="OPS"/>
    <n v="4"/>
    <d v="2025-11-05T00:00:00"/>
    <d v="2025-11-04T00:00:00"/>
    <n v="62"/>
    <n v="0"/>
    <n v="2"/>
    <n v="0"/>
    <n v="-0.5"/>
    <n v="1"/>
    <m/>
    <s v="Normal"/>
    <m/>
    <m/>
    <m/>
    <m/>
    <m/>
    <m/>
    <m/>
    <m/>
    <m/>
    <m/>
    <m/>
    <m/>
    <m/>
    <m/>
    <m/>
    <m/>
    <m/>
    <m/>
    <m/>
    <m/>
    <m/>
  </r>
  <r>
    <x v="4"/>
    <s v="STI-1174"/>
    <s v="07/11 falta estimación "/>
    <s v="[MMB] Envío de correo de compensaciones"/>
    <s v="En revisión"/>
    <n v="10"/>
    <d v="2025-11-10T00:00:00"/>
    <d v="2025-11-07T00:00:00"/>
    <n v="59"/>
    <n v="0"/>
    <n v="12"/>
    <n v="0"/>
    <n v="0.2"/>
    <n v="1"/>
    <m/>
    <s v="Normal"/>
    <m/>
    <m/>
    <m/>
    <m/>
    <m/>
    <m/>
    <m/>
    <m/>
    <m/>
    <m/>
    <m/>
    <m/>
    <m/>
    <m/>
    <m/>
    <m/>
    <m/>
    <m/>
    <m/>
    <m/>
    <m/>
  </r>
  <r>
    <x v="4"/>
    <s v="STI-1175"/>
    <m/>
    <s v="Reenvio de correo de compensación utilizando servicio y template de TX"/>
    <s v="En revisión"/>
    <n v="28"/>
    <d v="2025-11-14T00:00:00"/>
    <d v="2025-11-18T00:00:00"/>
    <n v="48"/>
    <n v="0"/>
    <n v="32"/>
    <n v="0"/>
    <n v="0.14285714285714285"/>
    <n v="1"/>
    <m/>
    <s v="Normal"/>
    <m/>
    <m/>
    <m/>
    <m/>
    <m/>
    <m/>
    <m/>
    <m/>
    <m/>
    <m/>
    <m/>
    <m/>
    <m/>
    <m/>
    <m/>
    <m/>
    <m/>
    <m/>
    <m/>
    <m/>
    <m/>
  </r>
  <r>
    <x v="4"/>
    <s v="STI-1176"/>
    <m/>
    <s v="[VivaCandy] - Revisar servicio booking/cancelHotel"/>
    <s v="Finalizada"/>
    <n v="12"/>
    <d v="2025-11-27T00:00:00"/>
    <d v="2025-11-27T00:00:00"/>
    <m/>
    <n v="0"/>
    <n v="12"/>
    <n v="0"/>
    <n v="0"/>
    <n v="1"/>
    <m/>
    <s v="Normal"/>
    <m/>
    <m/>
    <m/>
    <m/>
    <m/>
    <m/>
    <m/>
    <m/>
    <m/>
    <m/>
    <m/>
    <m/>
    <m/>
    <m/>
    <m/>
    <m/>
    <m/>
    <m/>
    <m/>
    <m/>
    <m/>
  </r>
  <r>
    <x v="4"/>
    <s v="STI-1192"/>
    <m/>
    <s v="[TuaAliado] - Notificar cuando el TUA ya ha sido pagado"/>
    <s v="Ready for prod"/>
    <n v="26"/>
    <d v="2025-11-20T00:00:00"/>
    <d v="2025-11-21T00:00:00"/>
    <n v="45"/>
    <n v="0"/>
    <n v="24"/>
    <n v="8"/>
    <n v="0.23076923076923078"/>
    <n v="1"/>
    <m/>
    <s v="Normal"/>
    <m/>
    <n v="1"/>
    <n v="3"/>
    <m/>
    <m/>
    <n v="4"/>
    <m/>
    <m/>
    <m/>
    <m/>
    <m/>
    <m/>
    <m/>
    <m/>
    <m/>
    <m/>
    <m/>
    <m/>
    <m/>
    <m/>
    <m/>
  </r>
  <r>
    <x v="4"/>
    <s v="STI-1206"/>
    <m/>
    <s v="[Apartados] Cambios en transactions"/>
    <s v="En revisión"/>
    <n v="32"/>
    <d v="2025-11-24T00:00:00"/>
    <d v="2025-11-24T00:00:00"/>
    <n v="42"/>
    <n v="0"/>
    <n v="28"/>
    <n v="11"/>
    <n v="0.21875"/>
    <n v="2"/>
    <m/>
    <s v="Normal"/>
    <m/>
    <m/>
    <m/>
    <m/>
    <m/>
    <n v="3"/>
    <m/>
    <n v="8"/>
    <m/>
    <m/>
    <m/>
    <m/>
    <m/>
    <m/>
    <m/>
    <m/>
    <m/>
    <m/>
    <m/>
    <m/>
    <m/>
  </r>
  <r>
    <x v="4"/>
    <s v="STI-1219"/>
    <m/>
    <s v="[Transfer] Debug y reprocesamiento de reservas"/>
    <s v="Finalizada"/>
    <n v="6"/>
    <d v="2025-11-28T00:00:00"/>
    <d v="2025-11-28T00:00:00"/>
    <m/>
    <n v="0"/>
    <n v="6"/>
    <n v="0"/>
    <n v="0"/>
    <n v="0"/>
    <m/>
    <s v="Normal"/>
    <m/>
    <m/>
    <m/>
    <m/>
    <m/>
    <m/>
    <m/>
    <m/>
    <m/>
    <m/>
    <m/>
    <m/>
    <m/>
    <m/>
    <m/>
    <m/>
    <m/>
    <m/>
    <m/>
    <m/>
    <m/>
  </r>
  <r>
    <x v="4"/>
    <s v="STI-1220"/>
    <m/>
    <s v="[ViajaFacil] Transferencia de conocimiento a Reynaldo y asistencia en reunión con equipo ODM"/>
    <s v="Finalizada"/>
    <n v="8"/>
    <d v="2025-12-01T00:00:00"/>
    <d v="2025-12-01T00:00:00"/>
    <m/>
    <n v="0"/>
    <n v="2"/>
    <n v="0"/>
    <n v="-0.75"/>
    <n v="1"/>
    <m/>
    <s v="Normal"/>
    <m/>
    <m/>
    <m/>
    <m/>
    <m/>
    <m/>
    <m/>
    <m/>
    <m/>
    <m/>
    <m/>
    <m/>
    <m/>
    <m/>
    <m/>
    <m/>
    <m/>
    <m/>
    <m/>
    <m/>
    <m/>
  </r>
  <r>
    <x v="4"/>
    <s v="STI-1144"/>
    <m/>
    <s v="[Hopper]Evento de Compra de Seguro HTS"/>
    <s v="En revisión"/>
    <n v="46"/>
    <d v="2025-12-22T00:00:00"/>
    <d v="2025-12-26T00:00:00"/>
    <n v="40"/>
    <n v="0"/>
    <n v="4"/>
    <n v="50"/>
    <n v="0.17391304347826086"/>
    <n v="1"/>
    <m/>
    <s v="Normal"/>
    <n v="6"/>
    <m/>
    <m/>
    <m/>
    <m/>
    <m/>
    <m/>
    <m/>
    <m/>
    <n v="4"/>
    <n v="8"/>
    <m/>
    <n v="6"/>
    <n v="8"/>
    <n v="8"/>
    <n v="8"/>
    <n v="2"/>
    <m/>
    <m/>
    <m/>
    <m/>
  </r>
  <r>
    <x v="4"/>
    <s v="STI-1205"/>
    <m/>
    <s v="[YunoWallets] - Webhook para confirmación de Apple Pay y Google Pay"/>
    <s v="En revisión"/>
    <n v="40"/>
    <d v="2025-12-16T00:00:00"/>
    <d v="2025-12-16T00:00:00"/>
    <n v="20"/>
    <n v="0"/>
    <n v="6"/>
    <n v="46"/>
    <n v="0.3"/>
    <n v="1"/>
    <m/>
    <s v="Normal"/>
    <m/>
    <n v="7"/>
    <n v="5"/>
    <n v="8"/>
    <n v="8"/>
    <n v="1"/>
    <n v="8"/>
    <m/>
    <n v="5"/>
    <n v="4"/>
    <m/>
    <m/>
    <m/>
    <m/>
    <m/>
    <m/>
    <m/>
    <m/>
    <m/>
    <m/>
    <m/>
  </r>
  <r>
    <x v="4"/>
    <s v="STI-1245"/>
    <m/>
    <s v="[Apartados] Agregar nuevo endpoint de cancelación desde el transactions"/>
    <s v="En Curso"/>
    <n v="16"/>
    <d v="2025-12-19T00:00:00"/>
    <d v="2025-12-18T00:00:00"/>
    <n v="18"/>
    <n v="0"/>
    <n v="0"/>
    <n v="16"/>
    <n v="0"/>
    <n v="1"/>
    <m/>
    <s v="Normal"/>
    <m/>
    <m/>
    <m/>
    <m/>
    <m/>
    <m/>
    <m/>
    <m/>
    <m/>
    <m/>
    <m/>
    <n v="8"/>
    <n v="2"/>
    <m/>
    <m/>
    <m/>
    <m/>
    <m/>
    <m/>
    <m/>
    <n v="6"/>
  </r>
  <r>
    <x v="4"/>
    <s v="STI-1291"/>
    <m/>
    <s v="[Tarifa Reembolsable] - Ajuste en cancelación con tarifa reembolsable para colocar las cantidades de manera correcta en Fee ZREEMT"/>
    <s v="En Curso"/>
    <m/>
    <m/>
    <m/>
    <m/>
    <n v="0"/>
    <n v="0"/>
    <n v="0"/>
    <s v=""/>
    <n v="0"/>
    <m/>
    <m/>
    <m/>
    <m/>
    <m/>
    <m/>
    <m/>
    <m/>
    <m/>
    <m/>
    <m/>
    <m/>
    <m/>
    <m/>
    <m/>
    <m/>
    <m/>
    <m/>
    <m/>
    <m/>
    <m/>
    <m/>
    <m/>
  </r>
  <r>
    <x v="4"/>
    <s v="STI-1292"/>
    <m/>
    <s v="[Transacciones] Revisión de casos VivaCash y Commit Navitaire"/>
    <s v="OPS"/>
    <n v="6"/>
    <d v="2025-12-26T00:00:00"/>
    <d v="2025-12-26T00:00:00"/>
    <n v="10"/>
    <n v="0"/>
    <n v="0"/>
    <n v="6"/>
    <n v="0"/>
    <n v="1"/>
    <m/>
    <m/>
    <m/>
    <m/>
    <m/>
    <m/>
    <m/>
    <m/>
    <m/>
    <m/>
    <m/>
    <m/>
    <m/>
    <m/>
    <m/>
    <m/>
    <m/>
    <m/>
    <n v="6"/>
    <m/>
    <m/>
    <m/>
    <m/>
  </r>
  <r>
    <x v="4"/>
    <s v="STI-1291"/>
    <m/>
    <s v="[Tarifa Reembolsable] - Ajuste en cancelación con tarifa reembolsable para colocar las cantidades de manera correcta en Fee ZREEMT"/>
    <s v="En Curso"/>
    <m/>
    <m/>
    <m/>
    <m/>
    <n v="0"/>
    <n v="0"/>
    <n v="10"/>
    <s v=""/>
    <n v="0"/>
    <m/>
    <m/>
    <m/>
    <m/>
    <m/>
    <m/>
    <m/>
    <m/>
    <m/>
    <m/>
    <m/>
    <m/>
    <m/>
    <m/>
    <m/>
    <m/>
    <m/>
    <m/>
    <m/>
    <n v="8"/>
    <m/>
    <m/>
    <n v="2"/>
  </r>
  <r>
    <x v="5"/>
    <s v="STI-343"/>
    <m/>
    <s v="[Queue manager] Guardar eventos recibidos en webhook"/>
    <s v="Finalizada"/>
    <n v="36"/>
    <d v="2025-10-31T00:00:00"/>
    <d v="2025-08-12T00:00:00"/>
    <m/>
    <n v="18"/>
    <n v="0"/>
    <n v="0"/>
    <n v="-0.5"/>
    <n v="1"/>
    <m/>
    <s v="Normal"/>
    <m/>
    <m/>
    <m/>
    <m/>
    <m/>
    <m/>
    <m/>
    <m/>
    <m/>
    <m/>
    <m/>
    <m/>
    <m/>
    <m/>
    <m/>
    <m/>
    <m/>
    <m/>
    <m/>
    <m/>
    <m/>
  </r>
  <r>
    <x v="5"/>
    <s v="STI-559"/>
    <s v="02/09- Kenny Se modifica la fecha de entrega y el ticket lo supervisará @Belem Natalie Maldonado Muñoz "/>
    <s v="[ExpressTag] Nuevo servicio: POST vb/v1/expresstag/addBag "/>
    <s v="En  pausa"/>
    <n v="25"/>
    <d v="2025-07-10T00:00:00"/>
    <m/>
    <m/>
    <n v="17"/>
    <n v="0"/>
    <n v="0"/>
    <n v="-0.32"/>
    <n v="1"/>
    <m/>
    <s v="Normal"/>
    <m/>
    <m/>
    <m/>
    <m/>
    <m/>
    <m/>
    <m/>
    <m/>
    <m/>
    <m/>
    <m/>
    <m/>
    <m/>
    <m/>
    <m/>
    <m/>
    <m/>
    <m/>
    <m/>
    <m/>
    <m/>
  </r>
  <r>
    <x v="5"/>
    <s v="STI-738"/>
    <s v="19 de agosto de 2025, 9:02_x000a_Se desplegó la lambda con el url: https://k152nz5k96.execute-api.us-east-1.amazonaws.com/test/ con los nuevos cambios - Asignado a Belem"/>
    <s v="[Self-Reacomm] Modificación en contenido de reporte"/>
    <s v="En revisión"/>
    <n v="51"/>
    <d v="2026-01-30T00:00:00"/>
    <d v="2025-12-22T00:00:00"/>
    <n v="14"/>
    <n v="26"/>
    <n v="0"/>
    <n v="40"/>
    <n v="0.29411764705882354"/>
    <n v="2"/>
    <m/>
    <s v="Normal"/>
    <m/>
    <m/>
    <m/>
    <m/>
    <n v="8"/>
    <n v="8"/>
    <n v="8"/>
    <m/>
    <n v="4"/>
    <n v="8"/>
    <n v="4"/>
    <m/>
    <m/>
    <m/>
    <m/>
    <m/>
    <m/>
    <m/>
    <m/>
    <m/>
    <m/>
  </r>
  <r>
    <x v="5"/>
    <s v="STI-741"/>
    <s v="20 horas adicionales  total 0711_ Edgar pide un cambio: Se agregó un filtro de solo mostrar el último estado estado de cada maleta en lugar de mostrar todos los estados. - 2310/ Se corrigió la observación de @Belem  - 20/10/2025 Revisión aun progreso. Sin incidentes reportados"/>
    <s v="BRS - vb/service/bagEnquiry"/>
    <s v="OPS"/>
    <n v="157"/>
    <d v="2025-12-15T00:00:00"/>
    <d v="2025-12-05T00:00:00"/>
    <n v="31"/>
    <n v="104"/>
    <n v="56"/>
    <n v="44"/>
    <n v="0.29936305732484075"/>
    <n v="2"/>
    <m/>
    <s v="Normal"/>
    <m/>
    <n v="8"/>
    <n v="8"/>
    <n v="8"/>
    <m/>
    <m/>
    <m/>
    <n v="8"/>
    <m/>
    <m/>
    <m/>
    <m/>
    <n v="8"/>
    <n v="4"/>
    <m/>
    <m/>
    <m/>
    <m/>
    <m/>
    <m/>
    <m/>
  </r>
  <r>
    <x v="5"/>
    <s v="STI-742"/>
    <m/>
    <s v="Daily Meetings - Agosto"/>
    <s v="Finalizada"/>
    <n v="10"/>
    <d v="2025-08-01T00:00:00"/>
    <d v="2025-08-31T00:00:00"/>
    <m/>
    <n v="9.5"/>
    <n v="0"/>
    <n v="0"/>
    <n v="-0.05"/>
    <n v="0"/>
    <m/>
    <s v="Normal"/>
    <m/>
    <m/>
    <m/>
    <m/>
    <m/>
    <m/>
    <m/>
    <m/>
    <m/>
    <m/>
    <m/>
    <m/>
    <m/>
    <m/>
    <m/>
    <m/>
    <m/>
    <m/>
    <m/>
    <m/>
    <m/>
  </r>
  <r>
    <x v="5"/>
    <s v="STI-795"/>
    <s v="29/09 Aùn en monitoreo en producción. Sin incidentes hasta el momento."/>
    <s v="Oprtimizacion de Webhook IROP"/>
    <s v="OPS"/>
    <n v="60"/>
    <d v="2025-10-13T00:00:00"/>
    <d v="2025-09-10T00:00:00"/>
    <n v="117"/>
    <n v="68"/>
    <n v="0"/>
    <n v="0"/>
    <n v="0.13333333333333333"/>
    <n v="1"/>
    <m/>
    <s v="Normal"/>
    <m/>
    <m/>
    <m/>
    <m/>
    <m/>
    <m/>
    <m/>
    <m/>
    <m/>
    <m/>
    <m/>
    <m/>
    <m/>
    <m/>
    <m/>
    <m/>
    <m/>
    <m/>
    <m/>
    <m/>
    <m/>
  </r>
  <r>
    <x v="5"/>
    <s v="STI-875"/>
    <s v="03/09 Se pone el ticket en pausa a pedido de Belem para atender liberaciones a produción del ticket de reversa de pagos."/>
    <s v="Crear Pipeline de Click2PlayUsageBonus y modificar monto de abonos"/>
    <s v="En  pausa"/>
    <n v="74"/>
    <d v="2025-09-30T00:00:00"/>
    <d v="2025-09-10T00:00:00"/>
    <n v="117"/>
    <n v="39"/>
    <n v="0"/>
    <n v="0"/>
    <n v="-0.47297297297297297"/>
    <n v="0"/>
    <m/>
    <s v="Normal"/>
    <m/>
    <m/>
    <m/>
    <m/>
    <m/>
    <m/>
    <m/>
    <m/>
    <m/>
    <m/>
    <m/>
    <m/>
    <m/>
    <m/>
    <m/>
    <m/>
    <m/>
    <m/>
    <m/>
    <m/>
    <m/>
  </r>
  <r>
    <x v="5"/>
    <s v="STI-893"/>
    <m/>
    <s v="Daily Meetings - Septiembre"/>
    <s v="Finalizada"/>
    <n v="11"/>
    <d v="2025-09-30T00:00:00"/>
    <d v="2025-09-30T00:00:00"/>
    <m/>
    <n v="11"/>
    <n v="0"/>
    <n v="0"/>
    <n v="0"/>
    <n v="0"/>
    <m/>
    <s v="Normal"/>
    <m/>
    <m/>
    <m/>
    <m/>
    <m/>
    <m/>
    <m/>
    <m/>
    <m/>
    <m/>
    <m/>
    <m/>
    <m/>
    <m/>
    <m/>
    <m/>
    <m/>
    <m/>
    <m/>
    <m/>
    <m/>
  </r>
  <r>
    <x v="5"/>
    <s v="STI-916"/>
    <s v="10/10 Se hizo el despliegue a producción exitosamente. En monitoreo actualmente"/>
    <s v="Creación de pipeline y configuracion de Datadog a servicio de reversas de pagos"/>
    <s v="OPS"/>
    <n v="21"/>
    <d v="2025-10-17T00:00:00"/>
    <d v="2025-09-16T00:00:00"/>
    <n v="111"/>
    <n v="24"/>
    <n v="0"/>
    <n v="0"/>
    <n v="0.14285714285714285"/>
    <n v="1"/>
    <m/>
    <s v="Normal"/>
    <m/>
    <m/>
    <m/>
    <m/>
    <m/>
    <m/>
    <m/>
    <m/>
    <m/>
    <m/>
    <m/>
    <m/>
    <m/>
    <m/>
    <m/>
    <m/>
    <m/>
    <m/>
    <m/>
    <m/>
    <m/>
  </r>
  <r>
    <x v="5"/>
    <s v="STI-977"/>
    <s v="15/10 Lambda en test sin incidentes reportados aún"/>
    <s v="POST v1/booking/addPetLiability"/>
    <s v="Cerrada"/>
    <n v="25"/>
    <d v="2025-10-06T00:00:00"/>
    <d v="2025-09-22T00:00:00"/>
    <n v="105"/>
    <n v="32"/>
    <n v="0"/>
    <n v="0"/>
    <n v="0.28000000000000003"/>
    <n v="1"/>
    <m/>
    <s v="Normal"/>
    <m/>
    <m/>
    <m/>
    <m/>
    <m/>
    <m/>
    <m/>
    <m/>
    <m/>
    <m/>
    <m/>
    <m/>
    <m/>
    <m/>
    <m/>
    <m/>
    <m/>
    <m/>
    <m/>
    <m/>
    <m/>
  </r>
  <r>
    <x v="5"/>
    <s v="STI-1010"/>
    <s v="1311 Se le aumentarán 12 h por cambiosi solicitados por Belem - 1510/Se modifica la fecha de entrega para darle prioridad a las liberaciones de los  tickets de reversa y sms "/>
    <s v="[PaxAlert] Notification endpoint"/>
    <s v="Ready for prod"/>
    <n v="52"/>
    <d v="2025-12-12T00:00:00"/>
    <d v="2025-12-05T00:00:00"/>
    <n v="31"/>
    <n v="46"/>
    <n v="21"/>
    <n v="0"/>
    <n v="0.28846153846153844"/>
    <n v="1"/>
    <m/>
    <s v="Normal"/>
    <m/>
    <m/>
    <m/>
    <m/>
    <m/>
    <m/>
    <m/>
    <m/>
    <m/>
    <m/>
    <m/>
    <m/>
    <m/>
    <m/>
    <m/>
    <m/>
    <m/>
    <m/>
    <m/>
    <m/>
    <m/>
  </r>
  <r>
    <x v="5"/>
    <s v="STI-220"/>
    <s v="2710: Pendiente de la revisión de la lambda en Prod. Sin incidentes reportados aún."/>
    <s v="[Queue manager] SMS - Agregar lógica de envío de notificaciones queue manager a scheduler de pax alert"/>
    <s v="OPS"/>
    <n v="87"/>
    <d v="2025-10-28T00:00:00"/>
    <d v="2025-10-08T00:00:00"/>
    <n v="89"/>
    <n v="97"/>
    <n v="0"/>
    <n v="0"/>
    <n v="0.11494252873563218"/>
    <n v="5"/>
    <m/>
    <s v="Normal"/>
    <m/>
    <m/>
    <m/>
    <m/>
    <m/>
    <m/>
    <m/>
    <m/>
    <m/>
    <m/>
    <m/>
    <m/>
    <m/>
    <m/>
    <m/>
    <m/>
    <m/>
    <m/>
    <m/>
    <m/>
    <m/>
  </r>
  <r>
    <x v="5"/>
    <s v="STI-237"/>
    <s v="1111_Cambio de alcance_Belem_x000a_2710- Pendiente de la revisión de la lambda en Prod. Sin incidentes reportados aún._x000a_ -15/10 Se hizo la liberación a producción exitosamente y se procede al monitoreo en DataDog de las primeras reversas _x000a_"/>
    <s v="[ReverseCreditCard] Creación de servicio de reversa de pagos"/>
    <s v="OPS"/>
    <n v="58"/>
    <d v="2025-10-17T00:00:00"/>
    <d v="2025-10-03T00:00:00"/>
    <n v="94"/>
    <n v="32"/>
    <n v="27"/>
    <n v="16"/>
    <n v="0.29310344827586204"/>
    <n v="2"/>
    <m/>
    <s v="Normal"/>
    <m/>
    <m/>
    <m/>
    <m/>
    <m/>
    <m/>
    <m/>
    <m/>
    <n v="4"/>
    <m/>
    <n v="4"/>
    <n v="8"/>
    <m/>
    <m/>
    <m/>
    <m/>
    <m/>
    <m/>
    <m/>
    <m/>
    <m/>
  </r>
  <r>
    <x v="5"/>
    <s v="STI-1052"/>
    <s v="2910 Se cambia fecha entrega por priorizacion ticket de apartados -2310/Se cambia la fecha de entrega y estimación por los cambios agregados al ticket /20/10/2025 - Total días 8_x000a__x000a__x000a__x000a_"/>
    <s v="Service to add SSR to pet booking"/>
    <s v="En Pausa"/>
    <n v="64"/>
    <d v="2025-12-15T00:00:00"/>
    <m/>
    <m/>
    <n v="62"/>
    <n v="8"/>
    <n v="0"/>
    <n v="9.375E-2"/>
    <n v="0"/>
    <m/>
    <s v="Normal"/>
    <m/>
    <m/>
    <m/>
    <m/>
    <m/>
    <m/>
    <m/>
    <m/>
    <m/>
    <m/>
    <m/>
    <m/>
    <m/>
    <m/>
    <m/>
    <m/>
    <m/>
    <m/>
    <m/>
    <m/>
    <m/>
  </r>
  <r>
    <x v="5"/>
    <s v="STI-1058"/>
    <m/>
    <s v="Daily Meetings - Octubre"/>
    <s v="Finalizada"/>
    <n v="11"/>
    <d v="2025-10-31T00:00:00"/>
    <d v="2025-10-31T00:00:00"/>
    <m/>
    <n v="11"/>
    <n v="0"/>
    <n v="0"/>
    <n v="0"/>
    <n v="0"/>
    <m/>
    <s v="Normal"/>
    <m/>
    <m/>
    <m/>
    <m/>
    <m/>
    <m/>
    <m/>
    <m/>
    <m/>
    <m/>
    <m/>
    <m/>
    <m/>
    <m/>
    <m/>
    <m/>
    <m/>
    <m/>
    <m/>
    <m/>
    <m/>
  </r>
  <r>
    <x v="5"/>
    <s v="STI-1119"/>
    <m/>
    <s v="Proceso cancelación reservas apartados"/>
    <s v="En Curso"/>
    <n v="68"/>
    <d v="2025-12-31T00:00:00"/>
    <d v="2025-11-06T00:00:00"/>
    <n v="60"/>
    <n v="32"/>
    <n v="32"/>
    <n v="0"/>
    <n v="-5.8823529411764705E-2"/>
    <n v="1"/>
    <m/>
    <s v="Normal"/>
    <m/>
    <m/>
    <m/>
    <m/>
    <m/>
    <m/>
    <m/>
    <m/>
    <m/>
    <m/>
    <m/>
    <m/>
    <m/>
    <m/>
    <m/>
    <m/>
    <m/>
    <m/>
    <m/>
    <m/>
    <m/>
  </r>
  <r>
    <x v="5"/>
    <s v="STI-1172"/>
    <m/>
    <s v="Daily Meetings - Noviembre"/>
    <s v="Finalizada"/>
    <n v="9"/>
    <d v="2025-11-30T00:00:00"/>
    <d v="2025-11-30T00:00:00"/>
    <m/>
    <n v="0"/>
    <n v="9"/>
    <n v="0"/>
    <n v="0"/>
    <n v="0"/>
    <m/>
    <s v="Normal"/>
    <m/>
    <m/>
    <m/>
    <m/>
    <m/>
    <m/>
    <m/>
    <m/>
    <m/>
    <m/>
    <m/>
    <m/>
    <m/>
    <m/>
    <m/>
    <m/>
    <m/>
    <m/>
    <m/>
    <m/>
    <m/>
  </r>
  <r>
    <x v="5"/>
    <s v="STI-1225"/>
    <m/>
    <s v="Daily Meetings - Diciembre"/>
    <s v="Finalizada"/>
    <n v="10.5"/>
    <d v="2025-12-31T00:00:00"/>
    <d v="2025-12-31T00:00:00"/>
    <n v="5"/>
    <n v="0"/>
    <n v="0"/>
    <n v="10.5"/>
    <n v="0"/>
    <n v="0"/>
    <m/>
    <s v="Normal"/>
    <n v="0.5"/>
    <n v="0.5"/>
    <n v="0.5"/>
    <n v="0.5"/>
    <n v="0.5"/>
    <n v="0.5"/>
    <n v="0.5"/>
    <n v="0.5"/>
    <n v="0.5"/>
    <n v="0.5"/>
    <n v="0.5"/>
    <n v="0.5"/>
    <n v="0.5"/>
    <n v="0.5"/>
    <n v="0.5"/>
    <n v="0.5"/>
    <n v="0.5"/>
    <n v="0.5"/>
    <n v="0.5"/>
    <n v="0.5"/>
    <n v="0.5"/>
  </r>
  <r>
    <x v="5"/>
    <s v="STI-220"/>
    <m/>
    <s v="[Queue manager] SMS - Agregar lógica de envío de notificaciones queue manager a scheduler de pax alert"/>
    <s v="OPS"/>
    <n v="87"/>
    <d v="2025-11-28T00:00:00"/>
    <m/>
    <m/>
    <n v="0"/>
    <n v="0"/>
    <n v="0"/>
    <n v="-1"/>
    <n v="5"/>
    <m/>
    <m/>
    <m/>
    <m/>
    <m/>
    <m/>
    <m/>
    <m/>
    <m/>
    <m/>
    <m/>
    <m/>
    <m/>
    <m/>
    <m/>
    <m/>
    <m/>
    <m/>
    <m/>
    <m/>
    <m/>
    <m/>
    <m/>
  </r>
  <r>
    <x v="5"/>
    <s v="STI-1203"/>
    <m/>
    <s v="SMD - Error al usar endpoint en prod"/>
    <s v="OPS"/>
    <n v="8"/>
    <d v="2025-12-02T00:00:00"/>
    <d v="2025-12-05T00:00:00"/>
    <n v="31"/>
    <n v="0"/>
    <n v="0"/>
    <n v="10"/>
    <n v="0.25"/>
    <n v="1"/>
    <m/>
    <s v="Normal"/>
    <n v="8"/>
    <m/>
    <m/>
    <m/>
    <m/>
    <m/>
    <m/>
    <m/>
    <m/>
    <m/>
    <m/>
    <m/>
    <m/>
    <n v="2"/>
    <m/>
    <m/>
    <m/>
    <m/>
    <m/>
    <m/>
    <m/>
  </r>
  <r>
    <x v="5"/>
    <s v="STI-1119"/>
    <m/>
    <s v="Proceso cancelación reservas apartados"/>
    <s v="En Curso"/>
    <n v="68"/>
    <d v="2025-12-31T00:00:00"/>
    <m/>
    <m/>
    <n v="0"/>
    <n v="0"/>
    <n v="0"/>
    <n v="-1"/>
    <n v="0"/>
    <m/>
    <m/>
    <m/>
    <m/>
    <m/>
    <m/>
    <m/>
    <m/>
    <m/>
    <m/>
    <m/>
    <m/>
    <m/>
    <m/>
    <m/>
    <m/>
    <m/>
    <m/>
    <m/>
    <m/>
    <m/>
    <m/>
    <m/>
  </r>
  <r>
    <x v="5"/>
    <s v="STI-1275"/>
    <m/>
    <s v="[Child registration] /service/v1/identity/validate"/>
    <s v="En revisión"/>
    <n v="40"/>
    <d v="2025-12-29T00:00:00"/>
    <d v="2026-01-05T00:00:00"/>
    <n v="0"/>
    <n v="0"/>
    <n v="0"/>
    <n v="52"/>
    <n v="0.3"/>
    <n v="1"/>
    <m/>
    <s v="Desviación"/>
    <m/>
    <m/>
    <m/>
    <m/>
    <m/>
    <m/>
    <m/>
    <m/>
    <m/>
    <m/>
    <m/>
    <m/>
    <m/>
    <n v="2"/>
    <n v="6"/>
    <n v="8"/>
    <n v="8"/>
    <n v="8"/>
    <n v="8"/>
    <n v="8"/>
    <n v="4"/>
  </r>
  <r>
    <x v="5"/>
    <s v="STI-1119"/>
    <m/>
    <s v="Proceso cancelación reservas apartados"/>
    <s v="En Curso"/>
    <n v="68"/>
    <d v="2025-12-31T00:00:00"/>
    <m/>
    <m/>
    <n v="0"/>
    <n v="0"/>
    <n v="0"/>
    <n v="-1"/>
    <n v="0"/>
    <m/>
    <s v="Normal"/>
    <m/>
    <m/>
    <m/>
    <m/>
    <m/>
    <m/>
    <m/>
    <m/>
    <m/>
    <m/>
    <m/>
    <m/>
    <m/>
    <m/>
    <m/>
    <m/>
    <m/>
    <m/>
    <m/>
    <m/>
    <m/>
  </r>
  <r>
    <x v="5"/>
    <s v="STI-626"/>
    <m/>
    <s v="Automatización de Store procedures"/>
    <s v="Pausado"/>
    <n v="50"/>
    <d v="2026-01-30T00:00:00"/>
    <m/>
    <m/>
    <n v="0"/>
    <n v="0"/>
    <n v="0"/>
    <n v="-1"/>
    <n v="0"/>
    <m/>
    <s v="Normal"/>
    <m/>
    <m/>
    <m/>
    <m/>
    <m/>
    <m/>
    <m/>
    <m/>
    <m/>
    <m/>
    <m/>
    <m/>
    <m/>
    <m/>
    <m/>
    <m/>
    <m/>
    <m/>
    <m/>
    <m/>
    <m/>
  </r>
  <r>
    <x v="5"/>
    <s v="STI-875"/>
    <m/>
    <s v="Crear Pipeline de Click2PlayUsageBonus y modificar monto de abonos y crear Pipeline"/>
    <s v="Pausado"/>
    <n v="74"/>
    <d v="2026-02-01T00:00:00"/>
    <m/>
    <m/>
    <n v="0"/>
    <n v="0"/>
    <n v="0"/>
    <n v="-1"/>
    <n v="0"/>
    <m/>
    <s v="Normal"/>
    <m/>
    <m/>
    <m/>
    <m/>
    <m/>
    <m/>
    <m/>
    <m/>
    <m/>
    <m/>
    <m/>
    <m/>
    <m/>
    <m/>
    <m/>
    <m/>
    <m/>
    <m/>
    <m/>
    <m/>
    <m/>
  </r>
  <r>
    <x v="5"/>
    <s v="STI-559"/>
    <m/>
    <s v="[ExpressTag] Nuevo servicio: POST vb/v1/expresstag/addBag "/>
    <s v="Pausado"/>
    <n v="25"/>
    <d v="2026-02-02T00:00:00"/>
    <m/>
    <m/>
    <n v="0"/>
    <n v="0"/>
    <n v="0"/>
    <n v="-1"/>
    <n v="0"/>
    <m/>
    <s v="Normal"/>
    <m/>
    <m/>
    <m/>
    <m/>
    <m/>
    <m/>
    <m/>
    <m/>
    <m/>
    <m/>
    <m/>
    <m/>
    <m/>
    <m/>
    <m/>
    <m/>
    <m/>
    <m/>
    <m/>
    <m/>
    <m/>
  </r>
  <r>
    <x v="5"/>
    <s v="STI-220"/>
    <m/>
    <s v="[Queue manager] SMS - Agregar lógica de envío de notificaciones queue manager a scheduler de pax alert"/>
    <s v="OPS"/>
    <n v="87"/>
    <d v="2025-10-28T00:00:00"/>
    <d v="2025-10-27T00:00:00"/>
    <n v="70"/>
    <n v="97"/>
    <n v="0"/>
    <n v="2"/>
    <n v="0.13793103448275862"/>
    <n v="5"/>
    <m/>
    <s v="Normal"/>
    <m/>
    <m/>
    <m/>
    <m/>
    <m/>
    <m/>
    <m/>
    <m/>
    <m/>
    <m/>
    <m/>
    <m/>
    <m/>
    <m/>
    <n v="2"/>
    <m/>
    <m/>
    <m/>
    <m/>
    <m/>
    <m/>
  </r>
  <r>
    <x v="6"/>
    <s v="API-771"/>
    <m/>
    <s v="Admin Panel Roles &amp; Security with Microsoft SSO"/>
    <s v="En Curso"/>
    <n v="153"/>
    <m/>
    <m/>
    <m/>
    <n v="0"/>
    <n v="0"/>
    <n v="56"/>
    <n v="-0.63398692810457513"/>
    <n v="0"/>
    <m/>
    <s v="Normal"/>
    <m/>
    <m/>
    <m/>
    <m/>
    <m/>
    <m/>
    <m/>
    <m/>
    <m/>
    <m/>
    <m/>
    <m/>
    <m/>
    <m/>
    <n v="8"/>
    <n v="8"/>
    <n v="8"/>
    <n v="8"/>
    <n v="8"/>
    <n v="8"/>
    <n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7">
  <r>
    <x v="0"/>
    <s v="API-1262"/>
    <s v="Search Results Change"/>
    <s v="Finalizado"/>
    <d v="2025-08-14T00:00:00"/>
    <d v="2025-08-22T00:00:00"/>
    <n v="20"/>
    <n v="28"/>
    <n v="0"/>
    <n v="0.4"/>
    <n v="6"/>
    <s v="Desviado"/>
    <m/>
    <m/>
    <m/>
    <m/>
    <m/>
    <m/>
    <m/>
    <m/>
    <m/>
    <m/>
    <m/>
    <m/>
    <m/>
    <m/>
    <m/>
    <m/>
    <m/>
    <m/>
    <m/>
    <m/>
    <m/>
    <m/>
    <m/>
    <m/>
  </r>
  <r>
    <x v="0"/>
    <s v="API-1270"/>
    <s v="Extend lowfare search output with fareWithTua"/>
    <s v="Finalizado"/>
    <d v="2025-08-11T00:00:00"/>
    <d v="2025-08-19T00:00:00"/>
    <n v="16"/>
    <n v="23"/>
    <n v="0"/>
    <n v="0.4375"/>
    <n v="4"/>
    <s v="Desviado"/>
    <m/>
    <m/>
    <m/>
    <m/>
    <m/>
    <m/>
    <m/>
    <m/>
    <m/>
    <m/>
    <m/>
    <m/>
    <m/>
    <m/>
    <m/>
    <m/>
    <m/>
    <m/>
    <m/>
    <m/>
    <m/>
    <m/>
    <m/>
    <m/>
  </r>
  <r>
    <x v="0"/>
    <s v="API-1355"/>
    <s v="[Presales] Add an additional field on new endpoint /availability/presales"/>
    <s v="Finalizado"/>
    <d v="2025-10-27T00:00:00"/>
    <d v="2025-10-24T00:00:00"/>
    <n v="25"/>
    <n v="32"/>
    <n v="0"/>
    <n v="0.28000000000000003"/>
    <n v="2"/>
    <s v="Normal"/>
    <m/>
    <m/>
    <m/>
    <m/>
    <m/>
    <m/>
    <m/>
    <m/>
    <m/>
    <m/>
    <m/>
    <m/>
    <m/>
    <m/>
    <m/>
    <m/>
    <m/>
    <m/>
    <m/>
    <m/>
    <m/>
    <m/>
    <m/>
    <m/>
  </r>
  <r>
    <x v="0"/>
    <s v="API-1456"/>
    <s v="Do not return services or insurances with Price 0"/>
    <s v="Reasignado"/>
    <d v="2025-12-26T00:00:00"/>
    <d v="2026-01-05T00:00:00"/>
    <n v="29"/>
    <n v="38"/>
    <n v="0"/>
    <n v="0.31034482758620691"/>
    <n v="1"/>
    <s v="Desviado"/>
    <m/>
    <m/>
    <m/>
    <m/>
    <m/>
    <m/>
    <m/>
    <m/>
    <m/>
    <m/>
    <m/>
    <m/>
    <m/>
    <m/>
    <m/>
    <m/>
    <m/>
    <m/>
    <m/>
    <m/>
    <m/>
    <m/>
    <m/>
    <m/>
  </r>
  <r>
    <x v="0"/>
    <s v="API-1458"/>
    <s v="Investigation - [Transfer] - Transfer cancellation not adding comment into Navitaire"/>
    <s v="Backlog"/>
    <d v="2025-12-23T00:00:00"/>
    <d v="2025-12-23T00:00:00"/>
    <n v="16"/>
    <n v="31"/>
    <n v="0"/>
    <n v="0.9375"/>
    <n v="3"/>
    <s v="Desviado"/>
    <m/>
    <m/>
    <m/>
    <m/>
    <m/>
    <m/>
    <m/>
    <m/>
    <m/>
    <m/>
    <m/>
    <m/>
    <m/>
    <m/>
    <m/>
    <m/>
    <m/>
    <m/>
    <m/>
    <m/>
    <m/>
    <m/>
    <m/>
    <m/>
  </r>
  <r>
    <x v="0"/>
    <s v="API-1469"/>
    <s v="[RefundableFare] - Refundable fare Amounts mismatch when doing upsell process"/>
    <s v="Cerrado"/>
    <d v="2026-01-14T00:00:00"/>
    <d v="2026-01-14T00:00:00"/>
    <n v="24"/>
    <n v="34"/>
    <n v="0"/>
    <n v="0.41666666666666669"/>
    <n v="2"/>
    <s v="Desviado"/>
    <m/>
    <m/>
    <m/>
    <m/>
    <m/>
    <m/>
    <m/>
    <m/>
    <m/>
    <m/>
    <m/>
    <m/>
    <m/>
    <m/>
    <m/>
    <m/>
    <m/>
    <m/>
    <m/>
    <m/>
    <m/>
    <m/>
    <m/>
    <m/>
  </r>
  <r>
    <x v="0"/>
    <s v="API-1524"/>
    <s v="NoJourneysAvailable - MEX SAL (web) and MTY BOG (mobile)"/>
    <s v="Finalizado"/>
    <d v="2026-01-30T00:00:00"/>
    <d v="2026-02-06T00:00:00"/>
    <n v="16"/>
    <n v="24"/>
    <n v="0"/>
    <n v="0.5"/>
    <n v="1"/>
    <s v="Desviado"/>
    <m/>
    <m/>
    <m/>
    <m/>
    <m/>
    <m/>
    <m/>
    <m/>
    <m/>
    <m/>
    <m/>
    <m/>
    <m/>
    <m/>
    <m/>
    <m/>
    <m/>
    <m/>
    <m/>
    <m/>
    <m/>
    <m/>
    <m/>
    <m/>
  </r>
  <r>
    <x v="0"/>
    <s v="API-1031"/>
    <s v="Marketplace - Add Notification"/>
    <s v="Finalizado"/>
    <d v="2025-07-10T00:00:00"/>
    <d v="2025-09-03T00:00:00"/>
    <n v="22"/>
    <n v="6"/>
    <n v="0"/>
    <n v="-0.72727272727272729"/>
    <n v="3"/>
    <s v="Normal"/>
    <m/>
    <m/>
    <m/>
    <m/>
    <m/>
    <m/>
    <m/>
    <m/>
    <m/>
    <m/>
    <m/>
    <m/>
    <m/>
    <m/>
    <m/>
    <m/>
    <m/>
    <m/>
    <m/>
    <m/>
    <m/>
    <m/>
    <m/>
    <m/>
  </r>
  <r>
    <x v="0"/>
    <s v="API-1158"/>
    <s v="[Booking Search] Extend service to support different digit search"/>
    <s v="Finalizado"/>
    <d v="2025-10-09T00:00:00"/>
    <d v="2025-10-09T00:00:00"/>
    <n v="16"/>
    <n v="20"/>
    <n v="0"/>
    <n v="0.25"/>
    <n v="3"/>
    <s v="Normal"/>
    <m/>
    <m/>
    <m/>
    <m/>
    <m/>
    <m/>
    <m/>
    <m/>
    <m/>
    <m/>
    <m/>
    <m/>
    <m/>
    <m/>
    <m/>
    <m/>
    <m/>
    <m/>
    <m/>
    <m/>
    <m/>
    <m/>
    <m/>
    <m/>
  </r>
  <r>
    <x v="0"/>
    <s v="API-1179"/>
    <s v="Investigate - [Global] Blocked seat map assigment"/>
    <s v="Finalizado"/>
    <d v="2025-06-27T00:00:00"/>
    <d v="2025-07-28T00:00:00"/>
    <n v="33"/>
    <n v="8"/>
    <n v="0"/>
    <n v="-0.75757575757575757"/>
    <n v="2"/>
    <s v="Normal"/>
    <m/>
    <m/>
    <m/>
    <m/>
    <m/>
    <m/>
    <m/>
    <m/>
    <m/>
    <m/>
    <m/>
    <m/>
    <m/>
    <m/>
    <m/>
    <m/>
    <m/>
    <m/>
    <m/>
    <m/>
    <m/>
    <m/>
    <m/>
    <m/>
  </r>
  <r>
    <x v="0"/>
    <s v="API-1207"/>
    <s v="[Transfer] - Add new variables to transfer emails and change some formats"/>
    <s v="Finalizado"/>
    <d v="2025-07-16T00:00:00"/>
    <d v="2025-07-22T00:00:00"/>
    <n v="12"/>
    <n v="1"/>
    <n v="0"/>
    <n v="-0.91666666666666663"/>
    <n v="3"/>
    <s v="Normal"/>
    <m/>
    <m/>
    <m/>
    <m/>
    <m/>
    <m/>
    <m/>
    <m/>
    <m/>
    <m/>
    <m/>
    <m/>
    <m/>
    <m/>
    <m/>
    <m/>
    <m/>
    <m/>
    <m/>
    <m/>
    <m/>
    <m/>
    <m/>
    <m/>
  </r>
  <r>
    <x v="0"/>
    <s v="API-1211"/>
    <s v="[TotalRefund] - Extend rgBundlePricesSimple with refundableFare structure"/>
    <s v="Finalizado"/>
    <d v="2025-07-31T00:00:00"/>
    <d v="2025-08-05T00:00:00"/>
    <n v="8"/>
    <n v="2"/>
    <n v="0"/>
    <n v="-0.75"/>
    <n v="2"/>
    <s v="Normal"/>
    <m/>
    <m/>
    <m/>
    <m/>
    <m/>
    <m/>
    <m/>
    <m/>
    <m/>
    <m/>
    <m/>
    <m/>
    <m/>
    <m/>
    <m/>
    <m/>
    <m/>
    <m/>
    <m/>
    <m/>
    <m/>
    <m/>
    <m/>
    <m/>
  </r>
  <r>
    <x v="0"/>
    <s v="API-1216"/>
    <s v="[Aerus] Error in full due to a Seatmap error"/>
    <s v="Finalizado"/>
    <d v="2025-07-25T00:00:00"/>
    <d v="2025-07-30T00:00:00"/>
    <n v="16"/>
    <n v="4"/>
    <n v="0"/>
    <n v="-0.75"/>
    <n v="2"/>
    <s v="Normal"/>
    <m/>
    <m/>
    <m/>
    <m/>
    <m/>
    <m/>
    <m/>
    <m/>
    <m/>
    <m/>
    <m/>
    <m/>
    <m/>
    <m/>
    <m/>
    <m/>
    <m/>
    <m/>
    <m/>
    <m/>
    <m/>
    <m/>
    <m/>
    <m/>
  </r>
  <r>
    <x v="0"/>
    <s v="API-1225"/>
    <s v="Investigate - Boarding pass System error"/>
    <s v="Cerrado"/>
    <d v="2025-07-23T00:00:00"/>
    <d v="2025-08-20T00:00:00"/>
    <n v="16"/>
    <n v="3"/>
    <n v="0"/>
    <n v="-0.8125"/>
    <n v="1"/>
    <s v="Normal"/>
    <m/>
    <m/>
    <m/>
    <m/>
    <m/>
    <m/>
    <m/>
    <m/>
    <m/>
    <m/>
    <m/>
    <m/>
    <m/>
    <m/>
    <m/>
    <m/>
    <m/>
    <m/>
    <m/>
    <m/>
    <m/>
    <m/>
    <m/>
    <m/>
  </r>
  <r>
    <x v="0"/>
    <s v="API-1231"/>
    <s v="[TotalRefund] - Extend rgSSRPrices request with bundle sessionId"/>
    <s v="Finalizado"/>
    <d v="2025-08-06T00:00:00"/>
    <d v="2025-08-08T00:00:00"/>
    <n v="4"/>
    <n v="5"/>
    <n v="0"/>
    <n v="0.25"/>
    <n v="1"/>
    <s v="Normal"/>
    <m/>
    <m/>
    <m/>
    <m/>
    <m/>
    <m/>
    <m/>
    <m/>
    <m/>
    <m/>
    <m/>
    <m/>
    <m/>
    <m/>
    <m/>
    <m/>
    <m/>
    <m/>
    <m/>
    <m/>
    <m/>
    <m/>
    <m/>
    <m/>
  </r>
  <r>
    <x v="0"/>
    <s v="API-1238"/>
    <s v="Change the error code when Customer Number doesn't match in Companions"/>
    <s v="Finalizado"/>
    <d v="2025-08-14T00:00:00"/>
    <d v="2025-08-20T00:00:00"/>
    <n v="2"/>
    <n v="2"/>
    <n v="0"/>
    <n v="0"/>
    <n v="1"/>
    <s v="Normal"/>
    <m/>
    <m/>
    <m/>
    <m/>
    <m/>
    <m/>
    <m/>
    <m/>
    <m/>
    <m/>
    <m/>
    <m/>
    <m/>
    <m/>
    <m/>
    <m/>
    <m/>
    <m/>
    <m/>
    <m/>
    <m/>
    <m/>
    <m/>
    <m/>
  </r>
  <r>
    <x v="0"/>
    <s v="API-1248"/>
    <s v="Investigation - [Account] Error when we are doing a Restore Token with Navitaire (TokenUpgrade)"/>
    <s v="Finalizado"/>
    <d v="2025-11-24T00:00:00"/>
    <d v="2025-11-25T00:00:00"/>
    <n v="12"/>
    <n v="14"/>
    <n v="0"/>
    <n v="0.16666666666666666"/>
    <n v="2"/>
    <s v="Normal"/>
    <m/>
    <m/>
    <m/>
    <m/>
    <m/>
    <m/>
    <m/>
    <m/>
    <m/>
    <m/>
    <m/>
    <m/>
    <m/>
    <m/>
    <m/>
    <m/>
    <m/>
    <m/>
    <m/>
    <m/>
    <m/>
    <m/>
    <m/>
    <m/>
  </r>
  <r>
    <x v="0"/>
    <s v="API-1253"/>
    <s v="[Boarding Passes]  Add connectsInStation"/>
    <s v="Finalizado"/>
    <d v="2025-09-08T00:00:00"/>
    <d v="2025-09-08T00:00:00"/>
    <n v="16"/>
    <n v="20"/>
    <n v="0"/>
    <n v="0.25"/>
    <n v="3"/>
    <s v="Normal"/>
    <m/>
    <m/>
    <m/>
    <m/>
    <m/>
    <m/>
    <m/>
    <m/>
    <m/>
    <m/>
    <m/>
    <m/>
    <m/>
    <m/>
    <m/>
    <m/>
    <m/>
    <m/>
    <m/>
    <m/>
    <m/>
    <m/>
    <m/>
    <m/>
  </r>
  <r>
    <x v="0"/>
    <s v="API-1258"/>
    <s v="[P2P] - Do not return transfer object in booking output for P2P comment"/>
    <s v="Finalizado"/>
    <d v="2025-08-06T00:00:00"/>
    <d v="2025-08-13T00:00:00"/>
    <n v="8"/>
    <n v="10"/>
    <n v="0"/>
    <n v="0.25"/>
    <n v="2"/>
    <s v="Normal"/>
    <m/>
    <m/>
    <m/>
    <m/>
    <m/>
    <m/>
    <m/>
    <m/>
    <m/>
    <m/>
    <m/>
    <m/>
    <m/>
    <m/>
    <m/>
    <m/>
    <m/>
    <m/>
    <m/>
    <m/>
    <m/>
    <m/>
    <m/>
    <m/>
  </r>
  <r>
    <x v="0"/>
    <s v="API-1260"/>
    <s v="[Uber]Passenger Count Limit"/>
    <s v="Comentarios"/>
    <d v="2025-11-14T00:00:00"/>
    <d v="2026-01-22T00:00:00"/>
    <n v="12"/>
    <n v="15"/>
    <n v="0"/>
    <n v="0.25"/>
    <n v="0"/>
    <s v="Normal"/>
    <m/>
    <m/>
    <m/>
    <m/>
    <m/>
    <m/>
    <m/>
    <m/>
    <m/>
    <m/>
    <m/>
    <m/>
    <m/>
    <m/>
    <m/>
    <m/>
    <m/>
    <m/>
    <m/>
    <m/>
    <m/>
    <m/>
    <m/>
    <m/>
  </r>
  <r>
    <x v="0"/>
    <s v="API-1271"/>
    <s v="[Booking search]  - Check-in time in booking/full"/>
    <s v="Cerrado"/>
    <d v="2025-08-19T00:00:00"/>
    <d v="2025-08-29T00:00:00"/>
    <n v="34"/>
    <n v="19"/>
    <n v="0"/>
    <n v="-0.44117647058823528"/>
    <n v="0"/>
    <s v="Normal"/>
    <m/>
    <m/>
    <m/>
    <m/>
    <m/>
    <m/>
    <m/>
    <m/>
    <m/>
    <m/>
    <m/>
    <m/>
    <m/>
    <m/>
    <m/>
    <m/>
    <m/>
    <m/>
    <m/>
    <m/>
    <m/>
    <m/>
    <m/>
    <m/>
  </r>
  <r>
    <x v="0"/>
    <s v="API-1275"/>
    <s v="[CardInformation] Get card information"/>
    <s v="Finalizado"/>
    <d v="2025-10-29T00:00:00"/>
    <d v="2025-10-16T00:00:00"/>
    <n v="8"/>
    <n v="10"/>
    <n v="0"/>
    <n v="0.25"/>
    <n v="5"/>
    <s v="Normal"/>
    <m/>
    <m/>
    <m/>
    <m/>
    <m/>
    <m/>
    <m/>
    <m/>
    <m/>
    <m/>
    <m/>
    <m/>
    <m/>
    <m/>
    <m/>
    <m/>
    <m/>
    <m/>
    <m/>
    <m/>
    <m/>
    <m/>
    <m/>
    <m/>
  </r>
  <r>
    <x v="0"/>
    <s v="API-1292"/>
    <s v="Create /availability/presales"/>
    <s v="Finalizado"/>
    <d v="2025-09-18T00:00:00"/>
    <d v="2025-09-18T00:00:00"/>
    <n v="28"/>
    <n v="36"/>
    <n v="0"/>
    <n v="0.2857142857142857"/>
    <n v="3"/>
    <s v="Normal"/>
    <m/>
    <m/>
    <m/>
    <m/>
    <m/>
    <m/>
    <m/>
    <m/>
    <m/>
    <m/>
    <m/>
    <m/>
    <m/>
    <m/>
    <m/>
    <m/>
    <m/>
    <m/>
    <m/>
    <m/>
    <m/>
    <m/>
    <m/>
    <m/>
  </r>
  <r>
    <x v="0"/>
    <s v="API-1294"/>
    <s v="Add VD product class to search request / low fare request"/>
    <s v="Finalizado"/>
    <d v="2025-09-29T00:00:00"/>
    <d v="2025-09-30T00:00:00"/>
    <n v="24"/>
    <n v="31"/>
    <n v="0"/>
    <n v="0.29166666666666669"/>
    <n v="2"/>
    <s v="Normal"/>
    <m/>
    <m/>
    <m/>
    <m/>
    <m/>
    <m/>
    <m/>
    <m/>
    <m/>
    <m/>
    <m/>
    <m/>
    <m/>
    <m/>
    <m/>
    <m/>
    <m/>
    <m/>
    <m/>
    <m/>
    <m/>
    <m/>
    <m/>
    <m/>
  </r>
  <r>
    <x v="0"/>
    <s v="API-1295"/>
    <s v="Add presale flag to the booking journey"/>
    <s v="Finalizado"/>
    <d v="2025-10-06T00:00:00"/>
    <d v="2025-10-07T00:00:00"/>
    <n v="4"/>
    <n v="5"/>
    <n v="0"/>
    <n v="0.25"/>
    <n v="1"/>
    <s v="Normal"/>
    <m/>
    <m/>
    <m/>
    <m/>
    <m/>
    <m/>
    <m/>
    <m/>
    <m/>
    <m/>
    <m/>
    <m/>
    <m/>
    <m/>
    <m/>
    <m/>
    <m/>
    <m/>
    <m/>
    <m/>
    <m/>
    <m/>
    <m/>
    <m/>
  </r>
  <r>
    <x v="0"/>
    <s v="API-1297"/>
    <s v="rgBundlePriceSimple is sending Zero days in lengthOfStayInDays"/>
    <s v="Finalizado"/>
    <d v="2025-09-17T00:00:00"/>
    <d v="2025-09-09T00:00:00"/>
    <n v="8"/>
    <n v="10"/>
    <n v="0"/>
    <n v="0.25"/>
    <n v="3"/>
    <s v="Normal"/>
    <m/>
    <m/>
    <m/>
    <m/>
    <m/>
    <m/>
    <m/>
    <m/>
    <m/>
    <m/>
    <m/>
    <m/>
    <m/>
    <m/>
    <m/>
    <m/>
    <m/>
    <m/>
    <m/>
    <m/>
    <m/>
    <m/>
    <m/>
    <m/>
  </r>
  <r>
    <x v="0"/>
    <s v="API-1299"/>
    <s v="[UK Tax] Mantain use of fees in booking and check-in flow"/>
    <s v="Finalizado"/>
    <d v="2025-09-09T00:00:00"/>
    <d v="2025-09-09T00:00:00"/>
    <n v="24"/>
    <n v="27"/>
    <n v="0"/>
    <n v="0.125"/>
    <n v="7"/>
    <s v="Normal"/>
    <m/>
    <m/>
    <m/>
    <m/>
    <m/>
    <m/>
    <m/>
    <m/>
    <m/>
    <m/>
    <m/>
    <m/>
    <m/>
    <m/>
    <m/>
    <m/>
    <m/>
    <m/>
    <m/>
    <m/>
    <m/>
    <m/>
    <m/>
    <m/>
  </r>
  <r>
    <x v="0"/>
    <s v="API-1300"/>
    <s v="Discount the rgBundlePriceSimple to the AirfareDifference and show in bundleDifference"/>
    <s v="Finalizado"/>
    <d v="2025-09-17T00:00:00"/>
    <d v="2025-09-11T00:00:00"/>
    <n v="20"/>
    <n v="26"/>
    <n v="0"/>
    <n v="0.3"/>
    <n v="2"/>
    <s v="Desviado"/>
    <m/>
    <m/>
    <m/>
    <m/>
    <m/>
    <m/>
    <m/>
    <m/>
    <m/>
    <m/>
    <m/>
    <m/>
    <m/>
    <m/>
    <m/>
    <m/>
    <m/>
    <m/>
    <m/>
    <m/>
    <m/>
    <m/>
    <m/>
    <m/>
  </r>
  <r>
    <x v="0"/>
    <s v="API-1302"/>
    <s v="[HotelsPlus] - Return hotelsplus availability label in lowfares respose"/>
    <s v="Finalizado"/>
    <d v="2025-11-06T00:00:00"/>
    <d v="2025-11-07T00:00:00"/>
    <n v="24"/>
    <n v="31"/>
    <n v="0"/>
    <n v="0.29166666666666669"/>
    <n v="5"/>
    <s v="Normal"/>
    <m/>
    <m/>
    <m/>
    <m/>
    <m/>
    <m/>
    <m/>
    <m/>
    <m/>
    <m/>
    <m/>
    <m/>
    <m/>
    <m/>
    <m/>
    <m/>
    <m/>
    <m/>
    <m/>
    <m/>
    <m/>
    <m/>
    <m/>
    <m/>
  </r>
  <r>
    <x v="0"/>
    <s v="API-1309"/>
    <s v="[Total Refund] - Extend reimbursement options rules for Excluded FEE Codes"/>
    <s v="Finalizado"/>
    <d v="2025-09-23T00:00:00"/>
    <d v="2025-09-23T00:00:00"/>
    <n v="10"/>
    <n v="13"/>
    <n v="0"/>
    <n v="0.3"/>
    <n v="2"/>
    <s v="Desviado"/>
    <m/>
    <m/>
    <m/>
    <m/>
    <m/>
    <m/>
    <m/>
    <m/>
    <m/>
    <m/>
    <m/>
    <m/>
    <m/>
    <m/>
    <m/>
    <m/>
    <m/>
    <m/>
    <m/>
    <m/>
    <m/>
    <m/>
    <m/>
    <m/>
  </r>
  <r>
    <x v="0"/>
    <s v="API-1322"/>
    <s v="[Total Refund] - Send new parameter in rgBundlePrices"/>
    <s v="Finalizado"/>
    <d v="2025-09-25T00:00:00"/>
    <d v="2025-09-23T00:00:00"/>
    <n v="11"/>
    <n v="14"/>
    <n v="0"/>
    <n v="0.27272727272727271"/>
    <n v="4"/>
    <s v="Normal"/>
    <m/>
    <m/>
    <m/>
    <m/>
    <m/>
    <m/>
    <m/>
    <m/>
    <m/>
    <m/>
    <m/>
    <m/>
    <m/>
    <m/>
    <m/>
    <m/>
    <m/>
    <m/>
    <m/>
    <m/>
    <m/>
    <m/>
    <m/>
    <m/>
  </r>
  <r>
    <x v="0"/>
    <s v="API-1333"/>
    <s v="[Kiosk] Add verified documents"/>
    <s v="Finalizado"/>
    <d v="2025-10-30T00:00:00"/>
    <d v="2025-10-31T00:00:00"/>
    <n v="24"/>
    <n v="31"/>
    <n v="0"/>
    <n v="0.29166666666666669"/>
    <n v="5"/>
    <s v="Normal"/>
    <m/>
    <m/>
    <m/>
    <m/>
    <m/>
    <m/>
    <m/>
    <m/>
    <m/>
    <m/>
    <m/>
    <m/>
    <m/>
    <m/>
    <m/>
    <m/>
    <m/>
    <m/>
    <m/>
    <m/>
    <m/>
    <m/>
    <m/>
    <m/>
  </r>
  <r>
    <x v="0"/>
    <s v="API-1335"/>
    <s v="[UK Tax] Consider connecting flights "/>
    <s v="Finalizado"/>
    <d v="2025-10-14T00:00:00"/>
    <d v="2025-10-06T00:00:00"/>
    <n v="24"/>
    <n v="28"/>
    <n v="0"/>
    <n v="0.16666666666666666"/>
    <n v="1"/>
    <s v="Normal"/>
    <m/>
    <m/>
    <m/>
    <m/>
    <m/>
    <m/>
    <m/>
    <m/>
    <m/>
    <m/>
    <m/>
    <m/>
    <m/>
    <m/>
    <m/>
    <m/>
    <m/>
    <m/>
    <m/>
    <m/>
    <m/>
    <m/>
    <m/>
    <m/>
  </r>
  <r>
    <x v="0"/>
    <s v="API-1339"/>
    <s v="LongStayInDAys to revGAuge is not comparing dates correctly"/>
    <s v="Finalizado"/>
    <d v="2025-10-06T00:00:00"/>
    <d v="2025-10-03T00:00:00"/>
    <n v="16"/>
    <n v="20"/>
    <n v="0"/>
    <n v="0.25"/>
    <n v="2"/>
    <s v="Normal"/>
    <m/>
    <m/>
    <m/>
    <m/>
    <m/>
    <m/>
    <m/>
    <m/>
    <m/>
    <m/>
    <m/>
    <m/>
    <m/>
    <m/>
    <m/>
    <m/>
    <m/>
    <m/>
    <m/>
    <m/>
    <m/>
    <m/>
    <m/>
    <m/>
  </r>
  <r>
    <x v="0"/>
    <s v="API-1358"/>
    <s v="Log traces with status 400 as OK on graph/tokenupgrade"/>
    <s v="Cerrado"/>
    <d v="2026-02-26T00:00:00"/>
    <d v="2026-02-26T00:00:00"/>
    <s v="No aplica"/>
    <n v="8"/>
    <n v="0"/>
    <s v=""/>
    <n v="0"/>
    <s v="Sin estimación"/>
    <m/>
    <m/>
    <m/>
    <m/>
    <m/>
    <m/>
    <m/>
    <m/>
    <m/>
    <m/>
    <m/>
    <m/>
    <m/>
    <m/>
    <m/>
    <m/>
    <m/>
    <m/>
    <m/>
    <m/>
    <m/>
    <m/>
    <m/>
    <m/>
  </r>
  <r>
    <x v="0"/>
    <s v="API-1393"/>
    <s v="[UK Tax] incorrect charge on round trip"/>
    <s v="Finalizado"/>
    <d v="2025-11-10T00:00:00"/>
    <d v="2025-11-07T00:00:00"/>
    <n v="13"/>
    <n v="16"/>
    <n v="0"/>
    <n v="0.23076923076923078"/>
    <n v="2"/>
    <s v="Normal"/>
    <m/>
    <m/>
    <m/>
    <m/>
    <m/>
    <m/>
    <m/>
    <m/>
    <m/>
    <m/>
    <m/>
    <m/>
    <m/>
    <m/>
    <m/>
    <m/>
    <m/>
    <m/>
    <m/>
    <m/>
    <m/>
    <m/>
    <m/>
    <m/>
  </r>
  <r>
    <x v="0"/>
    <s v="API-1404"/>
    <s v="Boarding Time - TJX"/>
    <s v="Finalizado"/>
    <d v="2025-11-19T00:00:00"/>
    <d v="2025-11-19T00:00:00"/>
    <n v="24"/>
    <n v="31"/>
    <n v="0"/>
    <n v="0.29166666666666669"/>
    <n v="2"/>
    <s v="Normal"/>
    <m/>
    <m/>
    <m/>
    <m/>
    <m/>
    <m/>
    <m/>
    <m/>
    <m/>
    <m/>
    <m/>
    <m/>
    <m/>
    <m/>
    <m/>
    <m/>
    <m/>
    <m/>
    <m/>
    <m/>
    <m/>
    <m/>
    <m/>
    <m/>
  </r>
  <r>
    <x v="0"/>
    <s v="API-1405"/>
    <s v="Add a new role for Agency users"/>
    <s v="Finalizado"/>
    <d v="2025-11-13T00:00:00"/>
    <d v="2025-11-12T00:00:00"/>
    <n v="5"/>
    <n v="6"/>
    <n v="0"/>
    <n v="0.2"/>
    <n v="1"/>
    <s v="Normal"/>
    <m/>
    <m/>
    <m/>
    <m/>
    <m/>
    <m/>
    <m/>
    <m/>
    <m/>
    <m/>
    <m/>
    <m/>
    <m/>
    <m/>
    <m/>
    <m/>
    <m/>
    <m/>
    <m/>
    <m/>
    <m/>
    <m/>
    <m/>
    <m/>
  </r>
  <r>
    <x v="0"/>
    <s v="API-1418"/>
    <s v="New bording zones"/>
    <s v="Finalizado"/>
    <d v="2025-11-27T00:00:00"/>
    <d v="2025-11-27T00:00:00"/>
    <n v="24"/>
    <n v="31"/>
    <n v="0"/>
    <n v="0.29166666666666669"/>
    <n v="4"/>
    <s v="Normal"/>
    <m/>
    <m/>
    <m/>
    <m/>
    <m/>
    <m/>
    <m/>
    <m/>
    <m/>
    <m/>
    <m/>
    <m/>
    <m/>
    <m/>
    <m/>
    <m/>
    <m/>
    <m/>
    <m/>
    <m/>
    <m/>
    <m/>
    <m/>
    <m/>
  </r>
  <r>
    <x v="0"/>
    <s v="API-1431"/>
    <s v="[GDS Bookings] Handle Contacts in booking/updatepassengers endpoint"/>
    <s v="Comentarios"/>
    <d v="2025-12-02T00:00:00"/>
    <d v="2025-12-02T00:00:00"/>
    <n v="24"/>
    <n v="31"/>
    <n v="0"/>
    <n v="0.29166666666666669"/>
    <n v="1"/>
    <s v="Normal"/>
    <m/>
    <m/>
    <m/>
    <m/>
    <m/>
    <m/>
    <m/>
    <m/>
    <m/>
    <m/>
    <m/>
    <m/>
    <m/>
    <m/>
    <m/>
    <m/>
    <m/>
    <m/>
    <m/>
    <m/>
    <m/>
    <m/>
    <m/>
    <m/>
  </r>
  <r>
    <x v="0"/>
    <s v="API-1432"/>
    <s v="[GDS Bookings] Add a booking comment when a contact email is updated"/>
    <s v="En Pausa"/>
    <d v="2025-12-04T00:00:00"/>
    <d v="2025-12-04T00:00:00"/>
    <n v="12"/>
    <n v="15"/>
    <n v="0"/>
    <n v="0.25"/>
    <n v="1"/>
    <s v="Normal"/>
    <m/>
    <m/>
    <m/>
    <m/>
    <m/>
    <m/>
    <m/>
    <m/>
    <m/>
    <m/>
    <m/>
    <m/>
    <m/>
    <m/>
    <m/>
    <m/>
    <m/>
    <m/>
    <m/>
    <m/>
    <m/>
    <m/>
    <m/>
    <m/>
  </r>
  <r>
    <x v="0"/>
    <s v="API-1433"/>
    <s v="[GDS Bookings] Add a notification when a GDS booking requires an email update"/>
    <s v="En Pausa"/>
    <d v="2025-12-09T00:00:00"/>
    <d v="2025-12-09T00:00:00"/>
    <n v="16"/>
    <n v="19"/>
    <n v="0"/>
    <n v="0.1875"/>
    <n v="1"/>
    <s v="Normal"/>
    <m/>
    <m/>
    <m/>
    <m/>
    <m/>
    <m/>
    <m/>
    <m/>
    <m/>
    <m/>
    <m/>
    <m/>
    <m/>
    <m/>
    <m/>
    <m/>
    <m/>
    <m/>
    <m/>
    <m/>
    <m/>
    <m/>
    <m/>
    <m/>
  </r>
  <r>
    <x v="0"/>
    <s v="API-1459"/>
    <s v="[IROP] Check boarding status to return irop information"/>
    <s v="Cerrado"/>
    <d v="2025-12-16T00:00:00"/>
    <d v="2025-12-24T00:00:00"/>
    <n v="20"/>
    <n v="24"/>
    <n v="0"/>
    <n v="0.2"/>
    <n v="3"/>
    <s v="Normal"/>
    <m/>
    <m/>
    <m/>
    <m/>
    <m/>
    <m/>
    <m/>
    <m/>
    <m/>
    <m/>
    <m/>
    <m/>
    <m/>
    <m/>
    <m/>
    <m/>
    <m/>
    <m/>
    <m/>
    <m/>
    <m/>
    <m/>
    <m/>
    <m/>
  </r>
  <r>
    <x v="0"/>
    <s v="API-1466"/>
    <s v="[Error] ChangeJourneys"/>
    <s v="Cerrado"/>
    <d v="2025-12-16T00:00:00"/>
    <d v="2025-12-19T00:00:00"/>
    <s v="No aplica"/>
    <n v="24"/>
    <n v="0"/>
    <s v=""/>
    <n v="1"/>
    <s v="Sin estimación"/>
    <m/>
    <m/>
    <m/>
    <m/>
    <m/>
    <m/>
    <m/>
    <m/>
    <m/>
    <m/>
    <m/>
    <m/>
    <m/>
    <m/>
    <m/>
    <m/>
    <m/>
    <m/>
    <m/>
    <m/>
    <m/>
    <m/>
    <m/>
    <m/>
  </r>
  <r>
    <x v="0"/>
    <s v="API-1481"/>
    <s v="[New bundle] - Adjustments required so that the flow is not broken when using the new bundle"/>
    <s v="Finalizado"/>
    <d v="2025-12-24T00:00:00"/>
    <d v="2025-12-30T00:00:00"/>
    <n v="16"/>
    <n v="17"/>
    <n v="0"/>
    <n v="6.25E-2"/>
    <n v="2"/>
    <s v="Normal"/>
    <m/>
    <m/>
    <m/>
    <m/>
    <m/>
    <m/>
    <m/>
    <m/>
    <m/>
    <m/>
    <m/>
    <m/>
    <m/>
    <m/>
    <m/>
    <m/>
    <m/>
    <m/>
    <m/>
    <m/>
    <m/>
    <m/>
    <m/>
    <m/>
  </r>
  <r>
    <x v="0"/>
    <s v="API-843"/>
    <s v="Investigation - [Payments] Vouchers - Map the error details data"/>
    <s v="Finalizado"/>
    <d v="2025-05-21T00:00:00"/>
    <d v="2025-06-17T00:00:00"/>
    <n v="38"/>
    <n v="9"/>
    <n v="0"/>
    <n v="-0.76315789473684215"/>
    <n v="2"/>
    <s v="Normal"/>
    <m/>
    <m/>
    <m/>
    <m/>
    <m/>
    <m/>
    <m/>
    <m/>
    <m/>
    <m/>
    <m/>
    <m/>
    <m/>
    <m/>
    <m/>
    <m/>
    <m/>
    <m/>
    <m/>
    <m/>
    <m/>
    <m/>
    <m/>
    <m/>
  </r>
  <r>
    <x v="0"/>
    <s v="API-872"/>
    <s v="[Doters] Wipeout"/>
    <s v="Finalizado"/>
    <d v="2025-10-30T00:00:00"/>
    <d v="2025-10-22T00:00:00"/>
    <n v="28"/>
    <n v="35"/>
    <n v="0"/>
    <n v="0.25"/>
    <n v="2"/>
    <s v="Normal"/>
    <m/>
    <m/>
    <m/>
    <m/>
    <m/>
    <m/>
    <m/>
    <m/>
    <m/>
    <m/>
    <m/>
    <m/>
    <m/>
    <m/>
    <m/>
    <m/>
    <m/>
    <m/>
    <m/>
    <m/>
    <m/>
    <m/>
    <m/>
    <m/>
  </r>
  <r>
    <x v="0"/>
    <s v="API-1510"/>
    <s v="[Doters] External Additional Payment forms ONLY for Doters accrual"/>
    <s v="Finalizado"/>
    <d v="2026-01-19T00:00:00"/>
    <d v="2026-01-20T00:00:00"/>
    <n v="16"/>
    <n v="20"/>
    <n v="0"/>
    <n v="0.25"/>
    <n v="2"/>
    <s v="Normal"/>
    <m/>
    <m/>
    <m/>
    <m/>
    <m/>
    <m/>
    <m/>
    <m/>
    <m/>
    <m/>
    <m/>
    <m/>
    <m/>
    <m/>
    <m/>
    <m/>
    <m/>
    <m/>
    <m/>
    <m/>
    <m/>
    <m/>
    <m/>
    <m/>
  </r>
  <r>
    <x v="0"/>
    <s v="API-1498"/>
    <s v="Boarding zone for new bundle"/>
    <s v="Finalizado"/>
    <d v="2026-01-15T00:00:00"/>
    <d v="2026-01-15T00:00:00"/>
    <n v="27"/>
    <n v="34"/>
    <n v="0"/>
    <n v="0.25925925925925924"/>
    <n v="3"/>
    <s v="Normal"/>
    <m/>
    <m/>
    <m/>
    <m/>
    <m/>
    <m/>
    <m/>
    <m/>
    <m/>
    <m/>
    <m/>
    <m/>
    <m/>
    <m/>
    <m/>
    <m/>
    <m/>
    <m/>
    <m/>
    <m/>
    <m/>
    <m/>
    <m/>
    <m/>
  </r>
  <r>
    <x v="0"/>
    <s v="API-1402"/>
    <s v="[GreenCard] CheckinBlockedPassengerHasNoVisaOrGreenCard"/>
    <s v="En revisión "/>
    <d v="2026-01-21T00:00:00"/>
    <d v="2026-01-22T00:00:00"/>
    <n v="10"/>
    <n v="12"/>
    <n v="0"/>
    <n v="0.2"/>
    <n v="0"/>
    <s v="Normal"/>
    <m/>
    <m/>
    <m/>
    <m/>
    <m/>
    <m/>
    <m/>
    <m/>
    <m/>
    <m/>
    <m/>
    <m/>
    <m/>
    <m/>
    <m/>
    <m/>
    <m/>
    <m/>
    <m/>
    <m/>
    <m/>
    <m/>
    <m/>
    <m/>
  </r>
  <r>
    <x v="0"/>
    <s v="API-1515"/>
    <s v="Investigation - [IROP] Delays in flight through"/>
    <s v="Reasignado"/>
    <s v="No aplica"/>
    <d v="2026-01-28T00:00:00"/>
    <s v="No aplica"/>
    <n v="24"/>
    <n v="0"/>
    <s v=""/>
    <n v="1"/>
    <s v="Sin estimación"/>
    <m/>
    <m/>
    <m/>
    <m/>
    <m/>
    <m/>
    <m/>
    <m/>
    <m/>
    <m/>
    <m/>
    <m/>
    <m/>
    <m/>
    <m/>
    <m/>
    <m/>
    <m/>
    <m/>
    <m/>
    <m/>
    <m/>
    <m/>
    <m/>
  </r>
  <r>
    <x v="0"/>
    <s v="API-1525"/>
    <s v="GDS bookings cannot be retrieved in the APP"/>
    <s v="Finalizado"/>
    <d v="2026-02-02T00:00:00"/>
    <d v="2026-01-30T00:00:00"/>
    <n v="10"/>
    <n v="12"/>
    <n v="0"/>
    <n v="0.2"/>
    <n v="2"/>
    <s v="Normal"/>
    <m/>
    <m/>
    <m/>
    <m/>
    <m/>
    <m/>
    <m/>
    <m/>
    <m/>
    <m/>
    <m/>
    <m/>
    <m/>
    <m/>
    <m/>
    <m/>
    <m/>
    <m/>
    <m/>
    <m/>
    <m/>
    <m/>
    <m/>
    <m/>
  </r>
  <r>
    <x v="0"/>
    <s v="API-1315"/>
    <s v="Add query param to get points breakdown in booking/full"/>
    <s v="Finalizado"/>
    <d v="2026-02-09T00:00:00"/>
    <d v="2026-02-11T00:00:00"/>
    <n v="24"/>
    <n v="30"/>
    <n v="0"/>
    <n v="0.25"/>
    <n v="2"/>
    <s v="Normal"/>
    <m/>
    <m/>
    <m/>
    <m/>
    <m/>
    <m/>
    <m/>
    <m/>
    <m/>
    <m/>
    <m/>
    <m/>
    <m/>
    <m/>
    <m/>
    <m/>
    <m/>
    <m/>
    <m/>
    <m/>
    <m/>
    <m/>
    <m/>
    <m/>
  </r>
  <r>
    <x v="0"/>
    <s v="API-1536"/>
    <s v="Fix response bookingfull / displaybookingamount"/>
    <s v="Finalizado"/>
    <d v="2026-02-09T00:00:00"/>
    <d v="2026-02-09T00:00:00"/>
    <n v="10"/>
    <n v="12"/>
    <n v="0"/>
    <n v="0.2"/>
    <n v="2"/>
    <s v="Normal"/>
    <m/>
    <m/>
    <m/>
    <m/>
    <m/>
    <m/>
    <m/>
    <m/>
    <m/>
    <m/>
    <m/>
    <m/>
    <m/>
    <m/>
    <m/>
    <m/>
    <m/>
    <m/>
    <m/>
    <m/>
    <m/>
    <m/>
    <m/>
    <m/>
  </r>
  <r>
    <x v="0"/>
    <s v="API-1516"/>
    <s v="Investigation - [PartialPayments] Production issues - VBJL, VART"/>
    <s v="Finalizado"/>
    <s v="No aplica"/>
    <d v="2026-02-25T00:00:00"/>
    <s v="No aplica"/>
    <n v="80"/>
    <n v="0"/>
    <s v=""/>
    <n v="1"/>
    <s v="Sin estimación"/>
    <m/>
    <m/>
    <m/>
    <m/>
    <m/>
    <m/>
    <m/>
    <m/>
    <m/>
    <m/>
    <m/>
    <m/>
    <m/>
    <m/>
    <m/>
    <m/>
    <m/>
    <m/>
    <m/>
    <m/>
    <m/>
    <m/>
    <m/>
    <m/>
  </r>
  <r>
    <x v="0"/>
    <s v="API-1538"/>
    <s v="[Upsell non departed journey] - Booking rules at booking root level are not taking the latest bundle after an upsell_x000a__x000a__x000a__x000a_"/>
    <s v="Finalizado"/>
    <d v="2026-02-26T00:00:00"/>
    <d v="2026-02-26T00:00:00"/>
    <n v="24"/>
    <n v="30"/>
    <n v="0"/>
    <n v="0.25"/>
    <n v="2"/>
    <s v="Normal"/>
    <m/>
    <m/>
    <m/>
    <m/>
    <m/>
    <m/>
    <m/>
    <m/>
    <m/>
    <m/>
    <m/>
    <m/>
    <m/>
    <m/>
    <m/>
    <m/>
    <m/>
    <m/>
    <m/>
    <m/>
    <m/>
    <m/>
    <m/>
    <m/>
  </r>
  <r>
    <x v="0"/>
    <s v="API-1553"/>
    <s v="[TransferBooking] - Do not depend on comment for cancelling transfer, validate Queue only"/>
    <s v="Finalizado"/>
    <d v="2026-03-02T00:00:00"/>
    <d v="2026-02-27T00:00:00"/>
    <n v="18"/>
    <n v="19"/>
    <n v="0"/>
    <n v="5.5555555555555552E-2"/>
    <n v="0"/>
    <s v="Normal"/>
    <m/>
    <m/>
    <m/>
    <m/>
    <m/>
    <m/>
    <m/>
    <m/>
    <m/>
    <m/>
    <m/>
    <m/>
    <m/>
    <m/>
    <m/>
    <m/>
    <m/>
    <m/>
    <m/>
    <m/>
    <m/>
    <m/>
    <m/>
    <m/>
  </r>
  <r>
    <x v="0"/>
    <s v="API-1559"/>
    <s v="[Schedules] High error rate on availability/schedule"/>
    <s v="Finalizado"/>
    <s v="No aplica"/>
    <d v="2026-02-24T00:00:00"/>
    <s v="No aplica"/>
    <n v="4"/>
    <n v="0"/>
    <s v=""/>
    <n v="0"/>
    <s v="Sin estimación"/>
    <m/>
    <m/>
    <m/>
    <m/>
    <m/>
    <m/>
    <m/>
    <m/>
    <m/>
    <m/>
    <m/>
    <m/>
    <m/>
    <m/>
    <m/>
    <m/>
    <m/>
    <m/>
    <m/>
    <m/>
    <m/>
    <m/>
    <m/>
    <m/>
  </r>
  <r>
    <x v="0"/>
    <s v="API-1557"/>
    <s v="Change the error code when pax type is invalid"/>
    <s v="Finalizado"/>
    <d v="2026-03-02T00:00:00"/>
    <d v="2026-03-03T00:00:00"/>
    <n v="12"/>
    <n v="15"/>
    <n v="0"/>
    <n v="0.25"/>
    <n v="2"/>
    <s v="Normal"/>
    <m/>
    <m/>
    <m/>
    <m/>
    <m/>
    <m/>
    <m/>
    <m/>
    <m/>
    <m/>
    <m/>
    <m/>
    <m/>
    <m/>
    <m/>
    <m/>
    <m/>
    <m/>
    <m/>
    <m/>
    <m/>
    <m/>
    <m/>
    <m/>
  </r>
  <r>
    <x v="0"/>
    <s v="API-1572"/>
    <s v="[IROP] booking/rules add setting per journey to IROP setting"/>
    <s v="Finalizado"/>
    <d v="2026-03-06T00:00:00"/>
    <d v="2026-03-06T00:00:00"/>
    <n v="8"/>
    <n v="10"/>
    <n v="0"/>
    <n v="0.25"/>
    <n v="5"/>
    <s v="Normal"/>
    <m/>
    <m/>
    <m/>
    <m/>
    <m/>
    <m/>
    <m/>
    <m/>
    <m/>
    <m/>
    <m/>
    <m/>
    <m/>
    <m/>
    <m/>
    <m/>
    <m/>
    <m/>
    <m/>
    <m/>
    <m/>
    <m/>
    <m/>
    <m/>
  </r>
  <r>
    <x v="0"/>
    <s v="API-1544"/>
    <s v="Ignore Agent fron comments in Custom Services"/>
    <s v="Finalizado"/>
    <d v="2026-03-05T00:00:00"/>
    <d v="2026-03-05T00:00:00"/>
    <n v="12"/>
    <n v="15"/>
    <n v="0"/>
    <n v="0.25"/>
    <n v="1"/>
    <s v="Normal"/>
    <m/>
    <m/>
    <m/>
    <m/>
    <m/>
    <m/>
    <m/>
    <m/>
    <m/>
    <m/>
    <m/>
    <m/>
    <m/>
    <m/>
    <m/>
    <m/>
    <m/>
    <m/>
    <m/>
    <m/>
    <m/>
    <m/>
    <m/>
    <m/>
  </r>
  <r>
    <x v="0"/>
    <s v="API-1563"/>
    <s v="[Marketplace comments &amp; Notifications] - When having marketplace offerstatus comment booking is not loading"/>
    <s v="Finalizado"/>
    <d v="2026-03-10T00:00:00"/>
    <d v="2026-03-10T00:00:00"/>
    <n v="8"/>
    <n v="10"/>
    <n v="0"/>
    <n v="0.25"/>
    <n v="1"/>
    <s v="Normal"/>
    <m/>
    <m/>
    <m/>
    <m/>
    <m/>
    <m/>
    <m/>
    <m/>
    <m/>
    <m/>
    <m/>
    <m/>
    <m/>
    <m/>
    <m/>
    <m/>
    <m/>
    <m/>
    <m/>
    <m/>
    <m/>
    <m/>
    <m/>
    <m/>
  </r>
  <r>
    <x v="0"/>
    <s v="API-1560"/>
    <s v="[Booking] Map error in flights with minimum time between journeys"/>
    <s v="Finalizado"/>
    <d v="2026-03-10T00:00:00"/>
    <d v="2026-03-10T00:00:00"/>
    <n v="8"/>
    <n v="10"/>
    <n v="0"/>
    <n v="0.25"/>
    <n v="2"/>
    <s v="Normal"/>
    <m/>
    <m/>
    <m/>
    <m/>
    <m/>
    <m/>
    <m/>
    <m/>
    <m/>
    <m/>
    <m/>
    <m/>
    <m/>
    <m/>
    <m/>
    <m/>
    <m/>
    <m/>
    <m/>
    <m/>
    <m/>
    <m/>
    <m/>
    <m/>
  </r>
  <r>
    <x v="0"/>
    <s v="API-1242"/>
    <s v="[ExpressTag] Change in v1/booking/bags"/>
    <s v="Comentarios"/>
    <d v="2026-03-27T00:00:00"/>
    <d v="2026-03-27T00:00:00"/>
    <n v="16"/>
    <n v="20"/>
    <n v="0"/>
    <n v="0.25"/>
    <n v="0"/>
    <s v="Normal"/>
    <m/>
    <m/>
    <m/>
    <m/>
    <m/>
    <m/>
    <m/>
    <m/>
    <m/>
    <m/>
    <m/>
    <m/>
    <m/>
    <m/>
    <m/>
    <m/>
    <m/>
    <m/>
    <m/>
    <m/>
    <m/>
    <m/>
    <m/>
    <m/>
  </r>
  <r>
    <x v="0"/>
    <s v="API-1582"/>
    <s v="Change from zone 1 to zone 2"/>
    <s v="Finalizado"/>
    <d v="2026-03-16T00:00:00"/>
    <d v="2026-03-16T00:00:00"/>
    <n v="14"/>
    <n v="18"/>
    <n v="0"/>
    <n v="0.2857142857142857"/>
    <n v="2"/>
    <s v="Normal"/>
    <m/>
    <m/>
    <m/>
    <m/>
    <m/>
    <m/>
    <m/>
    <m/>
    <m/>
    <m/>
    <m/>
    <m/>
    <m/>
    <m/>
    <m/>
    <m/>
    <m/>
    <m/>
    <m/>
    <m/>
    <m/>
    <m/>
    <m/>
    <m/>
  </r>
  <r>
    <x v="0"/>
    <s v="API-1240"/>
    <s v="[ExpressTag] Create Booking Rule DisplayExpressTag"/>
    <s v="Reasignado"/>
    <d v="2026-03-26T00:00:00"/>
    <d v="2026-03-27T00:00:00"/>
    <n v="24"/>
    <n v="31"/>
    <n v="0"/>
    <n v="0.29166666666666669"/>
    <n v="0"/>
    <s v="Normal"/>
    <m/>
    <m/>
    <m/>
    <m/>
    <m/>
    <m/>
    <m/>
    <m/>
    <m/>
    <m/>
    <m/>
    <m/>
    <m/>
    <m/>
    <m/>
    <m/>
    <m/>
    <m/>
    <m/>
    <m/>
    <m/>
    <m/>
    <m/>
    <m/>
  </r>
  <r>
    <x v="0"/>
    <s v="API-1590"/>
    <s v="[Fuel Surcharge] - Fuel SSR services adjustment and payment process validation"/>
    <s v="Finalizado"/>
    <d v="2026-04-01T00:00:00"/>
    <d v="2026-03-31T00:00:00"/>
    <n v="24"/>
    <n v="31"/>
    <n v="0"/>
    <n v="0.29166666666666669"/>
    <n v="2"/>
    <s v="Normal"/>
    <m/>
    <m/>
    <m/>
    <m/>
    <m/>
    <m/>
    <m/>
    <m/>
    <m/>
    <m/>
    <m/>
    <m/>
    <m/>
    <m/>
    <m/>
    <m/>
    <m/>
    <m/>
    <m/>
    <m/>
    <m/>
    <m/>
    <m/>
    <m/>
  </r>
  <r>
    <x v="0"/>
    <s v="API-1592"/>
    <s v="[Doters] Fallback options for Yield Management"/>
    <s v="Finalizado"/>
    <d v="2026-04-08T00:00:00"/>
    <d v="2026-04-08T00:00:00"/>
    <n v="32"/>
    <n v="38"/>
    <n v="0"/>
    <n v="0.1875"/>
    <n v="3"/>
    <s v="Normal"/>
    <m/>
    <m/>
    <m/>
    <m/>
    <m/>
    <m/>
    <m/>
    <m/>
    <m/>
    <m/>
    <m/>
    <m/>
    <m/>
    <m/>
    <m/>
    <m/>
    <m/>
    <m/>
    <m/>
    <m/>
    <m/>
    <m/>
    <m/>
    <m/>
  </r>
  <r>
    <x v="0"/>
    <s v="API-1617"/>
    <s v="[API1557] Change error code when pax type is invalid (INF)"/>
    <s v="Finalizado"/>
    <d v="2026-04-08T00:00:00"/>
    <d v="2026-04-08T00:00:00"/>
    <n v="1"/>
    <n v="1"/>
    <n v="0"/>
    <n v="0"/>
    <n v="2"/>
    <s v="Normal"/>
    <m/>
    <m/>
    <m/>
    <m/>
    <m/>
    <m/>
    <m/>
    <m/>
    <m/>
    <m/>
    <m/>
    <m/>
    <m/>
    <m/>
    <m/>
    <m/>
    <m/>
    <m/>
    <m/>
    <m/>
    <m/>
    <m/>
    <m/>
    <m/>
  </r>
  <r>
    <x v="0"/>
    <s v="API-1603"/>
    <s v="[Doters] Response amount of points in booking"/>
    <s v="Reasignado"/>
    <d v="2026-04-15T00:00:00"/>
    <d v="2026-04-15T00:00:00"/>
    <n v="24"/>
    <n v="44"/>
    <n v="0"/>
    <n v="0.83333333333333337"/>
    <n v="1"/>
    <s v="Desviado"/>
    <m/>
    <m/>
    <m/>
    <m/>
    <m/>
    <m/>
    <m/>
    <m/>
    <m/>
    <m/>
    <m/>
    <m/>
    <m/>
    <m/>
    <m/>
    <m/>
    <m/>
    <m/>
    <m/>
    <m/>
    <m/>
    <m/>
    <m/>
    <m/>
  </r>
  <r>
    <x v="0"/>
    <s v="API-1601"/>
    <s v="Setting in AP to set the resetPasswordUrl in /account/requestpasswordreset endpoint"/>
    <s v="Finalizado"/>
    <d v="2026-04-20T00:00:00"/>
    <d v="2026-04-17T00:00:00"/>
    <n v="24"/>
    <n v="28"/>
    <n v="0"/>
    <n v="0.16666666666666666"/>
    <n v="1"/>
    <s v="Normal"/>
    <m/>
    <m/>
    <m/>
    <m/>
    <m/>
    <m/>
    <m/>
    <m/>
    <m/>
    <m/>
    <m/>
    <m/>
    <m/>
    <m/>
    <m/>
    <m/>
    <m/>
    <m/>
    <m/>
    <m/>
    <m/>
    <m/>
    <m/>
    <m/>
  </r>
  <r>
    <x v="0"/>
    <s v="API-1529"/>
    <s v="[RelocateComments] Get relocated comments and use them"/>
    <s v="Reasignado"/>
    <d v="2026-04-28T00:00:00"/>
    <d v="2026-04-30T00:00:00"/>
    <n v="50"/>
    <n v="60"/>
    <n v="0"/>
    <n v="0.2"/>
    <n v="2"/>
    <s v="Normal"/>
    <m/>
    <m/>
    <m/>
    <m/>
    <m/>
    <m/>
    <m/>
    <m/>
    <m/>
    <m/>
    <m/>
    <m/>
    <m/>
    <m/>
    <m/>
    <m/>
    <m/>
    <m/>
    <m/>
    <m/>
    <m/>
    <m/>
    <m/>
    <m/>
  </r>
  <r>
    <x v="0"/>
    <s v="API-1651"/>
    <s v="Pricing Type - Available Bundles"/>
    <s v="Finalizado"/>
    <d v="2026-05-05T00:00:00"/>
    <d v="2026-05-06T00:00:00"/>
    <n v="26"/>
    <n v="31"/>
    <n v="0"/>
    <n v="0.19230769230769232"/>
    <n v="0"/>
    <s v="Normal"/>
    <m/>
    <m/>
    <m/>
    <m/>
    <m/>
    <m/>
    <m/>
    <m/>
    <m/>
    <m/>
    <m/>
    <m/>
    <m/>
    <m/>
    <m/>
    <m/>
    <m/>
    <m/>
    <m/>
    <m/>
    <m/>
    <m/>
    <m/>
    <m/>
  </r>
  <r>
    <x v="0"/>
    <s v="API-1661"/>
    <s v="Pricing Type - Available Services"/>
    <s v="Finalizado"/>
    <d v="2026-05-08T00:00:00"/>
    <d v="2026-05-11T00:00:00"/>
    <n v="20"/>
    <n v="24"/>
    <n v="0"/>
    <n v="0.2"/>
    <n v="2"/>
    <s v="Normal"/>
    <m/>
    <m/>
    <m/>
    <m/>
    <m/>
    <m/>
    <m/>
    <m/>
    <m/>
    <m/>
    <m/>
    <m/>
    <m/>
    <m/>
    <m/>
    <m/>
    <m/>
    <m/>
    <m/>
    <m/>
    <m/>
    <m/>
    <m/>
    <m/>
  </r>
  <r>
    <x v="0"/>
    <s v="API-1652"/>
    <s v="Pricing Type - Post Bundles"/>
    <s v="Finalizado"/>
    <d v="2026-05-18T00:00:00"/>
    <d v="2026-05-20T00:00:00"/>
    <n v="40"/>
    <n v="48"/>
    <n v="0"/>
    <n v="0.2"/>
    <n v="0"/>
    <s v="Normal"/>
    <m/>
    <m/>
    <m/>
    <m/>
    <m/>
    <m/>
    <m/>
    <m/>
    <m/>
    <m/>
    <m/>
    <m/>
    <m/>
    <m/>
    <m/>
    <m/>
    <m/>
    <m/>
    <m/>
    <m/>
    <m/>
    <m/>
    <m/>
    <m/>
  </r>
  <r>
    <x v="0"/>
    <s v="API-1662"/>
    <s v="Pricing Type - Change Services"/>
    <s v="Finalizado"/>
    <d v="2026-05-27T00:00:00"/>
    <d v="2026-05-27T00:00:00"/>
    <n v="32"/>
    <n v="53"/>
    <n v="0"/>
    <n v="0.65625"/>
    <n v="0"/>
    <s v="Desviado"/>
    <m/>
    <m/>
    <m/>
    <m/>
    <m/>
    <m/>
    <m/>
    <m/>
    <m/>
    <m/>
    <m/>
    <m/>
    <m/>
    <m/>
    <m/>
    <m/>
    <m/>
    <m/>
    <m/>
    <m/>
    <m/>
    <m/>
    <m/>
    <m/>
  </r>
  <r>
    <x v="1"/>
    <s v="API-1069"/>
    <s v="Agency - Enable AG payment with USD/MXN"/>
    <s v="Finalizado"/>
    <d v="2025-11-04T00:00:00"/>
    <d v="2025-11-04T00:00:00"/>
    <n v="40"/>
    <n v="57.5"/>
    <n v="0"/>
    <n v="0.4375"/>
    <n v="1"/>
    <s v="Desviado"/>
    <m/>
    <m/>
    <m/>
    <m/>
    <m/>
    <m/>
    <m/>
    <m/>
    <m/>
    <m/>
    <m/>
    <m/>
    <m/>
    <m/>
    <m/>
    <m/>
    <m/>
    <m/>
    <m/>
    <m/>
    <m/>
    <m/>
    <m/>
    <m/>
  </r>
  <r>
    <x v="1"/>
    <s v="API-1080"/>
    <s v="Reimbursement method - ReverseCreditCard"/>
    <s v="Finalizado"/>
    <d v="2025-05-30T00:00:00"/>
    <d v="2025-06-13T00:00:00"/>
    <n v="34"/>
    <n v="4"/>
    <n v="0"/>
    <n v="-0.88235294117647056"/>
    <n v="4"/>
    <s v="Normal"/>
    <m/>
    <m/>
    <m/>
    <m/>
    <m/>
    <m/>
    <m/>
    <m/>
    <m/>
    <m/>
    <m/>
    <m/>
    <m/>
    <m/>
    <m/>
    <m/>
    <m/>
    <m/>
    <m/>
    <m/>
    <m/>
    <m/>
    <m/>
    <m/>
  </r>
  <r>
    <x v="1"/>
    <s v="API-1119"/>
    <s v="[Avasa] Add new GET vehicle/locations endpoint"/>
    <s v="Finalizado"/>
    <d v="2025-12-11T00:00:00"/>
    <d v="2025-12-11T00:00:00"/>
    <n v="20"/>
    <n v="26"/>
    <n v="0"/>
    <n v="0.3"/>
    <n v="2"/>
    <s v="Desviado"/>
    <m/>
    <m/>
    <m/>
    <m/>
    <m/>
    <m/>
    <m/>
    <m/>
    <m/>
    <m/>
    <m/>
    <m/>
    <m/>
    <m/>
    <m/>
    <m/>
    <m/>
    <m/>
    <m/>
    <m/>
    <m/>
    <m/>
    <m/>
    <m/>
  </r>
  <r>
    <x v="1"/>
    <s v="API-1120"/>
    <s v="[Avasa] Add new GET vehicle/availability endpoint"/>
    <s v="Finalizado"/>
    <d v="2025-12-23T00:00:00"/>
    <d v="2026-01-06T00:00:00"/>
    <n v="32"/>
    <n v="43"/>
    <n v="0"/>
    <n v="0.34375"/>
    <n v="2"/>
    <s v="Desviado"/>
    <m/>
    <m/>
    <m/>
    <m/>
    <m/>
    <m/>
    <m/>
    <m/>
    <m/>
    <m/>
    <m/>
    <m/>
    <m/>
    <m/>
    <m/>
    <m/>
    <m/>
    <m/>
    <m/>
    <m/>
    <m/>
    <m/>
    <m/>
    <m/>
  </r>
  <r>
    <x v="1"/>
    <s v="API-1158"/>
    <s v="[Booking Search] Extend service to support different digit search"/>
    <s v="Finalizado"/>
    <d v="2025-10-09T00:00:00"/>
    <d v="2025-10-09T00:00:00"/>
    <n v="16"/>
    <n v="4"/>
    <n v="0"/>
    <n v="-0.75"/>
    <n v="0"/>
    <s v="Normal"/>
    <m/>
    <m/>
    <m/>
    <m/>
    <m/>
    <m/>
    <m/>
    <m/>
    <m/>
    <m/>
    <m/>
    <m/>
    <m/>
    <m/>
    <m/>
    <m/>
    <m/>
    <m/>
    <m/>
    <m/>
    <m/>
    <m/>
    <m/>
    <m/>
  </r>
  <r>
    <x v="1"/>
    <s v="API-1167"/>
    <s v="[YunoAsync &amp; Yuno Wallet] Change in payment/checkstatus"/>
    <s v="Finalizado"/>
    <d v="2025-12-30T00:00:00"/>
    <d v="2026-01-19T00:00:00"/>
    <n v="24"/>
    <n v="44"/>
    <n v="0"/>
    <n v="0.83333333333333337"/>
    <n v="1"/>
    <s v="Desviado"/>
    <m/>
    <m/>
    <m/>
    <m/>
    <m/>
    <m/>
    <m/>
    <m/>
    <m/>
    <m/>
    <m/>
    <m/>
    <m/>
    <m/>
    <m/>
    <m/>
    <m/>
    <m/>
    <m/>
    <m/>
    <m/>
    <m/>
    <m/>
    <m/>
  </r>
  <r>
    <x v="1"/>
    <s v="API-1516"/>
    <s v="Investigation - [PartialPayments] Production issues - VBJL, VART"/>
    <s v="Finalizado"/>
    <m/>
    <d v="2026-02-25T00:00:00"/>
    <s v="No aplica"/>
    <n v="55"/>
    <n v="0"/>
    <s v=""/>
    <n v="0"/>
    <s v="Sin estimación"/>
    <m/>
    <m/>
    <m/>
    <m/>
    <m/>
    <m/>
    <m/>
    <m/>
    <m/>
    <m/>
    <m/>
    <m/>
    <m/>
    <m/>
    <m/>
    <m/>
    <m/>
    <m/>
    <m/>
    <m/>
    <m/>
    <m/>
    <m/>
    <m/>
  </r>
  <r>
    <x v="1"/>
    <s v="API-1189"/>
    <s v="[Yuno Payments] - Return selected Wallet in booking full payments type"/>
    <s v="Finalizado"/>
    <d v="2025-07-29T00:00:00"/>
    <d v="2025-08-25T00:00:00"/>
    <n v="16"/>
    <n v="6"/>
    <n v="0"/>
    <n v="-0.625"/>
    <n v="1"/>
    <s v="Normal"/>
    <m/>
    <m/>
    <m/>
    <m/>
    <m/>
    <m/>
    <m/>
    <m/>
    <m/>
    <m/>
    <m/>
    <m/>
    <m/>
    <m/>
    <m/>
    <m/>
    <m/>
    <m/>
    <m/>
    <m/>
    <m/>
    <m/>
    <m/>
    <m/>
  </r>
  <r>
    <x v="1"/>
    <s v="API-1210"/>
    <s v="[Transfer] - Return transfer contact information during transfer process and not allow email editing email field"/>
    <s v="Finalizado"/>
    <d v="2025-07-21T00:00:00"/>
    <d v="2025-07-25T00:00:00"/>
    <n v="20"/>
    <n v="2"/>
    <n v="0"/>
    <n v="-0.9"/>
    <n v="3"/>
    <s v="Normal"/>
    <m/>
    <m/>
    <m/>
    <m/>
    <m/>
    <m/>
    <m/>
    <m/>
    <m/>
    <m/>
    <m/>
    <m/>
    <m/>
    <m/>
    <m/>
    <m/>
    <m/>
    <m/>
    <m/>
    <m/>
    <m/>
    <m/>
    <m/>
    <m/>
  </r>
  <r>
    <x v="1"/>
    <s v="API-1237"/>
    <s v="[Doters] Allow regular fare for anonymous users in RegularAndPoints flow"/>
    <s v="Finalizado"/>
    <d v="2025-07-31T00:00:00"/>
    <d v="2025-08-01T00:00:00"/>
    <n v="12"/>
    <n v="8"/>
    <n v="0"/>
    <n v="-0.33333333333333331"/>
    <n v="1"/>
    <s v="Normal"/>
    <m/>
    <m/>
    <m/>
    <m/>
    <m/>
    <m/>
    <m/>
    <m/>
    <m/>
    <m/>
    <m/>
    <m/>
    <m/>
    <m/>
    <m/>
    <m/>
    <m/>
    <m/>
    <m/>
    <m/>
    <m/>
    <m/>
    <m/>
    <m/>
  </r>
  <r>
    <x v="1"/>
    <s v="API-1247"/>
    <s v="Extend resources/stations with train stations"/>
    <s v="Finalizado"/>
    <d v="2025-08-05T00:00:00"/>
    <d v="2025-08-08T00:00:00"/>
    <n v="30"/>
    <n v="37"/>
    <n v="0"/>
    <n v="0.23333333333333334"/>
    <n v="3"/>
    <s v="Normal"/>
    <m/>
    <m/>
    <m/>
    <m/>
    <m/>
    <m/>
    <m/>
    <m/>
    <m/>
    <m/>
    <m/>
    <m/>
    <m/>
    <m/>
    <m/>
    <m/>
    <m/>
    <m/>
    <m/>
    <m/>
    <m/>
    <m/>
    <m/>
    <m/>
  </r>
  <r>
    <x v="1"/>
    <s v="API-1249"/>
    <s v="Create train/availability endpoint"/>
    <s v="Finalizado"/>
    <d v="2025-09-25T00:00:00"/>
    <d v="2025-09-25T00:00:00"/>
    <n v="36"/>
    <n v="49"/>
    <n v="0"/>
    <n v="0.3611111111111111"/>
    <n v="4"/>
    <s v="Desviado"/>
    <m/>
    <m/>
    <m/>
    <m/>
    <m/>
    <m/>
    <m/>
    <m/>
    <m/>
    <m/>
    <m/>
    <m/>
    <m/>
    <m/>
    <m/>
    <m/>
    <m/>
    <m/>
    <m/>
    <m/>
    <m/>
    <m/>
    <m/>
    <m/>
  </r>
  <r>
    <x v="1"/>
    <s v="API-1250"/>
    <s v="Create train/add endpoint"/>
    <s v="Finalizado"/>
    <d v="2025-10-08T00:00:00"/>
    <d v="2025-09-19T00:00:00"/>
    <n v="50"/>
    <n v="65"/>
    <n v="0"/>
    <n v="0.3"/>
    <n v="4"/>
    <s v="Desviado"/>
    <m/>
    <m/>
    <m/>
    <m/>
    <m/>
    <m/>
    <m/>
    <m/>
    <m/>
    <m/>
    <m/>
    <m/>
    <m/>
    <m/>
    <m/>
    <m/>
    <m/>
    <m/>
    <m/>
    <m/>
    <m/>
    <m/>
    <m/>
    <m/>
  </r>
  <r>
    <x v="1"/>
    <s v="API-1251"/>
    <s v="Add train comment and extend basket dispatcher"/>
    <s v="Finalizado"/>
    <d v="2025-10-10T00:00:00"/>
    <d v="2025-09-19T00:00:00"/>
    <n v="27"/>
    <n v="35"/>
    <n v="0"/>
    <n v="0.29629629629629628"/>
    <n v="4"/>
    <s v="Normal"/>
    <m/>
    <m/>
    <m/>
    <m/>
    <m/>
    <m/>
    <m/>
    <m/>
    <m/>
    <m/>
    <m/>
    <m/>
    <m/>
    <m/>
    <m/>
    <m/>
    <m/>
    <m/>
    <m/>
    <m/>
    <m/>
    <m/>
    <m/>
    <m/>
  </r>
  <r>
    <x v="1"/>
    <s v="API-1252"/>
    <s v="Extend booking output with train information"/>
    <s v="Finalizado"/>
    <d v="2025-10-10T00:00:00"/>
    <d v="2025-09-19T00:00:00"/>
    <n v="10"/>
    <n v="13"/>
    <n v="0"/>
    <n v="0.3"/>
    <n v="1"/>
    <s v="Desviado"/>
    <m/>
    <m/>
    <m/>
    <m/>
    <m/>
    <m/>
    <m/>
    <m/>
    <m/>
    <m/>
    <m/>
    <m/>
    <m/>
    <m/>
    <m/>
    <m/>
    <m/>
    <m/>
    <m/>
    <m/>
    <m/>
    <m/>
    <m/>
    <m/>
  </r>
  <r>
    <x v="1"/>
    <s v="API-1266"/>
    <s v="[Experience] Add admin portal configuration"/>
    <s v="Finalizado"/>
    <d v="2025-10-17T00:00:00"/>
    <d v="2025-10-17T00:00:00"/>
    <n v="15"/>
    <n v="14"/>
    <n v="0"/>
    <n v="-6.6666666666666666E-2"/>
    <n v="3"/>
    <s v="Normal"/>
    <m/>
    <m/>
    <m/>
    <m/>
    <m/>
    <m/>
    <m/>
    <m/>
    <m/>
    <m/>
    <m/>
    <m/>
    <m/>
    <m/>
    <m/>
    <m/>
    <m/>
    <m/>
    <m/>
    <m/>
    <m/>
    <m/>
    <m/>
    <m/>
  </r>
  <r>
    <x v="1"/>
    <s v="API-1267"/>
    <s v="[Experience] Return experience services in booking/availableservices endpoint"/>
    <s v="Comentarios"/>
    <d v="2025-10-21T00:00:00"/>
    <d v="2025-10-21T00:00:00"/>
    <n v="40"/>
    <n v="52"/>
    <n v="0"/>
    <n v="0.3"/>
    <n v="1"/>
    <s v="Desviado"/>
    <m/>
    <m/>
    <m/>
    <m/>
    <m/>
    <m/>
    <m/>
    <m/>
    <m/>
    <m/>
    <m/>
    <m/>
    <m/>
    <m/>
    <m/>
    <m/>
    <m/>
    <m/>
    <m/>
    <m/>
    <m/>
    <m/>
    <m/>
    <m/>
  </r>
  <r>
    <x v="1"/>
    <s v="API-1268"/>
    <s v="[Experience] Add experience services"/>
    <s v="Comentarios"/>
    <d v="2025-10-29T00:00:00"/>
    <d v="2025-10-29T00:00:00"/>
    <n v="24"/>
    <n v="31"/>
    <n v="0"/>
    <n v="0.29166666666666669"/>
    <n v="1"/>
    <s v="Normal"/>
    <m/>
    <m/>
    <m/>
    <m/>
    <m/>
    <m/>
    <m/>
    <m/>
    <m/>
    <m/>
    <m/>
    <m/>
    <m/>
    <m/>
    <m/>
    <m/>
    <m/>
    <m/>
    <m/>
    <m/>
    <m/>
    <m/>
    <m/>
    <m/>
  </r>
  <r>
    <x v="1"/>
    <s v="API-1269"/>
    <s v="[Experience] Include experienceServices in booking output"/>
    <s v="Comentarios"/>
    <d v="2025-11-17T00:00:00"/>
    <d v="2025-11-18T00:00:00"/>
    <n v="16"/>
    <n v="20"/>
    <n v="0"/>
    <n v="0.25"/>
    <n v="1"/>
    <s v="Normal"/>
    <m/>
    <m/>
    <m/>
    <m/>
    <m/>
    <m/>
    <m/>
    <m/>
    <m/>
    <m/>
    <m/>
    <m/>
    <m/>
    <m/>
    <m/>
    <m/>
    <m/>
    <m/>
    <m/>
    <m/>
    <m/>
    <m/>
    <m/>
    <m/>
  </r>
  <r>
    <x v="1"/>
    <s v="API-1290"/>
    <s v="[TUA] Add percent discount for Viva Candy on the fareWithTUA response"/>
    <s v="Finalizado"/>
    <d v="2025-09-22T00:00:00"/>
    <d v="2025-09-15T00:00:00"/>
    <n v="8"/>
    <n v="10"/>
    <n v="0"/>
    <n v="0.25"/>
    <n v="2"/>
    <s v="Normal"/>
    <m/>
    <m/>
    <m/>
    <m/>
    <m/>
    <m/>
    <m/>
    <m/>
    <m/>
    <m/>
    <m/>
    <m/>
    <m/>
    <m/>
    <m/>
    <m/>
    <m/>
    <m/>
    <m/>
    <m/>
    <m/>
    <m/>
    <m/>
    <m/>
  </r>
  <r>
    <x v="1"/>
    <s v="API-1291"/>
    <s v="[TUA] - Intl MXN empty field"/>
    <s v="Finalizado"/>
    <d v="2025-09-22T00:00:00"/>
    <d v="2025-09-22T00:00:00"/>
    <n v="14"/>
    <n v="18"/>
    <n v="0"/>
    <n v="0.2857142857142857"/>
    <n v="3"/>
    <s v="Normal"/>
    <m/>
    <m/>
    <m/>
    <m/>
    <m/>
    <m/>
    <m/>
    <m/>
    <m/>
    <m/>
    <m/>
    <m/>
    <m/>
    <m/>
    <m/>
    <m/>
    <m/>
    <m/>
    <m/>
    <m/>
    <m/>
    <m/>
    <m/>
    <m/>
  </r>
  <r>
    <x v="1"/>
    <s v="API-1303"/>
    <s v="[HotelsPlus] - When having promo code fareplace is not being called"/>
    <s v="Finalizado"/>
    <d v="2025-09-05T00:00:00"/>
    <d v="2025-09-05T00:00:00"/>
    <n v="12"/>
    <n v="15"/>
    <n v="0"/>
    <n v="0.25"/>
    <n v="1"/>
    <s v="Normal"/>
    <m/>
    <m/>
    <m/>
    <m/>
    <m/>
    <m/>
    <m/>
    <m/>
    <m/>
    <m/>
    <m/>
    <m/>
    <m/>
    <m/>
    <m/>
    <m/>
    <m/>
    <m/>
    <m/>
    <m/>
    <m/>
    <m/>
    <m/>
    <m/>
  </r>
  <r>
    <x v="1"/>
    <s v="API-1307"/>
    <s v="Add new role for Agency users"/>
    <s v="Finalizado"/>
    <d v="2025-09-08T00:00:00"/>
    <d v="2025-09-08T00:00:00"/>
    <n v="4"/>
    <n v="5"/>
    <n v="0"/>
    <n v="0.25"/>
    <n v="1"/>
    <s v="Normal"/>
    <m/>
    <m/>
    <m/>
    <m/>
    <m/>
    <m/>
    <m/>
    <m/>
    <m/>
    <m/>
    <m/>
    <m/>
    <m/>
    <m/>
    <m/>
    <m/>
    <m/>
    <m/>
    <m/>
    <m/>
    <m/>
    <m/>
    <m/>
    <m/>
  </r>
  <r>
    <x v="1"/>
    <s v="API-1316"/>
    <s v="Enable Hopper Insurance (VBJH) in Manage My Booking (MMB) Flow"/>
    <s v="Finalizado"/>
    <d v="2025-10-15T00:00:00"/>
    <d v="2025-10-02T00:00:00"/>
    <n v="24"/>
    <n v="28"/>
    <n v="0"/>
    <n v="0.16666666666666666"/>
    <n v="2"/>
    <s v="Normal"/>
    <m/>
    <m/>
    <m/>
    <m/>
    <m/>
    <m/>
    <m/>
    <m/>
    <m/>
    <m/>
    <m/>
    <m/>
    <m/>
    <m/>
    <m/>
    <m/>
    <m/>
    <m/>
    <m/>
    <m/>
    <m/>
    <m/>
    <m/>
    <m/>
  </r>
  <r>
    <x v="1"/>
    <s v="API-1319"/>
    <s v="Create train/delete endpoint"/>
    <s v="Finalizado"/>
    <d v="2025-10-01T00:00:00"/>
    <d v="2025-09-29T00:00:00"/>
    <n v="50"/>
    <n v="65"/>
    <n v="0"/>
    <n v="0.3"/>
    <n v="4"/>
    <s v="Desviado"/>
    <m/>
    <m/>
    <m/>
    <m/>
    <m/>
    <m/>
    <m/>
    <m/>
    <m/>
    <m/>
    <m/>
    <m/>
    <m/>
    <m/>
    <m/>
    <m/>
    <m/>
    <m/>
    <m/>
    <m/>
    <m/>
    <m/>
    <m/>
    <m/>
  </r>
  <r>
    <x v="1"/>
    <s v="API-1383"/>
    <s v="[TrenMaya] - Adjustments"/>
    <s v="Finalizado"/>
    <d v="2025-11-13T00:00:00"/>
    <d v="2025-11-13T00:00:00"/>
    <n v="44"/>
    <n v="56"/>
    <n v="0"/>
    <n v="0.27272727272727271"/>
    <n v="2"/>
    <s v="Normal"/>
    <m/>
    <m/>
    <m/>
    <m/>
    <m/>
    <m/>
    <m/>
    <m/>
    <m/>
    <m/>
    <m/>
    <m/>
    <m/>
    <m/>
    <m/>
    <m/>
    <m/>
    <m/>
    <m/>
    <m/>
    <m/>
    <m/>
    <m/>
    <m/>
  </r>
  <r>
    <x v="1"/>
    <s v="API-1396"/>
    <s v="Add a new role for Agency users"/>
    <s v="Finalizado"/>
    <d v="2025-11-04T00:00:00"/>
    <d v="2025-11-04T00:00:00"/>
    <n v="4"/>
    <n v="5"/>
    <n v="0"/>
    <n v="0.25"/>
    <n v="1"/>
    <s v="Normal"/>
    <m/>
    <m/>
    <m/>
    <m/>
    <m/>
    <m/>
    <m/>
    <m/>
    <m/>
    <m/>
    <m/>
    <m/>
    <m/>
    <m/>
    <m/>
    <m/>
    <m/>
    <m/>
    <m/>
    <m/>
    <m/>
    <m/>
    <m/>
    <m/>
  </r>
  <r>
    <x v="1"/>
    <s v="API-1408"/>
    <s v="Add InTransit field to passenger DestinationAddressInput"/>
    <s v="Finalizado"/>
    <d v="2025-12-03T00:00:00"/>
    <d v="2025-12-03T00:00:00"/>
    <n v="30"/>
    <n v="39"/>
    <n v="0"/>
    <n v="0.3"/>
    <n v="3"/>
    <s v="Desviado"/>
    <m/>
    <m/>
    <m/>
    <m/>
    <m/>
    <m/>
    <m/>
    <m/>
    <m/>
    <m/>
    <m/>
    <m/>
    <m/>
    <m/>
    <m/>
    <m/>
    <m/>
    <m/>
    <m/>
    <m/>
    <m/>
    <m/>
    <m/>
    <m/>
  </r>
  <r>
    <x v="1"/>
    <s v="API-1439"/>
    <s v="[AG] New Setting - Change Domain for Agencies"/>
    <s v="Finalizado"/>
    <d v="2025-12-05T00:00:00"/>
    <d v="2025-12-05T00:00:00"/>
    <n v="12"/>
    <n v="15"/>
    <n v="0"/>
    <n v="0.25"/>
    <n v="2"/>
    <s v="Normal"/>
    <m/>
    <m/>
    <m/>
    <m/>
    <m/>
    <m/>
    <m/>
    <m/>
    <m/>
    <m/>
    <m/>
    <m/>
    <m/>
    <m/>
    <m/>
    <m/>
    <m/>
    <m/>
    <m/>
    <m/>
    <m/>
    <m/>
    <m/>
    <m/>
  </r>
  <r>
    <x v="1"/>
    <s v="API-1452"/>
    <s v="[Change Flight] Discrepancies between bundles"/>
    <s v="Cerrado"/>
    <d v="2025-12-22T00:00:00"/>
    <d v="2025-12-17T00:00:00"/>
    <n v="28"/>
    <n v="28"/>
    <n v="0"/>
    <n v="0"/>
    <n v="0"/>
    <s v="Normal"/>
    <m/>
    <m/>
    <m/>
    <m/>
    <m/>
    <m/>
    <m/>
    <m/>
    <m/>
    <m/>
    <m/>
    <m/>
    <m/>
    <m/>
    <m/>
    <m/>
    <m/>
    <m/>
    <m/>
    <m/>
    <m/>
    <m/>
    <m/>
    <m/>
  </r>
  <r>
    <x v="1"/>
    <s v="API-1463"/>
    <s v="Change exchangeRate output in methods available output [Breaking Change]"/>
    <s v="Comentarios"/>
    <d v="2025-12-31T00:00:00"/>
    <d v="2025-12-30T00:00:00"/>
    <n v="6"/>
    <n v="4.5"/>
    <n v="0"/>
    <n v="-0.25"/>
    <n v="1"/>
    <s v="Normal"/>
    <m/>
    <m/>
    <m/>
    <m/>
    <m/>
    <m/>
    <m/>
    <m/>
    <m/>
    <m/>
    <m/>
    <m/>
    <m/>
    <m/>
    <m/>
    <m/>
    <m/>
    <m/>
    <m/>
    <m/>
    <m/>
    <m/>
    <m/>
    <m/>
  </r>
  <r>
    <x v="1"/>
    <s v="API-1464"/>
    <s v="[PartialPayment] update FeeAmount and downPaymentAmount calculation"/>
    <s v="Finalizado"/>
    <d v="2026-01-05T00:00:00"/>
    <d v="2025-12-30T00:00:00"/>
    <n v="34"/>
    <n v="38.5"/>
    <n v="0"/>
    <n v="0.13235294117647059"/>
    <n v="1"/>
    <s v="Normal"/>
    <m/>
    <m/>
    <m/>
    <m/>
    <m/>
    <m/>
    <m/>
    <m/>
    <m/>
    <m/>
    <m/>
    <m/>
    <m/>
    <m/>
    <m/>
    <m/>
    <m/>
    <m/>
    <m/>
    <m/>
    <m/>
    <m/>
    <m/>
    <m/>
  </r>
  <r>
    <x v="1"/>
    <s v="API-724"/>
    <s v="Use stateless booking retrieve requests"/>
    <s v="En revisión"/>
    <d v="2025-11-25T00:00:00"/>
    <d v="2025-11-25T00:00:00"/>
    <n v="40"/>
    <n v="52"/>
    <n v="0"/>
    <n v="0.3"/>
    <n v="0"/>
    <s v="Desviado"/>
    <m/>
    <m/>
    <m/>
    <m/>
    <m/>
    <m/>
    <m/>
    <m/>
    <m/>
    <m/>
    <m/>
    <m/>
    <m/>
    <m/>
    <m/>
    <m/>
    <m/>
    <m/>
    <m/>
    <m/>
    <m/>
    <m/>
    <m/>
    <m/>
  </r>
  <r>
    <x v="1"/>
    <s v="API-1121"/>
    <s v="[Avasa] Add new POST vehicle/add endpoint"/>
    <s v="Finalizado"/>
    <d v="2026-01-19T00:00:00"/>
    <d v="2026-01-21T00:00:00"/>
    <n v="39"/>
    <n v="50.5"/>
    <n v="0"/>
    <n v="0.29487179487179488"/>
    <n v="1"/>
    <s v="Normal"/>
    <m/>
    <m/>
    <m/>
    <m/>
    <m/>
    <m/>
    <m/>
    <m/>
    <m/>
    <m/>
    <m/>
    <m/>
    <m/>
    <m/>
    <m/>
    <m/>
    <m/>
    <m/>
    <m/>
    <m/>
    <m/>
    <m/>
    <m/>
    <m/>
  </r>
  <r>
    <x v="1"/>
    <s v="API-1473"/>
    <s v="[TrenMaya] - Tren Maya price percentage adjustment"/>
    <s v="Finalizado"/>
    <d v="2026-01-20T00:00:00"/>
    <d v="2026-01-21T00:00:00"/>
    <n v="32"/>
    <n v="37"/>
    <n v="0"/>
    <n v="0.15625"/>
    <n v="2"/>
    <s v="Normal"/>
    <m/>
    <m/>
    <m/>
    <m/>
    <m/>
    <m/>
    <m/>
    <m/>
    <m/>
    <m/>
    <m/>
    <m/>
    <m/>
    <m/>
    <m/>
    <m/>
    <m/>
    <m/>
    <m/>
    <m/>
    <m/>
    <m/>
    <m/>
    <m/>
  </r>
  <r>
    <x v="1"/>
    <s v="API-1508"/>
    <s v="[TrenMaya] - Ajust booking structure to support differents status from Tren Maya comment"/>
    <s v="Finalizado"/>
    <d v="2026-01-20T00:00:00"/>
    <d v="2026-01-19T00:00:00"/>
    <n v="8"/>
    <n v="8"/>
    <n v="0"/>
    <n v="0"/>
    <n v="1"/>
    <s v="Normal"/>
    <m/>
    <m/>
    <m/>
    <m/>
    <m/>
    <m/>
    <m/>
    <m/>
    <m/>
    <m/>
    <m/>
    <m/>
    <m/>
    <m/>
    <m/>
    <m/>
    <m/>
    <m/>
    <m/>
    <m/>
    <m/>
    <m/>
    <m/>
    <m/>
  </r>
  <r>
    <x v="1"/>
    <s v="API-1122"/>
    <s v="[Avasa] Add new POST vehicle/delete endpoint"/>
    <s v="Finalizado"/>
    <d v="2026-01-26T00:00:00"/>
    <d v="2026-01-26T00:00:00"/>
    <n v="12"/>
    <n v="15.5"/>
    <n v="0"/>
    <n v="0.29166666666666669"/>
    <n v="1"/>
    <s v="Normal"/>
    <m/>
    <m/>
    <m/>
    <m/>
    <m/>
    <m/>
    <m/>
    <m/>
    <m/>
    <m/>
    <m/>
    <m/>
    <m/>
    <m/>
    <m/>
    <m/>
    <m/>
    <m/>
    <m/>
    <m/>
    <m/>
    <m/>
    <m/>
    <m/>
  </r>
  <r>
    <x v="1"/>
    <s v="API-1329"/>
    <s v="[Avasa] Handle vehicle rental in payment/process"/>
    <s v="Finalizado"/>
    <d v="2026-02-03T00:00:00"/>
    <d v="2026-02-05T00:00:00"/>
    <n v="20"/>
    <n v="26"/>
    <n v="0"/>
    <n v="0.3"/>
    <n v="1"/>
    <s v="Desviado"/>
    <m/>
    <m/>
    <m/>
    <m/>
    <m/>
    <m/>
    <m/>
    <m/>
    <m/>
    <m/>
    <m/>
    <m/>
    <m/>
    <m/>
    <m/>
    <m/>
    <m/>
    <m/>
    <m/>
    <m/>
    <m/>
    <m/>
    <m/>
    <m/>
  </r>
  <r>
    <x v="1"/>
    <s v="API-1523"/>
    <s v="Investigation - [HotelPlus] - Error in percentage to be discount on bookings with childrens"/>
    <s v="Finalizado"/>
    <s v="No aplica"/>
    <d v="2026-02-10T00:00:00"/>
    <s v="No aplica"/>
    <n v="20"/>
    <n v="0"/>
    <s v=""/>
    <n v="0"/>
    <s v="Sin estimación"/>
    <m/>
    <m/>
    <m/>
    <m/>
    <m/>
    <m/>
    <m/>
    <m/>
    <m/>
    <m/>
    <m/>
    <m/>
    <m/>
    <m/>
    <m/>
    <m/>
    <m/>
    <m/>
    <m/>
    <m/>
    <m/>
    <m/>
    <m/>
    <m/>
  </r>
  <r>
    <x v="1"/>
    <s v="API-1535"/>
    <s v="[Tren Maya] - Train Add error - SSR amount is not being overridden from the amount of the selected journey"/>
    <s v="Cerrado"/>
    <d v="2026-02-04T00:00:00"/>
    <d v="2026-02-04T00:00:00"/>
    <s v="No aplica"/>
    <n v="4"/>
    <n v="0"/>
    <s v=""/>
    <n v="0"/>
    <s v="Sin estimación"/>
    <m/>
    <m/>
    <m/>
    <m/>
    <m/>
    <m/>
    <m/>
    <m/>
    <m/>
    <m/>
    <m/>
    <m/>
    <m/>
    <m/>
    <m/>
    <m/>
    <m/>
    <m/>
    <m/>
    <m/>
    <m/>
    <m/>
    <m/>
    <m/>
  </r>
  <r>
    <x v="1"/>
    <s v="API-1330"/>
    <s v="[Avasa] Handle vehicle rental in GET booking, booking/full, booking/search endpoints"/>
    <s v="Finalizado"/>
    <d v="2026-02-12T00:00:00"/>
    <d v="2026-02-12T00:00:00"/>
    <n v="16"/>
    <n v="20.5"/>
    <n v="0"/>
    <n v="0.28125"/>
    <n v="2"/>
    <s v="Normal"/>
    <m/>
    <m/>
    <m/>
    <m/>
    <m/>
    <m/>
    <m/>
    <m/>
    <m/>
    <m/>
    <m/>
    <m/>
    <m/>
    <m/>
    <m/>
    <m/>
    <m/>
    <m/>
    <m/>
    <m/>
    <m/>
    <m/>
    <m/>
    <m/>
  </r>
  <r>
    <x v="1"/>
    <s v="API-1500"/>
    <s v="[TrenMaya] - Do not return TrenMaya service when having multiple nationalities in the booking"/>
    <s v="Finalizado"/>
    <d v="2026-01-22T00:00:00"/>
    <d v="2026-01-22T00:00:00"/>
    <n v="16"/>
    <n v="20"/>
    <n v="0"/>
    <n v="0.25"/>
    <n v="2"/>
    <s v="Normal"/>
    <m/>
    <m/>
    <m/>
    <m/>
    <m/>
    <m/>
    <m/>
    <m/>
    <m/>
    <m/>
    <m/>
    <m/>
    <m/>
    <m/>
    <m/>
    <m/>
    <m/>
    <m/>
    <m/>
    <m/>
    <m/>
    <m/>
    <m/>
    <m/>
  </r>
  <r>
    <x v="1"/>
    <s v="API-1545"/>
    <s v="[Avasa]Add new fields to the Booking Response"/>
    <s v="Finalizado"/>
    <d v="2026-02-18T00:00:00"/>
    <d v="2026-02-18T00:00:00"/>
    <n v="24"/>
    <n v="31"/>
    <n v="0"/>
    <n v="0.29166666666666669"/>
    <n v="2"/>
    <s v="Normal"/>
    <m/>
    <m/>
    <m/>
    <m/>
    <m/>
    <m/>
    <m/>
    <m/>
    <m/>
    <m/>
    <m/>
    <m/>
    <m/>
    <m/>
    <m/>
    <m/>
    <m/>
    <m/>
    <m/>
    <m/>
    <m/>
    <m/>
    <m/>
    <m/>
  </r>
  <r>
    <x v="1"/>
    <s v="API-1332"/>
    <s v="[Avasa] Handle cancelling existing reservation in vehicle/delete endpoint"/>
    <s v="Cerrado"/>
    <d v="2026-02-24T00:00:00"/>
    <d v="2026-03-10T00:00:00"/>
    <n v="24"/>
    <n v="31"/>
    <n v="0"/>
    <n v="0.29166666666666669"/>
    <n v="0"/>
    <s v="Normal"/>
    <m/>
    <m/>
    <m/>
    <m/>
    <m/>
    <m/>
    <m/>
    <m/>
    <m/>
    <m/>
    <m/>
    <m/>
    <m/>
    <m/>
    <m/>
    <m/>
    <m/>
    <m/>
    <m/>
    <m/>
    <m/>
    <m/>
    <m/>
    <m/>
  </r>
  <r>
    <x v="1"/>
    <s v="API-771"/>
    <s v="Admin Panel Roles &amp; Security with Microsoft SSO"/>
    <s v="En curso"/>
    <s v="SSO"/>
    <m/>
    <n v="153"/>
    <n v="189"/>
    <n v="12"/>
    <n v="0.31372549019607843"/>
    <n v="2"/>
    <s v="Desviado"/>
    <m/>
    <m/>
    <m/>
    <m/>
    <m/>
    <m/>
    <m/>
    <m/>
    <m/>
    <m/>
    <m/>
    <m/>
    <n v="4"/>
    <m/>
    <m/>
    <m/>
    <n v="8"/>
    <m/>
    <m/>
    <m/>
    <m/>
    <m/>
    <m/>
    <m/>
  </r>
  <r>
    <x v="1"/>
    <s v="API-1555"/>
    <s v="Analyze [Avasa] - Payment during booking flow"/>
    <s v="Finalizado"/>
    <d v="2026-03-02T00:00:00"/>
    <d v="2026-03-02T00:00:00"/>
    <s v="No aplica"/>
    <n v="12"/>
    <n v="0"/>
    <s v=""/>
    <n v="0"/>
    <s v="Sin estimación"/>
    <m/>
    <m/>
    <m/>
    <m/>
    <m/>
    <m/>
    <m/>
    <m/>
    <m/>
    <m/>
    <m/>
    <m/>
    <m/>
    <m/>
    <m/>
    <m/>
    <m/>
    <m/>
    <m/>
    <m/>
    <m/>
    <m/>
    <m/>
    <m/>
  </r>
  <r>
    <x v="1"/>
    <s v="API-1564"/>
    <s v="[Avasa] Add commission fee and return location type on vehicle location"/>
    <s v="Finalizado"/>
    <d v="2026-03-16T00:00:00"/>
    <d v="2026-03-11T00:00:00"/>
    <n v="28"/>
    <n v="40"/>
    <n v="0"/>
    <n v="0.42857142857142855"/>
    <n v="2"/>
    <s v="Desviado"/>
    <m/>
    <m/>
    <m/>
    <m/>
    <m/>
    <m/>
    <m/>
    <m/>
    <m/>
    <m/>
    <m/>
    <m/>
    <m/>
    <m/>
    <m/>
    <m/>
    <m/>
    <m/>
    <m/>
    <m/>
    <m/>
    <m/>
    <m/>
    <m/>
  </r>
  <r>
    <x v="1"/>
    <s v="API-1573"/>
    <s v="[Avasa]Add field ReturnLocations to the Booking Response"/>
    <s v="Finalizado"/>
    <d v="2026-03-13T00:00:00"/>
    <d v="2026-03-13T00:00:00"/>
    <n v="12"/>
    <n v="19.5"/>
    <n v="0"/>
    <n v="0.625"/>
    <n v="2"/>
    <s v="Desviado"/>
    <m/>
    <m/>
    <m/>
    <m/>
    <m/>
    <m/>
    <m/>
    <m/>
    <m/>
    <m/>
    <m/>
    <m/>
    <m/>
    <m/>
    <m/>
    <m/>
    <m/>
    <m/>
    <m/>
    <m/>
    <m/>
    <m/>
    <m/>
    <m/>
  </r>
  <r>
    <x v="1"/>
    <s v="API-1546"/>
    <s v="Investigation - VivaKiosk - Issue with addbags "/>
    <s v="Cerrado"/>
    <s v="No aplica"/>
    <d v="2026-05-12T00:00:00"/>
    <s v="No aplica"/>
    <n v="23"/>
    <n v="0"/>
    <s v=""/>
    <n v="0"/>
    <s v="Sin estimación"/>
    <m/>
    <m/>
    <m/>
    <m/>
    <m/>
    <m/>
    <m/>
    <m/>
    <m/>
    <m/>
    <m/>
    <m/>
    <m/>
    <m/>
    <m/>
    <m/>
    <m/>
    <m/>
    <m/>
    <m/>
    <m/>
    <m/>
    <m/>
    <m/>
  </r>
  <r>
    <x v="1"/>
    <s v="API-1585"/>
    <s v="[BoardingPass] Offset in checkin/boardingpass"/>
    <s v="Finalizado"/>
    <d v="2026-03-27T00:00:00"/>
    <d v="2026-03-28T00:00:00"/>
    <n v="28"/>
    <n v="33.5"/>
    <n v="0"/>
    <n v="0.19642857142857142"/>
    <n v="0"/>
    <s v="Normal"/>
    <m/>
    <m/>
    <m/>
    <m/>
    <m/>
    <m/>
    <m/>
    <m/>
    <m/>
    <m/>
    <m/>
    <m/>
    <m/>
    <m/>
    <m/>
    <m/>
    <m/>
    <m/>
    <m/>
    <m/>
    <m/>
    <m/>
    <m/>
    <m/>
  </r>
  <r>
    <x v="1"/>
    <s v="API-1602"/>
    <s v="New mapping - Extend VQ and VR with new payment fields"/>
    <s v="Finalizado"/>
    <d v="2026-03-30T00:00:00"/>
    <d v="2026-03-30T00:00:00"/>
    <n v="8"/>
    <n v="1"/>
    <n v="0"/>
    <n v="-0.875"/>
    <n v="0"/>
    <s v="Normal"/>
    <m/>
    <m/>
    <m/>
    <m/>
    <m/>
    <m/>
    <m/>
    <m/>
    <m/>
    <m/>
    <m/>
    <m/>
    <m/>
    <m/>
    <m/>
    <m/>
    <m/>
    <m/>
    <m/>
    <m/>
    <m/>
    <m/>
    <m/>
    <m/>
  </r>
  <r>
    <x v="1"/>
    <s v="API-1610"/>
    <s v="[Doters] Change Yield Management URL"/>
    <s v="Finalizado"/>
    <d v="2026-03-31T00:00:00"/>
    <d v="2026-03-31T00:00:00"/>
    <n v="4"/>
    <n v="5"/>
    <n v="0"/>
    <n v="0.25"/>
    <n v="0"/>
    <s v="Normal"/>
    <m/>
    <m/>
    <m/>
    <m/>
    <m/>
    <m/>
    <m/>
    <m/>
    <m/>
    <m/>
    <m/>
    <m/>
    <m/>
    <m/>
    <m/>
    <m/>
    <m/>
    <m/>
    <m/>
    <m/>
    <m/>
    <m/>
    <m/>
    <m/>
  </r>
  <r>
    <x v="1"/>
    <s v="API-1611"/>
    <s v="Add Domain to CORS for /internal/childcompanion"/>
    <s v="Finalizado"/>
    <s v="No aplica"/>
    <d v="2026-04-01T00:00:00"/>
    <m/>
    <n v="3"/>
    <n v="0"/>
    <s v=""/>
    <n v="0"/>
    <s v="Sin estimación"/>
    <m/>
    <m/>
    <m/>
    <m/>
    <m/>
    <m/>
    <m/>
    <m/>
    <m/>
    <m/>
    <m/>
    <m/>
    <m/>
    <m/>
    <m/>
    <m/>
    <m/>
    <m/>
    <m/>
    <m/>
    <m/>
    <m/>
    <m/>
    <m/>
  </r>
  <r>
    <x v="1"/>
    <s v="API-1599"/>
    <s v="[OCP] - Validate user account data in OneClickPurchase booking rule"/>
    <s v="Finalizado"/>
    <d v="2026-03-30T00:00:00"/>
    <d v="2026-03-30T00:00:00"/>
    <n v="8"/>
    <n v="9.5"/>
    <n v="0"/>
    <n v="0.1875"/>
    <n v="0"/>
    <s v="Normal"/>
    <m/>
    <m/>
    <m/>
    <m/>
    <m/>
    <m/>
    <m/>
    <m/>
    <m/>
    <m/>
    <m/>
    <m/>
    <m/>
    <m/>
    <m/>
    <m/>
    <m/>
    <m/>
    <m/>
    <m/>
    <m/>
    <m/>
    <m/>
    <m/>
  </r>
  <r>
    <x v="1"/>
    <s v="API-1442"/>
    <s v="[IROP] Add compensation restriction per route"/>
    <s v="Finalizado"/>
    <d v="2026-01-16T00:00:00"/>
    <d v="2026-01-19T00:00:00"/>
    <n v="24"/>
    <n v="44"/>
    <n v="0"/>
    <n v="0.83333333333333337"/>
    <n v="1"/>
    <s v="Desviado"/>
    <m/>
    <m/>
    <m/>
    <m/>
    <m/>
    <m/>
    <m/>
    <m/>
    <m/>
    <m/>
    <m/>
    <m/>
    <m/>
    <m/>
    <m/>
    <m/>
    <m/>
    <m/>
    <m/>
    <m/>
    <m/>
    <m/>
    <m/>
    <m/>
  </r>
  <r>
    <x v="1"/>
    <s v="API-1415"/>
    <s v="[PricesOptimizations] - Send additional fields into revGauge rgSSRPrices and rgBundlePrices"/>
    <s v="Finalizado"/>
    <d v="2026-01-08T00:00:00"/>
    <d v="2026-01-08T00:00:00"/>
    <n v="8"/>
    <n v="28"/>
    <n v="0"/>
    <n v="2.5"/>
    <n v="2"/>
    <s v="Desviado"/>
    <m/>
    <m/>
    <m/>
    <m/>
    <m/>
    <m/>
    <m/>
    <m/>
    <m/>
    <m/>
    <m/>
    <m/>
    <m/>
    <m/>
    <m/>
    <m/>
    <m/>
    <m/>
    <m/>
    <m/>
    <m/>
    <m/>
    <m/>
    <m/>
  </r>
  <r>
    <x v="1"/>
    <s v="API-1606"/>
    <s v="Investigation - [Total Refund] - Cancellation of both journeys is only sending amount of the first journey"/>
    <s v="Finalizado"/>
    <s v="No aplica"/>
    <d v="2026-04-18T00:00:00"/>
    <s v="No aplica"/>
    <n v="48"/>
    <n v="0"/>
    <s v=""/>
    <n v="0"/>
    <s v="Sin estimación"/>
    <m/>
    <m/>
    <m/>
    <m/>
    <m/>
    <m/>
    <m/>
    <m/>
    <m/>
    <m/>
    <m/>
    <m/>
    <m/>
    <m/>
    <m/>
    <m/>
    <m/>
    <m/>
    <m/>
    <m/>
    <m/>
    <m/>
    <m/>
    <m/>
  </r>
  <r>
    <x v="1"/>
    <s v="API-1621"/>
    <s v="Acompañamiento Liderazgo Técnico Abril 2026"/>
    <s v="Finalizado"/>
    <d v="2026-04-30T00:00:00"/>
    <d v="2026-04-30T00:00:00"/>
    <n v="17"/>
    <n v="17"/>
    <n v="0"/>
    <n v="0"/>
    <n v="0"/>
    <s v="Normal"/>
    <m/>
    <m/>
    <m/>
    <m/>
    <m/>
    <m/>
    <m/>
    <m/>
    <m/>
    <m/>
    <m/>
    <m/>
    <m/>
    <m/>
    <m/>
    <m/>
    <m/>
    <m/>
    <m/>
    <m/>
    <m/>
    <m/>
    <m/>
    <m/>
  </r>
  <r>
    <x v="1"/>
    <s v="API-1618"/>
    <s v="[Car Rental] - Add new field (Rates request)"/>
    <s v="Finalizado"/>
    <d v="2026-04-10T00:00:00"/>
    <d v="2026-04-10T00:00:00"/>
    <n v="3"/>
    <n v="3"/>
    <n v="0"/>
    <n v="0"/>
    <n v="0"/>
    <s v="Normal"/>
    <m/>
    <m/>
    <m/>
    <m/>
    <m/>
    <m/>
    <m/>
    <m/>
    <m/>
    <m/>
    <m/>
    <m/>
    <m/>
    <m/>
    <m/>
    <m/>
    <m/>
    <m/>
    <m/>
    <m/>
    <m/>
    <m/>
    <m/>
    <m/>
  </r>
  <r>
    <x v="1"/>
    <s v="API-1626"/>
    <s v="[TrenMaya] - Booking output is returning incorrect prices when having Train Round trip"/>
    <s v="Finalizado"/>
    <d v="2026-04-16T00:00:00"/>
    <d v="2026-04-16T00:00:00"/>
    <s v="No aplica"/>
    <n v="9"/>
    <n v="0"/>
    <s v=""/>
    <n v="0"/>
    <s v="Sin estimación"/>
    <m/>
    <m/>
    <m/>
    <m/>
    <m/>
    <m/>
    <m/>
    <m/>
    <m/>
    <m/>
    <m/>
    <m/>
    <m/>
    <m/>
    <m/>
    <m/>
    <m/>
    <m/>
    <m/>
    <m/>
    <m/>
    <m/>
    <m/>
    <m/>
  </r>
  <r>
    <x v="1"/>
    <s v="API-1638"/>
    <s v="Change Yield Management and AVASA"/>
    <s v="Finalizado"/>
    <d v="2026-04-20T00:00:00"/>
    <d v="2026-04-20T00:00:00"/>
    <m/>
    <n v="4"/>
    <n v="0"/>
    <s v=""/>
    <n v="0"/>
    <s v="Sin estimación"/>
    <m/>
    <m/>
    <m/>
    <m/>
    <m/>
    <m/>
    <m/>
    <m/>
    <m/>
    <m/>
    <m/>
    <m/>
    <m/>
    <m/>
    <m/>
    <m/>
    <m/>
    <m/>
    <m/>
    <m/>
    <m/>
    <m/>
    <m/>
    <m/>
  </r>
  <r>
    <x v="1"/>
    <s v="API-1640"/>
    <s v="[Breaking change] Add payment fee in selectMethod for installment fees"/>
    <s v="Finalizado"/>
    <d v="2026-05-11T00:00:00"/>
    <d v="2026-05-14T00:00:00"/>
    <n v="112"/>
    <n v="184"/>
    <n v="0"/>
    <n v="0.6428571428571429"/>
    <n v="5"/>
    <s v="Desviado"/>
    <m/>
    <m/>
    <m/>
    <m/>
    <m/>
    <m/>
    <m/>
    <m/>
    <m/>
    <m/>
    <m/>
    <m/>
    <m/>
    <m/>
    <m/>
    <m/>
    <m/>
    <m/>
    <m/>
    <m/>
    <m/>
    <m/>
    <m/>
    <m/>
  </r>
  <r>
    <x v="1"/>
    <s v="API-1649"/>
    <s v="[Tren Maya] - Update Staging and Prod URL"/>
    <s v="Finalizado"/>
    <d v="2026-04-24T00:00:00"/>
    <d v="2026-04-24T00:00:00"/>
    <n v="2"/>
    <n v="2"/>
    <n v="0"/>
    <n v="0"/>
    <n v="0"/>
    <s v="Normal"/>
    <m/>
    <m/>
    <m/>
    <m/>
    <m/>
    <m/>
    <m/>
    <m/>
    <m/>
    <m/>
    <m/>
    <m/>
    <m/>
    <m/>
    <m/>
    <m/>
    <m/>
    <m/>
    <m/>
    <m/>
    <m/>
    <m/>
    <m/>
    <m/>
  </r>
  <r>
    <x v="1"/>
    <s v="API-1641"/>
    <s v="Add payment fee in selectMethod for external payment"/>
    <s v="Comentarios"/>
    <d v="2026-05-28T00:00:00"/>
    <m/>
    <n v="30"/>
    <n v="86"/>
    <n v="0"/>
    <n v="1.8666666666666667"/>
    <n v="3"/>
    <s v="Desviado"/>
    <s v=" _x000a_Las horas de Julio corresponden al retrabajo invertido para la matriz de casos de pruebas que se agregó en su versión final el 30 de Junio, días posteriores a que el ticket fuera movido a Review sin el requerimiento de evidencias de una matriz de pruebas. Esto requirió recontextualización, reconstrucción de escenarios de pruebas (configuraciones, colecciones, etc) y levantamiento de evidencias para la matriz."/>
    <m/>
    <m/>
    <m/>
    <m/>
    <m/>
    <m/>
    <m/>
    <m/>
    <m/>
    <m/>
    <m/>
    <m/>
    <m/>
    <m/>
    <m/>
    <m/>
    <m/>
    <m/>
    <m/>
    <m/>
    <m/>
    <m/>
    <m/>
  </r>
  <r>
    <x v="1"/>
    <s v="API-1686"/>
    <s v="Investigation - [Doters] Yield Management restriction"/>
    <s v="Finalizado"/>
    <m/>
    <m/>
    <m/>
    <n v="10"/>
    <n v="0"/>
    <s v=""/>
    <n v="0"/>
    <s v="Sin estimación"/>
    <m/>
    <m/>
    <m/>
    <m/>
    <m/>
    <m/>
    <m/>
    <m/>
    <m/>
    <m/>
    <m/>
    <m/>
    <m/>
    <m/>
    <m/>
    <m/>
    <m/>
    <m/>
    <m/>
    <m/>
    <m/>
    <m/>
    <m/>
    <m/>
  </r>
  <r>
    <x v="1"/>
    <s v="API-1695"/>
    <s v="[Partial Payments + hotels] - Toggle toggle for min hours and refund date validation"/>
    <s v="Finalizado"/>
    <d v="2026-06-02T00:00:00"/>
    <d v="2026-06-05T00:00:00"/>
    <n v="12"/>
    <n v="28"/>
    <n v="0"/>
    <n v="1.3333333333333333"/>
    <n v="0"/>
    <s v="Desviado"/>
    <s v="Las horas de Julio corresponden al retrabajo invertido para la matriz de casos de pruebas que se agregó en su versión final el 21 de Junio, días posteriores a que el ticket fuera movido a Review sin el requerimiento de evidencias de una matriz de pruebas. Esto requirió recontextualización, reconstrucción de escenarios de pruebas (configuraciones, colecciones, etc) y levantamiento de evidencias para la matriz, además de apoyo de VB para probar un escenario que dio complicaciones."/>
    <m/>
    <m/>
    <m/>
    <m/>
    <m/>
    <m/>
    <m/>
    <m/>
    <m/>
    <m/>
    <m/>
    <m/>
    <m/>
    <m/>
    <m/>
    <m/>
    <m/>
    <m/>
    <m/>
    <m/>
    <m/>
    <m/>
    <m/>
  </r>
  <r>
    <x v="1"/>
    <s v="API-1703"/>
    <s v="Get installment fees amount with single call "/>
    <s v="Finalizado"/>
    <d v="2026-06-09T00:00:00"/>
    <d v="2026-06-09T00:00:00"/>
    <m/>
    <n v="15"/>
    <n v="0"/>
    <s v=""/>
    <n v="0"/>
    <s v="Sin estimación"/>
    <m/>
    <m/>
    <m/>
    <m/>
    <m/>
    <m/>
    <m/>
    <m/>
    <m/>
    <m/>
    <m/>
    <m/>
    <m/>
    <m/>
    <m/>
    <m/>
    <m/>
    <m/>
    <m/>
    <m/>
    <m/>
    <m/>
    <m/>
    <m/>
  </r>
  <r>
    <x v="1"/>
    <s v="API-1603"/>
    <s v="[Doters] Response amount of points in booking"/>
    <s v="Finalizado"/>
    <d v="2026-04-15T00:00:00"/>
    <d v="2026-04-15T00:00:00"/>
    <n v="24"/>
    <n v="45"/>
    <n v="0"/>
    <n v="0.875"/>
    <n v="1"/>
    <s v="Desviado"/>
    <m/>
    <m/>
    <m/>
    <m/>
    <m/>
    <m/>
    <m/>
    <m/>
    <m/>
    <m/>
    <m/>
    <m/>
    <m/>
    <m/>
    <m/>
    <m/>
    <m/>
    <m/>
    <m/>
    <m/>
    <m/>
    <m/>
    <m/>
    <m/>
  </r>
  <r>
    <x v="1"/>
    <s v="API-1666"/>
    <s v="Acompañamiento Liderazgo Técnico Junio 2026"/>
    <s v="Cerrado"/>
    <d v="2026-06-30T00:00:00"/>
    <d v="2026-06-30T00:00:00"/>
    <n v="2"/>
    <n v="46"/>
    <n v="0"/>
    <n v="22"/>
    <m/>
    <s v="Desviado"/>
    <m/>
    <m/>
    <m/>
    <m/>
    <m/>
    <m/>
    <m/>
    <m/>
    <m/>
    <m/>
    <m/>
    <m/>
    <m/>
    <m/>
    <m/>
    <m/>
    <m/>
    <m/>
    <m/>
    <m/>
    <m/>
    <m/>
    <m/>
    <m/>
  </r>
  <r>
    <x v="1"/>
    <s v="API-1691"/>
    <s v="Investigation - [PartialPayments] Inconsistency Down Payment greater than total"/>
    <s v="Cerrado"/>
    <m/>
    <m/>
    <m/>
    <n v="48"/>
    <n v="0"/>
    <s v=""/>
    <m/>
    <s v="Sin estimación"/>
    <m/>
    <m/>
    <m/>
    <m/>
    <m/>
    <m/>
    <m/>
    <m/>
    <m/>
    <m/>
    <m/>
    <m/>
    <m/>
    <m/>
    <m/>
    <m/>
    <m/>
    <m/>
    <m/>
    <m/>
    <m/>
    <m/>
    <m/>
    <m/>
  </r>
  <r>
    <x v="1"/>
    <s v="API-1704"/>
    <s v="Do not return installment offer with fee when fee is not available in Navitaire"/>
    <s v="Finalizado"/>
    <m/>
    <d v="2026-06-26T00:00:00"/>
    <m/>
    <n v="22"/>
    <n v="0"/>
    <s v=""/>
    <n v="1"/>
    <s v="Sin estimación"/>
    <m/>
    <m/>
    <m/>
    <m/>
    <m/>
    <m/>
    <m/>
    <m/>
    <m/>
    <m/>
    <m/>
    <m/>
    <m/>
    <m/>
    <m/>
    <m/>
    <m/>
    <m/>
    <m/>
    <m/>
    <m/>
    <m/>
    <m/>
    <m/>
  </r>
  <r>
    <x v="1"/>
    <s v="API-1529"/>
    <s v="[RelocateComments] Get relocated comments and use them"/>
    <s v="En revisión"/>
    <d v="2026-04-28T00:00:00"/>
    <d v="2026-04-30T00:00:00"/>
    <n v="50"/>
    <n v="97"/>
    <n v="0"/>
    <n v="0.94"/>
    <n v="2"/>
    <s v="Desviado"/>
    <s v="Las horas de Julio corresponden al retrabajo invertido para la matriz de casos de pruebas que se agregó en su versión final el 22 de Junio, varias semanas posteriores a que el ticket fuera movido a Review sin el requerimiento de evidencias de una matriz de pruebas. Esto requirió recontextualización completa del proyecto RelocateComments, reconstrucción de escenarios de pruebas (configuraciones, colecciones, etc) y levantamiento de evidencias para la matriz. Adicionalmente, el servicio externo presentó varias inconsistencias que tuvieron que ser validadas con VB en varios intercambios de estado del ticket. Finalmente, se identificó que el servicio externo de RelocateComments cambio en su contrato con la integración de GenericAPI lo que implicó tener que cambiar la implementación que había y ejecutar las pruebas sobre lo nuevo implementado."/>
    <m/>
    <m/>
    <m/>
    <m/>
    <m/>
    <m/>
    <m/>
    <m/>
    <m/>
    <m/>
    <m/>
    <m/>
    <m/>
    <m/>
    <m/>
    <m/>
    <m/>
    <m/>
    <m/>
    <m/>
    <m/>
    <m/>
    <m/>
  </r>
  <r>
    <x v="1"/>
    <s v="API-1708"/>
    <s v="[Doters] Add setting to control cache to obtain Doters balance"/>
    <s v="Finalizado"/>
    <d v="2026-07-17T00:00:00"/>
    <d v="2026-08-14T00:00:00"/>
    <n v="12"/>
    <n v="16"/>
    <n v="0"/>
    <n v="0.33333333333333331"/>
    <n v="2"/>
    <s v="Desviado"/>
    <s v="La estimación de este ticket no contempló las validaciones, cambio de diseño en la implementación y ajustes posteriores a que fue movido a review, que fueron tomadas durante una daily con Ezy y VB. El tiempo adicional se fue en ello."/>
    <m/>
    <m/>
    <m/>
    <m/>
    <m/>
    <m/>
    <m/>
    <m/>
    <m/>
    <m/>
    <m/>
    <m/>
    <m/>
    <m/>
    <m/>
    <m/>
    <m/>
    <m/>
    <m/>
    <m/>
    <m/>
    <m/>
    <m/>
  </r>
  <r>
    <x v="1"/>
    <s v="API-1790"/>
    <s v="[Avasa Car Rental] - Error is returned to the front end when we don´t receive some fields data from avasa response"/>
    <s v="Finalizado"/>
    <m/>
    <d v="2026-07-30T00:00:00"/>
    <n v="32"/>
    <n v="24"/>
    <n v="0"/>
    <n v="-0.25"/>
    <n v="2"/>
    <s v="Normal"/>
    <m/>
    <m/>
    <m/>
    <m/>
    <m/>
    <m/>
    <m/>
    <m/>
    <m/>
    <m/>
    <m/>
    <m/>
    <m/>
    <m/>
    <m/>
    <m/>
    <m/>
    <m/>
    <m/>
    <m/>
    <m/>
    <m/>
    <m/>
    <m/>
  </r>
  <r>
    <x v="1"/>
    <s v="API-1456"/>
    <s v="Do not return services or insurances with Price 0"/>
    <s v="En revisión"/>
    <d v="2026-08-03T00:00:00"/>
    <d v="2026-08-05T00:00:00"/>
    <n v="29"/>
    <n v="38"/>
    <n v="20"/>
    <n v="1"/>
    <n v="1"/>
    <s v="Desviado"/>
    <m/>
    <n v="8"/>
    <n v="8"/>
    <n v="4"/>
    <m/>
    <m/>
    <m/>
    <m/>
    <m/>
    <m/>
    <m/>
    <m/>
    <m/>
    <m/>
    <m/>
    <m/>
    <m/>
    <m/>
    <m/>
    <m/>
    <m/>
    <m/>
    <m/>
    <m/>
  </r>
  <r>
    <x v="1"/>
    <s v="API-1794"/>
    <s v="[IROP] Exclude From Irop - BookingStatus"/>
    <s v="Finalizado"/>
    <d v="2026-08-12T00:00:00"/>
    <d v="2026-08-13T00:00:00"/>
    <n v="16"/>
    <n v="0"/>
    <n v="22"/>
    <n v="0.375"/>
    <n v="0"/>
    <s v="Desviado"/>
    <m/>
    <m/>
    <m/>
    <n v="4"/>
    <n v="8"/>
    <m/>
    <n v="1"/>
    <m/>
    <n v="8"/>
    <n v="1"/>
    <m/>
    <m/>
    <m/>
    <m/>
    <m/>
    <m/>
    <m/>
    <m/>
    <m/>
    <m/>
    <m/>
    <m/>
    <m/>
    <m/>
  </r>
  <r>
    <x v="1"/>
    <s v="API-1796"/>
    <s v="[Payments] Expose Card Issuer in storedPayments"/>
    <s v="Finalizado"/>
    <d v="2026-08-18T00:00:00"/>
    <d v="2026-08-20T00:00:00"/>
    <n v="32"/>
    <n v="0"/>
    <n v="44"/>
    <n v="0.375"/>
    <n v="0"/>
    <s v="Desviado"/>
    <m/>
    <m/>
    <m/>
    <m/>
    <m/>
    <m/>
    <n v="7"/>
    <n v="8"/>
    <m/>
    <n v="7"/>
    <n v="8"/>
    <m/>
    <n v="4"/>
    <n v="8"/>
    <n v="1"/>
    <m/>
    <m/>
    <n v="1"/>
    <m/>
    <m/>
    <m/>
    <m/>
    <m/>
    <m/>
  </r>
  <r>
    <x v="1"/>
    <s v="API-1431"/>
    <s v="[GDS Bookings] Handle Contacts in booking/updatepassengers endpoint"/>
    <s v="Cerrada"/>
    <d v="2026-08-31T00:00:00"/>
    <d v="2026-08-28T00:00:00"/>
    <n v="24"/>
    <n v="31"/>
    <n v="54"/>
    <n v="2.5416666666666665"/>
    <n v="1"/>
    <s v="Desviado"/>
    <m/>
    <m/>
    <m/>
    <m/>
    <m/>
    <m/>
    <m/>
    <m/>
    <m/>
    <m/>
    <m/>
    <m/>
    <m/>
    <m/>
    <n v="7"/>
    <n v="8"/>
    <m/>
    <n v="7"/>
    <n v="8"/>
    <n v="8"/>
    <n v="8"/>
    <m/>
    <m/>
    <n v="8"/>
  </r>
  <r>
    <x v="2"/>
    <s v="API-1253"/>
    <s v="[Boarding Passes]  Add connectsInStation"/>
    <s v="Finalizado"/>
    <d v="2025-09-08T00:00:00"/>
    <d v="2025-09-08T00:00:00"/>
    <n v="16"/>
    <n v="13"/>
    <n v="0"/>
    <n v="-0.1875"/>
    <n v="0"/>
    <s v="Normal"/>
    <m/>
    <m/>
    <m/>
    <m/>
    <m/>
    <m/>
    <m/>
    <m/>
    <m/>
    <m/>
    <m/>
    <m/>
    <m/>
    <m/>
    <m/>
    <m/>
    <m/>
    <m/>
    <m/>
    <m/>
    <m/>
    <m/>
    <m/>
    <m/>
  </r>
  <r>
    <x v="2"/>
    <s v="API-1292"/>
    <s v="Create /availability/presales"/>
    <s v="Finalizado"/>
    <d v="2025-09-18T00:00:00"/>
    <d v="2025-09-18T00:00:00"/>
    <n v="28"/>
    <n v="1"/>
    <n v="0"/>
    <n v="-0.9642857142857143"/>
    <n v="0"/>
    <s v="Normal"/>
    <m/>
    <m/>
    <m/>
    <m/>
    <m/>
    <m/>
    <m/>
    <m/>
    <m/>
    <m/>
    <m/>
    <m/>
    <m/>
    <m/>
    <m/>
    <m/>
    <m/>
    <m/>
    <m/>
    <m/>
    <m/>
    <m/>
    <m/>
    <m/>
  </r>
  <r>
    <x v="2"/>
    <s v="API-1299"/>
    <s v="[UK Tax] Mantain use of fees in booking and check-in flow"/>
    <s v="Finalizado"/>
    <d v="2025-09-09T00:00:00"/>
    <d v="2025-09-09T00:00:00"/>
    <n v="24"/>
    <n v="3"/>
    <n v="0"/>
    <n v="-0.875"/>
    <n v="0"/>
    <s v="Normal"/>
    <m/>
    <m/>
    <m/>
    <m/>
    <m/>
    <m/>
    <m/>
    <m/>
    <m/>
    <m/>
    <m/>
    <m/>
    <m/>
    <m/>
    <m/>
    <m/>
    <m/>
    <m/>
    <m/>
    <m/>
    <m/>
    <m/>
    <m/>
    <m/>
  </r>
  <r>
    <x v="2"/>
    <s v="API-1300"/>
    <s v="Discount the rgBundlePriceSimple to the AirfareDifference and show in bundleDifference"/>
    <s v="Finalizado"/>
    <d v="2025-09-17T00:00:00"/>
    <d v="2025-09-17T00:00:00"/>
    <n v="20"/>
    <n v="1"/>
    <n v="0"/>
    <n v="-0.95"/>
    <n v="0"/>
    <s v="Normal"/>
    <m/>
    <m/>
    <m/>
    <m/>
    <m/>
    <m/>
    <m/>
    <m/>
    <m/>
    <m/>
    <m/>
    <m/>
    <m/>
    <m/>
    <m/>
    <m/>
    <m/>
    <m/>
    <m/>
    <m/>
    <m/>
    <m/>
    <m/>
    <m/>
  </r>
  <r>
    <x v="3"/>
    <s v="API-771"/>
    <s v="Admin Panel Roles &amp; Security with Microsoft SSO"/>
    <s v="Reasignado"/>
    <m/>
    <d v="2026-01-30T00:00:00"/>
    <m/>
    <n v="107"/>
    <n v="0"/>
    <s v=""/>
    <n v="1"/>
    <s v="Sin estimación"/>
    <m/>
    <m/>
    <m/>
    <m/>
    <m/>
    <m/>
    <m/>
    <m/>
    <m/>
    <m/>
    <m/>
    <m/>
    <m/>
    <m/>
    <m/>
    <m/>
    <m/>
    <m/>
    <m/>
    <m/>
    <m/>
    <m/>
    <m/>
    <m/>
  </r>
  <r>
    <x v="3"/>
    <s v="API-1403"/>
    <s v="Reimbursement Options - Enable for SSR"/>
    <s v="Finalizado"/>
    <d v="2026-01-13T00:00:00"/>
    <d v="2026-01-13T00:00:00"/>
    <n v="8"/>
    <n v="8"/>
    <n v="0"/>
    <n v="0"/>
    <n v="1"/>
    <s v="Normal"/>
    <m/>
    <m/>
    <m/>
    <m/>
    <m/>
    <m/>
    <m/>
    <m/>
    <m/>
    <m/>
    <m/>
    <m/>
    <m/>
    <m/>
    <m/>
    <m/>
    <m/>
    <m/>
    <m/>
    <m/>
    <m/>
    <m/>
    <m/>
    <m/>
  </r>
  <r>
    <x v="3"/>
    <s v="API-1415"/>
    <s v="[PricesOptimizations] - Send additional fields into revGauge rgSSRPrices and rgBundlePrices"/>
    <s v="Reasignado"/>
    <d v="2026-01-08T00:00:00"/>
    <d v="2026-01-08T00:00:00"/>
    <n v="8"/>
    <n v="24"/>
    <n v="0"/>
    <n v="2"/>
    <n v="1"/>
    <s v="Desviado"/>
    <m/>
    <m/>
    <m/>
    <m/>
    <m/>
    <m/>
    <m/>
    <m/>
    <m/>
    <m/>
    <m/>
    <m/>
    <m/>
    <m/>
    <m/>
    <m/>
    <m/>
    <m/>
    <m/>
    <m/>
    <m/>
    <m/>
    <m/>
    <m/>
  </r>
  <r>
    <x v="3"/>
    <s v="API-1442"/>
    <s v="[IROP] Add compensation restriction per route"/>
    <s v="Reasignado"/>
    <d v="2026-01-16T00:00:00"/>
    <d v="2026-01-19T00:00:00"/>
    <n v="24"/>
    <n v="40"/>
    <n v="0"/>
    <n v="0.66666666666666663"/>
    <n v="1"/>
    <s v="Desviado"/>
    <m/>
    <m/>
    <m/>
    <m/>
    <m/>
    <m/>
    <m/>
    <m/>
    <m/>
    <m/>
    <m/>
    <m/>
    <m/>
    <m/>
    <m/>
    <m/>
    <m/>
    <m/>
    <m/>
    <m/>
    <m/>
    <m/>
    <m/>
    <m/>
  </r>
  <r>
    <x v="3"/>
    <s v="API-1500"/>
    <s v="[TrenMaya] - Do not return TrenMaya service when having multiple nationalities in the booking"/>
    <s v="Finalizado"/>
    <d v="2026-01-22T00:00:00"/>
    <d v="2026-01-22T00:00:00"/>
    <n v="16"/>
    <n v="16"/>
    <n v="0"/>
    <n v="0"/>
    <n v="1"/>
    <s v="Normal"/>
    <m/>
    <m/>
    <m/>
    <m/>
    <m/>
    <m/>
    <m/>
    <m/>
    <m/>
    <m/>
    <m/>
    <m/>
    <m/>
    <m/>
    <m/>
    <m/>
    <m/>
    <m/>
    <m/>
    <m/>
    <m/>
    <m/>
    <m/>
    <m/>
  </r>
  <r>
    <x v="3"/>
    <s v="API-1427"/>
    <s v="[Self-reaccomm] Handle Change Flight"/>
    <s v="Reasignado"/>
    <m/>
    <m/>
    <n v="24"/>
    <n v="21"/>
    <n v="0"/>
    <n v="-0.125"/>
    <n v="0"/>
    <s v="Normal"/>
    <m/>
    <m/>
    <m/>
    <m/>
    <m/>
    <m/>
    <m/>
    <m/>
    <m/>
    <m/>
    <m/>
    <m/>
    <m/>
    <m/>
    <m/>
    <m/>
    <m/>
    <m/>
    <m/>
    <m/>
    <m/>
    <m/>
    <m/>
    <m/>
  </r>
  <r>
    <x v="4"/>
    <s v="API-1609"/>
    <s v="[Services] - Available per culture code "/>
    <s v="Finalizado"/>
    <d v="2026-04-07T00:00:00"/>
    <d v="2026-04-08T00:00:00"/>
    <n v="16"/>
    <n v="27.5"/>
    <n v="0"/>
    <n v="0.71875"/>
    <n v="3"/>
    <s v="Desviado"/>
    <s v="Se registraron tres devoluciones de revisión entre el 08 y el 10/04. Cada devolución requirió ajustes funcionales, actualización del código y una nueva validación antes de integrar el PR. El tiempo adicional corresponde principalmente a estos ciclos de revisión."/>
    <m/>
    <m/>
    <m/>
    <m/>
    <m/>
    <m/>
    <m/>
    <m/>
    <m/>
    <m/>
    <m/>
    <m/>
    <m/>
    <m/>
    <m/>
    <m/>
    <m/>
    <m/>
    <m/>
    <m/>
    <m/>
    <m/>
    <m/>
  </r>
  <r>
    <x v="4"/>
    <s v="API-1446"/>
    <s v="[Payments] Change Expiration Date calculation with setting in AP"/>
    <s v="Finalizado"/>
    <d v="2026-04-15T00:00:00"/>
    <d v="2026-04-16T00:00:00"/>
    <n v="16"/>
    <n v="19"/>
    <n v="0"/>
    <n v="0.1875"/>
    <n v="4"/>
    <s v="Normal"/>
    <m/>
    <m/>
    <m/>
    <m/>
    <m/>
    <m/>
    <m/>
    <m/>
    <m/>
    <m/>
    <m/>
    <m/>
    <m/>
    <m/>
    <m/>
    <m/>
    <m/>
    <m/>
    <m/>
    <m/>
    <m/>
    <m/>
    <m/>
    <m/>
  </r>
  <r>
    <x v="4"/>
    <s v="API-1608"/>
    <s v="[Avasa] Add reservationNumber to booking/full response"/>
    <s v="En revisión"/>
    <d v="2026-04-13T00:00:00"/>
    <d v="2026-04-13T00:00:00"/>
    <n v="4"/>
    <n v="8.5"/>
    <n v="0"/>
    <n v="1.125"/>
    <n v="1"/>
    <s v="Desviado"/>
    <m/>
    <m/>
    <m/>
    <m/>
    <m/>
    <m/>
    <m/>
    <m/>
    <m/>
    <m/>
    <m/>
    <m/>
    <m/>
    <m/>
    <m/>
    <m/>
    <m/>
    <m/>
    <m/>
    <m/>
    <m/>
    <m/>
    <m/>
    <m/>
  </r>
  <r>
    <x v="4"/>
    <s v="API-1574"/>
    <s v="[Child registration] Adjustments in booking/full"/>
    <s v="Finalizado"/>
    <d v="2026-04-15T00:00:00"/>
    <d v="2026-08-03T00:00:00"/>
    <n v="12"/>
    <n v="15.5"/>
    <n v="4"/>
    <n v="0.625"/>
    <n v="2"/>
    <s v="Desviado"/>
    <m/>
    <n v="4"/>
    <m/>
    <m/>
    <m/>
    <m/>
    <m/>
    <m/>
    <m/>
    <m/>
    <m/>
    <m/>
    <m/>
    <m/>
    <m/>
    <m/>
    <m/>
    <m/>
    <m/>
    <m/>
    <m/>
    <m/>
    <m/>
    <m/>
  </r>
  <r>
    <x v="4"/>
    <s v="API-1623"/>
    <s v="[Services] - New config to not return services in bookings with infants"/>
    <s v="Finalizado"/>
    <d v="2026-04-20T00:00:00"/>
    <d v="2026-04-20T00:00:00"/>
    <n v="16"/>
    <n v="18.5"/>
    <n v="0"/>
    <n v="0.15625"/>
    <n v="2"/>
    <s v="Normal"/>
    <m/>
    <m/>
    <m/>
    <m/>
    <m/>
    <m/>
    <m/>
    <m/>
    <m/>
    <m/>
    <m/>
    <m/>
    <m/>
    <m/>
    <m/>
    <m/>
    <m/>
    <m/>
    <m/>
    <m/>
    <m/>
    <m/>
    <m/>
    <m/>
  </r>
  <r>
    <x v="4"/>
    <s v="API-1620"/>
    <s v="[IROP] Block carrier flights from rebook options"/>
    <s v="Finalizado"/>
    <d v="2026-04-21T00:00:00"/>
    <d v="2026-04-22T00:00:00"/>
    <n v="16"/>
    <n v="16"/>
    <n v="0"/>
    <n v="0"/>
    <n v="2"/>
    <s v="Normal"/>
    <m/>
    <m/>
    <m/>
    <m/>
    <m/>
    <m/>
    <m/>
    <m/>
    <m/>
    <m/>
    <m/>
    <m/>
    <m/>
    <m/>
    <m/>
    <m/>
    <m/>
    <m/>
    <m/>
    <m/>
    <m/>
    <m/>
    <m/>
    <m/>
  </r>
  <r>
    <x v="4"/>
    <s v="API-1604"/>
    <s v="[Doters] Increase minimum amount with bundles"/>
    <s v="Cerrado"/>
    <d v="2026-04-27T00:00:00"/>
    <d v="2026-04-27T00:00:00"/>
    <n v="24"/>
    <n v="23"/>
    <n v="0"/>
    <n v="-4.1666666666666664E-2"/>
    <n v="0"/>
    <s v="Normal"/>
    <m/>
    <m/>
    <m/>
    <m/>
    <m/>
    <m/>
    <m/>
    <m/>
    <m/>
    <m/>
    <m/>
    <m/>
    <m/>
    <m/>
    <m/>
    <m/>
    <m/>
    <m/>
    <m/>
    <m/>
    <m/>
    <m/>
    <m/>
    <m/>
  </r>
  <r>
    <x v="4"/>
    <s v="API-1547"/>
    <s v="[Child registration] Adjustments in account/companions"/>
    <s v="En revisión"/>
    <d v="2026-04-30T00:00:00"/>
    <d v="2026-08-28T00:00:00"/>
    <n v="24"/>
    <n v="28"/>
    <n v="4"/>
    <n v="0.33333333333333331"/>
    <n v="1"/>
    <s v="Desviado"/>
    <m/>
    <m/>
    <m/>
    <m/>
    <m/>
    <m/>
    <m/>
    <m/>
    <m/>
    <m/>
    <m/>
    <m/>
    <m/>
    <m/>
    <m/>
    <m/>
    <m/>
    <m/>
    <m/>
    <m/>
    <n v="4"/>
    <m/>
    <m/>
    <m/>
  </r>
  <r>
    <x v="4"/>
    <s v="API-1565"/>
    <s v="[TotalRefund] - Comment added multiple times for each payment attempt"/>
    <s v="En revisión"/>
    <d v="2026-05-04T00:00:00"/>
    <d v="2026-05-01T00:00:00"/>
    <n v="8"/>
    <n v="16"/>
    <n v="0"/>
    <n v="1"/>
    <n v="0"/>
    <s v="Desviado"/>
    <s v="Reabierto el 09/07. Se creó la colección, se generaron 7 evidencias y se realizó un ajuste funcional entre el 09–10/07 para agregar RefundableAmount únicamente después de un pago aprobado."/>
    <m/>
    <m/>
    <m/>
    <m/>
    <m/>
    <m/>
    <m/>
    <m/>
    <m/>
    <m/>
    <m/>
    <m/>
    <m/>
    <m/>
    <m/>
    <m/>
    <m/>
    <m/>
    <m/>
    <m/>
    <m/>
    <m/>
    <m/>
  </r>
  <r>
    <x v="4"/>
    <s v="API-1584"/>
    <s v="[MethodsAvailable] Handling available payments with errors in external services (vivaCash-YunoWallets)"/>
    <s v="En revisión"/>
    <d v="2026-05-08T00:00:00"/>
    <d v="2026-05-08T00:00:00"/>
    <n v="16"/>
    <n v="30"/>
    <n v="0"/>
    <n v="0.875"/>
    <n v="0"/>
    <s v="Desviado"/>
    <s v="Reabierto el 22/07. Existe un worklog explícito de preparación de Postman. La colección y las 7 evidencias fueron trabajadas entre el 23–29/07, incluyendo validaciones de continuidad del servicio y regresión de otros métodos de pago."/>
    <m/>
    <m/>
    <m/>
    <m/>
    <m/>
    <m/>
    <m/>
    <m/>
    <m/>
    <m/>
    <m/>
    <m/>
    <m/>
    <m/>
    <m/>
    <m/>
    <m/>
    <m/>
    <m/>
    <m/>
    <m/>
    <m/>
    <m/>
  </r>
  <r>
    <x v="4"/>
    <s v="API-1624"/>
    <s v="[Transfer] - Block booking rules for transfered bookings"/>
    <s v="Finalizado"/>
    <d v="2026-05-05T00:00:00"/>
    <d v="2026-05-05T00:00:00"/>
    <n v="12"/>
    <n v="22"/>
    <n v="0"/>
    <n v="0.83333333333333337"/>
    <n v="3"/>
    <s v="Desviado"/>
    <s v="La revisión provocó la reapertura del ticket y 3 correcciones funcionales entre el 17–19/06. Posteriormente se prepararon una guía, una colección de Postman y 7 evidencias entre el 06–08/07. El PR se integró el 16/07."/>
    <m/>
    <m/>
    <m/>
    <m/>
    <m/>
    <m/>
    <m/>
    <m/>
    <m/>
    <m/>
    <m/>
    <m/>
    <m/>
    <m/>
    <m/>
    <m/>
    <m/>
    <m/>
    <m/>
    <m/>
    <m/>
    <m/>
    <m/>
  </r>
  <r>
    <x v="4"/>
    <s v="API-1289"/>
    <s v="Investigation - Issue with boarding pass when empty comment"/>
    <s v="En revisión"/>
    <s v="No aplica"/>
    <d v="2026-05-13T00:00:00"/>
    <s v="No aplica"/>
    <n v="24"/>
    <n v="0"/>
    <s v=""/>
    <n v="0"/>
    <s v="Sin estimación"/>
    <m/>
    <m/>
    <m/>
    <m/>
    <m/>
    <m/>
    <m/>
    <m/>
    <m/>
    <m/>
    <m/>
    <m/>
    <m/>
    <m/>
    <m/>
    <m/>
    <m/>
    <m/>
    <m/>
    <m/>
    <m/>
    <m/>
    <m/>
    <m/>
  </r>
  <r>
    <x v="4"/>
    <s v="API-1667"/>
    <s v="[Operational] - Investigation - AddSeat - nsk:Seats:JourneyKeyMissingForPassengerWithSeat"/>
    <s v="Bloqueado"/>
    <s v="No aplica"/>
    <d v="2026-05-14T00:00:00"/>
    <s v="No aplica"/>
    <n v="16"/>
    <n v="0"/>
    <s v=""/>
    <n v="0"/>
    <s v="Sin estimación"/>
    <m/>
    <m/>
    <m/>
    <m/>
    <m/>
    <m/>
    <m/>
    <m/>
    <m/>
    <m/>
    <m/>
    <m/>
    <m/>
    <m/>
    <m/>
    <m/>
    <m/>
    <m/>
    <m/>
    <m/>
    <m/>
    <m/>
    <m/>
    <m/>
  </r>
  <r>
    <x v="4"/>
    <s v="API-1657"/>
    <s v="[Tren Maya] - Filter fares by national o international nationalities"/>
    <s v="En revisión"/>
    <d v="2026-05-18T00:00:00"/>
    <d v="2026-05-18T00:00:00"/>
    <n v="16"/>
    <n v="26"/>
    <n v="0"/>
    <n v="0.625"/>
    <n v="2"/>
    <s v="Desviado"/>
    <s v="Reabierto el 17/07. Se creó la colección y se encontraron 8 evidencias, correspondientes al antes y después de los tres escenarios, completadas el 28/07."/>
    <m/>
    <m/>
    <m/>
    <m/>
    <m/>
    <m/>
    <m/>
    <m/>
    <m/>
    <m/>
    <m/>
    <m/>
    <m/>
    <m/>
    <m/>
    <m/>
    <m/>
    <m/>
    <m/>
    <m/>
    <m/>
    <m/>
    <m/>
  </r>
  <r>
    <x v="4"/>
    <s v="API-1598"/>
    <s v="Encrypt input password "/>
    <s v="En revisión"/>
    <d v="2026-05-28T00:00:00"/>
    <d v="2026-05-27T00:00:00"/>
    <n v="50"/>
    <n v="50"/>
    <n v="0"/>
    <n v="0"/>
    <n v="0"/>
    <s v="Normal"/>
    <m/>
    <m/>
    <m/>
    <m/>
    <m/>
    <m/>
    <m/>
    <m/>
    <m/>
    <m/>
    <m/>
    <m/>
    <m/>
    <m/>
    <m/>
    <m/>
    <m/>
    <m/>
    <m/>
    <m/>
    <m/>
    <m/>
    <m/>
    <m/>
  </r>
  <r>
    <x v="4"/>
    <s v="API-1680"/>
    <s v="[IROP] IROP Availability"/>
    <s v="Comentarios"/>
    <d v="2026-06-01T00:00:00"/>
    <d v="2026-06-02T00:00:00"/>
    <n v="24"/>
    <n v="28"/>
    <n v="0"/>
    <n v="0.16666666666666666"/>
    <n v="2"/>
    <s v="Normal"/>
    <m/>
    <m/>
    <m/>
    <m/>
    <m/>
    <m/>
    <m/>
    <m/>
    <m/>
    <m/>
    <m/>
    <m/>
    <m/>
    <m/>
    <m/>
    <m/>
    <m/>
    <m/>
    <m/>
    <m/>
    <m/>
    <m/>
    <m/>
    <m/>
  </r>
  <r>
    <x v="4"/>
    <s v="API-1653"/>
    <s v="[Viva Candy] - Adjust post passenger service for Bookings with Hotel SSR"/>
    <s v="En revisión"/>
    <d v="2026-06-04T00:00:00"/>
    <m/>
    <n v="24"/>
    <n v="32"/>
    <n v="0"/>
    <n v="0.33333333333333331"/>
    <n v="0"/>
    <s v="Desviado"/>
    <s v="Reabierto el 21/07. Se preparó la colección y se generaron 6 evidencias entre el 21–23/07, incluyendo resultados antes y después para bookings con y sin hotel."/>
    <m/>
    <m/>
    <m/>
    <m/>
    <m/>
    <m/>
    <m/>
    <m/>
    <m/>
    <m/>
    <m/>
    <m/>
    <m/>
    <m/>
    <m/>
    <m/>
    <m/>
    <m/>
    <m/>
    <m/>
    <m/>
    <m/>
    <m/>
  </r>
  <r>
    <x v="4"/>
    <s v="API-1673"/>
    <s v="[Partial Payment] - Return cancellation date and amount for hotels in basket and booking ouput"/>
    <s v="Finalizado"/>
    <d v="2026-06-09T00:00:00"/>
    <d v="2026-06-09T00:00:00"/>
    <n v="24"/>
    <n v="40"/>
    <n v="0"/>
    <n v="0.66666666666666663"/>
    <n v="0"/>
    <s v="Desviado"/>
    <s v="Se preparó la colección y se encontraron 13 evidencias entre el 08–13/07. El PR se integró el 14/07. Las pruebas posteriores también derivaron en un ajuste y rollback el 23/07."/>
    <m/>
    <m/>
    <m/>
    <m/>
    <m/>
    <m/>
    <m/>
    <m/>
    <m/>
    <m/>
    <m/>
    <m/>
    <m/>
    <m/>
    <m/>
    <m/>
    <m/>
    <m/>
    <m/>
    <m/>
    <m/>
    <m/>
    <m/>
  </r>
  <r>
    <x v="4"/>
    <s v="API-1603"/>
    <s v="[Doters] Response amount of points in booking"/>
    <s v="Reasignado"/>
    <d v="2026-04-15T00:00:00"/>
    <d v="2026-04-15T00:00:00"/>
    <n v="24"/>
    <n v="48"/>
    <n v="0"/>
    <n v="1"/>
    <n v="1"/>
    <s v="Desviado"/>
    <s v="Durante la revisión se solicitó limitar la solución exclusivamente al flujo Doters, lo que requirió retirar parte de la implementación y rehacer el ajuste. Posteriormente se presentó un NullReferenceException en UAT, se realizó rollback y se creó el PR #2417. También se preparó y corrigió un script end-to-end, se revisó la configuración del OTP externo y finalmente se validaron siete combinaciones en UAT."/>
    <m/>
    <m/>
    <m/>
    <m/>
    <m/>
    <m/>
    <m/>
    <m/>
    <m/>
    <m/>
    <m/>
    <m/>
    <m/>
    <m/>
    <m/>
    <m/>
    <m/>
    <m/>
    <m/>
    <m/>
    <m/>
    <m/>
    <m/>
  </r>
  <r>
    <x v="4"/>
    <s v="API-1664"/>
    <s v="Pricing Type - Change Seat - booking flow"/>
    <s v="Comentarios"/>
    <d v="2026-06-16T00:00:00"/>
    <d v="2026-06-18T00:00:00"/>
    <n v="16"/>
    <n v="48"/>
    <n v="0"/>
    <n v="2"/>
    <n v="0"/>
    <s v="Desviado"/>
    <s v="Se prepararon colecciones, se ejecutaron manualmente los seis escenarios y se generaron 12 evidencias Before/After. Las pruebas detectaron un ajuste adicional para impedir compras anónimas con puntos. También fue necesario validar manualmente escenarios cuyas precondiciones no se ejecutaban correctamente en Newman. Se registraron 16 h adicionales después de incorporarse la matriz."/>
    <m/>
    <m/>
    <m/>
    <m/>
    <m/>
    <m/>
    <m/>
    <m/>
    <m/>
    <m/>
    <m/>
    <m/>
    <m/>
    <m/>
    <m/>
    <m/>
    <m/>
    <m/>
    <m/>
    <m/>
    <m/>
    <m/>
    <m/>
  </r>
  <r>
    <x v="4"/>
    <s v="API-1663"/>
    <s v="Price Type - Get Seatmaps"/>
    <s v="Bloqueado"/>
    <d v="2026-06-17T00:00:00"/>
    <d v="2026-06-16T00:00:00"/>
    <n v="20"/>
    <n v="40"/>
    <n v="0"/>
    <n v="1"/>
    <n v="0"/>
    <s v="Desviado"/>
    <s v="Los casos requirieron diferentes configuraciones del feature toggle, cambios en el Admin Portal y reinicios de la API. TC08–TC10 detectaron pointAmount = 0 en el flujo Manage, por lo que se realizó una corrección adicional en CurrencyProvider. También se actualizaron las aserciones de Postman, se repitieron las pruebas y se generaron 20 evidencias Before/After, junto con la colección y los resultados Newman. Se registraron 20 h adicionales después de agregarse la matriz."/>
    <m/>
    <m/>
    <m/>
    <m/>
    <m/>
    <m/>
    <m/>
    <m/>
    <m/>
    <m/>
    <m/>
    <m/>
    <m/>
    <m/>
    <m/>
    <m/>
    <m/>
    <m/>
    <m/>
    <m/>
    <m/>
    <m/>
    <m/>
  </r>
  <r>
    <x v="4"/>
    <s v="API-1694"/>
    <s v="Internal endpoint to retrieve usernames of users who have a specific flight in their trips"/>
    <s v="Finalizado"/>
    <d v="2026-07-16T00:00:00"/>
    <d v="2026-08-19T00:00:00"/>
    <n v="40"/>
    <n v="40"/>
    <n v="16"/>
    <n v="0.4"/>
    <n v="2"/>
    <s v="Desviado"/>
    <m/>
    <m/>
    <m/>
    <m/>
    <m/>
    <m/>
    <m/>
    <m/>
    <m/>
    <m/>
    <n v="8"/>
    <m/>
    <m/>
    <n v="8"/>
    <m/>
    <m/>
    <m/>
    <m/>
    <m/>
    <m/>
    <m/>
    <m/>
    <m/>
    <m/>
  </r>
  <r>
    <x v="4"/>
    <s v="API-1706"/>
    <s v="[Hotels] - Basket is not extended with hotel information into dispatcher when hotel is added in manage my booking"/>
    <s v="Finalizado"/>
    <m/>
    <m/>
    <n v="0"/>
    <n v="52"/>
    <n v="0"/>
    <s v=""/>
    <n v="2"/>
    <s v="Sin estimación"/>
    <m/>
    <m/>
    <m/>
    <m/>
    <m/>
    <m/>
    <m/>
    <m/>
    <m/>
    <m/>
    <m/>
    <m/>
    <m/>
    <m/>
    <m/>
    <m/>
    <m/>
    <m/>
    <m/>
    <m/>
    <m/>
    <m/>
    <m/>
    <m/>
  </r>
  <r>
    <x v="4"/>
    <s v="API-1680"/>
    <s v="[IROP] IROP Availability"/>
    <s v="Finalizado"/>
    <d v="2026-06-01T00:00:00"/>
    <d v="2026-06-02T00:00:00"/>
    <n v="24"/>
    <n v="16"/>
    <n v="0"/>
    <n v="-0.33333333333333331"/>
    <n v="2"/>
    <s v="Normal"/>
    <m/>
    <m/>
    <m/>
    <m/>
    <m/>
    <m/>
    <m/>
    <m/>
    <m/>
    <m/>
    <m/>
    <m/>
    <m/>
    <m/>
    <m/>
    <m/>
    <m/>
    <m/>
    <m/>
    <m/>
    <m/>
    <m/>
    <m/>
    <m/>
  </r>
  <r>
    <x v="4"/>
    <s v="API-1515"/>
    <s v="Investigation - [IROP] Delays in flight through"/>
    <s v="Finalizado"/>
    <d v="2026-07-21T00:00:00"/>
    <d v="2026-08-24T00:00:00"/>
    <m/>
    <n v="32"/>
    <n v="18"/>
    <s v=""/>
    <n v="5"/>
    <s v="Sin estimación"/>
    <m/>
    <m/>
    <m/>
    <m/>
    <n v="4"/>
    <n v="4"/>
    <m/>
    <m/>
    <m/>
    <m/>
    <m/>
    <m/>
    <n v="8"/>
    <m/>
    <m/>
    <m/>
    <n v="2"/>
    <m/>
    <m/>
    <m/>
    <m/>
    <m/>
    <m/>
    <m/>
  </r>
  <r>
    <x v="4"/>
    <s v="API-1786"/>
    <s v="[Partial Payment] - Return Cancellation date and amount for hotels in basket and booking output"/>
    <s v="Finalizado"/>
    <d v="2026-08-03T00:00:00"/>
    <d v="2026-08-03T00:00:00"/>
    <m/>
    <n v="16"/>
    <n v="4"/>
    <s v=""/>
    <n v="2"/>
    <s v="Sin estimación"/>
    <m/>
    <n v="4"/>
    <m/>
    <m/>
    <m/>
    <m/>
    <m/>
    <m/>
    <m/>
    <m/>
    <m/>
    <m/>
    <m/>
    <m/>
    <m/>
    <m/>
    <m/>
    <m/>
    <m/>
    <m/>
    <m/>
    <m/>
    <m/>
    <m/>
  </r>
  <r>
    <x v="4"/>
    <s v="API-1402"/>
    <s v="[GreenCard] CheckinBlockedPassengerHasNoVisaOrGreenCard"/>
    <s v="En revisión "/>
    <d v="2026-08-04T00:00:00"/>
    <d v="2026-08-04T00:00:00"/>
    <n v="10"/>
    <n v="16"/>
    <n v="4"/>
    <n v="1"/>
    <n v="1"/>
    <s v="Desviado"/>
    <m/>
    <m/>
    <n v="4"/>
    <m/>
    <m/>
    <m/>
    <m/>
    <m/>
    <m/>
    <m/>
    <m/>
    <m/>
    <m/>
    <m/>
    <m/>
    <m/>
    <m/>
    <m/>
    <m/>
    <m/>
    <m/>
    <m/>
    <m/>
    <m/>
  </r>
  <r>
    <x v="4"/>
    <s v="API-1240"/>
    <s v="[ExpressTag] Create Booking Rule DisplayExpressTag"/>
    <s v="En revisión "/>
    <d v="2026-03-26T00:00:00"/>
    <d v="2026-08-04T00:00:00"/>
    <n v="24"/>
    <n v="35"/>
    <n v="4"/>
    <n v="0.625"/>
    <n v="0"/>
    <s v="Desviado"/>
    <m/>
    <m/>
    <n v="4"/>
    <m/>
    <m/>
    <m/>
    <m/>
    <m/>
    <m/>
    <m/>
    <m/>
    <m/>
    <m/>
    <m/>
    <m/>
    <m/>
    <m/>
    <m/>
    <m/>
    <m/>
    <m/>
    <m/>
    <m/>
    <m/>
  </r>
  <r>
    <x v="4"/>
    <s v="API-1711"/>
    <s v="Pricing Type - Extend Basket Output For Services and Seats and Grouping by PriceType"/>
    <s v="Finalizado"/>
    <m/>
    <d v="2026-08-28T00:00:00"/>
    <m/>
    <n v="0"/>
    <n v="48"/>
    <s v=""/>
    <n v="2"/>
    <s v="Sin estimación"/>
    <m/>
    <m/>
    <m/>
    <n v="8"/>
    <n v="4"/>
    <n v="4"/>
    <n v="8"/>
    <n v="8"/>
    <n v="8"/>
    <m/>
    <m/>
    <m/>
    <m/>
    <m/>
    <m/>
    <m/>
    <m/>
    <m/>
    <n v="4"/>
    <m/>
    <n v="4"/>
    <m/>
    <m/>
    <m/>
  </r>
  <r>
    <x v="4"/>
    <s v="API-1654"/>
    <s v="Investigation - [IROP] Forced Approval in irop details"/>
    <s v="Bloqueado"/>
    <m/>
    <m/>
    <m/>
    <n v="0"/>
    <n v="16"/>
    <s v=""/>
    <m/>
    <s v="Sin estimación"/>
    <m/>
    <m/>
    <m/>
    <m/>
    <m/>
    <m/>
    <m/>
    <m/>
    <m/>
    <n v="8"/>
    <m/>
    <n v="8"/>
    <m/>
    <m/>
    <m/>
    <m/>
    <m/>
    <m/>
    <m/>
    <m/>
    <m/>
    <m/>
    <m/>
    <m/>
  </r>
  <r>
    <x v="4"/>
    <s v="API-1834"/>
    <s v="[Doters] Loyalty excluded amount is being affected incorrectly"/>
    <s v="Tareas por hacer"/>
    <m/>
    <m/>
    <n v="30"/>
    <n v="0"/>
    <n v="24"/>
    <n v="-0.2"/>
    <n v="0"/>
    <s v="Normal"/>
    <m/>
    <m/>
    <m/>
    <m/>
    <m/>
    <m/>
    <m/>
    <m/>
    <m/>
    <m/>
    <m/>
    <m/>
    <m/>
    <m/>
    <n v="8"/>
    <n v="8"/>
    <m/>
    <m/>
    <m/>
    <n v="8"/>
    <m/>
    <m/>
    <m/>
    <m/>
  </r>
  <r>
    <x v="4"/>
    <s v="API-1738"/>
    <s v="Display Passengers Changes"/>
    <s v="En curso"/>
    <d v="2026-08-31T00:00:00"/>
    <d v="2026-08-31T00:00:00"/>
    <n v="64"/>
    <n v="0"/>
    <n v="26"/>
    <n v="-0.59375"/>
    <n v="3"/>
    <s v="Normal"/>
    <m/>
    <m/>
    <m/>
    <m/>
    <m/>
    <m/>
    <m/>
    <m/>
    <m/>
    <m/>
    <m/>
    <m/>
    <m/>
    <m/>
    <m/>
    <m/>
    <n v="6"/>
    <n v="8"/>
    <n v="4"/>
    <m/>
    <m/>
    <m/>
    <m/>
    <n v="8"/>
  </r>
  <r>
    <x v="5"/>
    <s v="API-1672"/>
    <s v="[Car Rental] - Avasa rates - modify and make corpRateId configurable"/>
    <s v="En revisión"/>
    <d v="2026-06-16T00:00:00"/>
    <d v="2026-06-24T00:00:00"/>
    <n v="8"/>
    <n v="53"/>
    <n v="0"/>
    <n v="5.625"/>
    <n v="0"/>
    <s v="Desviado"/>
    <s v="Primer ticket asignado - curva de aprendizaje"/>
    <m/>
    <m/>
    <m/>
    <m/>
    <m/>
    <m/>
    <m/>
    <m/>
    <m/>
    <m/>
    <m/>
    <m/>
    <m/>
    <m/>
    <m/>
    <m/>
    <m/>
    <m/>
    <m/>
    <m/>
    <m/>
    <m/>
    <m/>
  </r>
  <r>
    <x v="5"/>
    <s v="API-1705"/>
    <s v="Add in Features the option of &quot;Coupons&quot;"/>
    <s v="Finalizada"/>
    <d v="2026-07-01T00:00:00"/>
    <d v="2026-07-01T00:00:00"/>
    <n v="1"/>
    <n v="13"/>
    <n v="0"/>
    <n v="12"/>
    <n v="1"/>
    <s v="Desviado"/>
    <s v="Fue uno de los primeros ticket que resolvi, parte del desvio estuvo en tener todo el setup y entender la solución. al margen de eso, considero que estimación de 1h no existe, ya el solo hecho de pasarse al Branch master, actualizar, crear un nuevo Branch, crear una sub tarea con toda la matriz de test cases, recabar todas las evidencias que satisfacen cada test case de la matriz, hacer el pull request y dejar todo en review, ya solo eso lleva mas de 1h y a eso sumarle el tiempo de desarrollo. quizás esta tarea originalmente se podría resolver en medio día, digamos 4h. pero no 1h, ni tampoco 12h."/>
    <m/>
    <m/>
    <m/>
    <m/>
    <m/>
    <m/>
    <m/>
    <m/>
    <m/>
    <m/>
    <m/>
    <m/>
    <m/>
    <m/>
    <m/>
    <m/>
    <m/>
    <m/>
    <m/>
    <m/>
    <m/>
    <m/>
    <m/>
  </r>
  <r>
    <x v="5"/>
    <s v="API-1693"/>
    <s v="[Tren Maya] - Hide tren maya credentials from the logs and avoid breaking the flow when error in authentication"/>
    <s v="En revisión"/>
    <d v="2026-06-22T00:00:00"/>
    <d v="2026-06-29T00:00:00"/>
    <n v="20"/>
    <n v="39"/>
    <n v="0"/>
    <n v="0.95"/>
    <n v="0"/>
    <s v="Desviado"/>
    <s v="Fue un desarrollo sensible por que implicaba validaciones contra datadog. El ticket regreso solicitando aun mas evidencias."/>
    <m/>
    <m/>
    <m/>
    <m/>
    <m/>
    <m/>
    <m/>
    <m/>
    <m/>
    <m/>
    <m/>
    <m/>
    <m/>
    <m/>
    <m/>
    <m/>
    <m/>
    <m/>
    <m/>
    <m/>
    <m/>
    <m/>
    <m/>
  </r>
  <r>
    <x v="5"/>
    <s v="API-1753"/>
    <s v="Onboarding Proyecto Generic Api - Viva"/>
    <s v="Cerrada"/>
    <d v="2026-07-30T00:00:00"/>
    <d v="2026-06-22T00:00:00"/>
    <n v="6"/>
    <n v="6"/>
    <n v="0"/>
    <n v="0"/>
    <n v="0"/>
    <s v="Normal"/>
    <m/>
    <m/>
    <m/>
    <m/>
    <m/>
    <m/>
    <m/>
    <m/>
    <m/>
    <m/>
    <m/>
    <m/>
    <m/>
    <m/>
    <m/>
    <m/>
    <m/>
    <m/>
    <m/>
    <m/>
    <m/>
    <m/>
    <m/>
    <m/>
  </r>
  <r>
    <x v="5"/>
    <s v="API-1700"/>
    <s v="[TransferCancel] - Transfer cancel - blocked by booking rules"/>
    <s v="Finalizada"/>
    <d v="2026-07-06T00:00:00"/>
    <d v="2026-08-07T00:00:00"/>
    <n v="12"/>
    <n v="25"/>
    <n v="0"/>
    <n v="1.0833333333333333"/>
    <n v="0"/>
    <s v="Desviado"/>
    <s v="Este también fue un desarrollo complejo, implicaba probar muchos casos, crear un basket, crear la reserva, iniciar la transferencia, cancelar. de hecho en la sub tarea sume muchísima evidencia. también hubo una devolución del ticket._x000a_ "/>
    <m/>
    <m/>
    <m/>
    <m/>
    <m/>
    <m/>
    <m/>
    <m/>
    <m/>
    <m/>
    <m/>
    <m/>
    <m/>
    <m/>
    <m/>
    <m/>
    <m/>
    <m/>
    <m/>
    <m/>
    <m/>
    <m/>
    <m/>
  </r>
  <r>
    <x v="5"/>
    <s v="API-1736"/>
    <s v="Add in Features the option of &quot;VerifiedNumber&quot;"/>
    <s v="Finalizada"/>
    <d v="2026-07-10T00:00:00"/>
    <d v="2026-07-09T00:00:00"/>
    <n v="0"/>
    <n v="12"/>
    <n v="0"/>
    <s v=""/>
    <n v="1"/>
    <s v="Sin estimación"/>
    <m/>
    <m/>
    <m/>
    <m/>
    <m/>
    <m/>
    <m/>
    <m/>
    <m/>
    <m/>
    <m/>
    <m/>
    <m/>
    <m/>
    <m/>
    <m/>
    <m/>
    <m/>
    <m/>
    <m/>
    <m/>
    <m/>
    <m/>
    <m/>
  </r>
  <r>
    <x v="5"/>
    <s v="API-1712"/>
    <s v="Endpoint of /account/coupons show redeemed coupons"/>
    <s v="Finalizada"/>
    <m/>
    <d v="2026-07-15T00:00:00"/>
    <n v="24"/>
    <n v="47"/>
    <n v="0"/>
    <n v="0.95833333333333337"/>
    <n v="7"/>
    <s v="Desviado"/>
    <s v="Este ticket implicaba agregar nuevos datos para capturarlos del proveedor Gravty y sumarlos en las respuesta de la api. me encargue de validar mediante fiddler todo el trafico hacia Gravty y obtener las respuestas para sumarlas de evidencias. este ticket también tuvo algo particular, volvió varias veces, pero por que Marcin me hizo un primer review con comentarios, corregi los comentarios cambiando el código y en el mismo GitHub le respondi, resulta que el veía los cambios en el código pero no veía mis respuestas, de ese modo tuvimos varios idas y vuelta, a un punto que en una daily dijo este ticket no lo reviso mas. nos juntamos con Didier y el vio que yo SI respondia a los mensajes de Marcin pero el no los veía, en resumen en GitHub yo no había realizado submit de mis respuestas por eso Marcin no veía, luego de eso se aprobó rapidísimo y paso a producción."/>
    <m/>
    <m/>
    <m/>
    <m/>
    <m/>
    <m/>
    <m/>
    <m/>
    <m/>
    <m/>
    <m/>
    <m/>
    <m/>
    <m/>
    <m/>
    <m/>
    <m/>
    <m/>
    <m/>
    <m/>
    <m/>
    <m/>
    <m/>
  </r>
  <r>
    <x v="5"/>
    <s v="API-1742"/>
    <s v="[Child registration] Manifest comment in booking"/>
    <s v="Finalizada"/>
    <d v="2026-07-20T00:00:00"/>
    <d v="2026-07-17T00:00:00"/>
    <n v="16"/>
    <n v="20"/>
    <n v="0"/>
    <n v="0.25"/>
    <n v="1"/>
    <s v="Normal"/>
    <m/>
    <m/>
    <m/>
    <m/>
    <m/>
    <m/>
    <m/>
    <m/>
    <m/>
    <m/>
    <m/>
    <m/>
    <m/>
    <m/>
    <m/>
    <m/>
    <m/>
    <m/>
    <m/>
    <m/>
    <m/>
    <m/>
    <m/>
    <m/>
  </r>
  <r>
    <x v="5"/>
    <s v="API-1409"/>
    <s v="[VivaCandy] - Include bundle information in getFares request"/>
    <s v="Finalizada"/>
    <d v="2026-07-23T00:00:00"/>
    <d v="2026-08-05T00:00:00"/>
    <n v="6"/>
    <n v="15"/>
    <n v="1"/>
    <n v="1.6666666666666667"/>
    <n v="0"/>
    <s v="Desviado"/>
    <m/>
    <m/>
    <m/>
    <n v="1"/>
    <m/>
    <m/>
    <m/>
    <m/>
    <m/>
    <m/>
    <m/>
    <m/>
    <m/>
    <m/>
    <m/>
    <m/>
    <m/>
    <m/>
    <m/>
    <m/>
    <m/>
    <m/>
    <m/>
    <m/>
  </r>
  <r>
    <x v="5"/>
    <s v="API-1744"/>
    <s v="[TransferBooking] - Email adjustments"/>
    <s v="UAT"/>
    <m/>
    <d v="2026-08-24T00:00:00"/>
    <n v="14"/>
    <n v="5"/>
    <n v="2"/>
    <n v="-0.5"/>
    <n v="1"/>
    <s v="Normal"/>
    <m/>
    <m/>
    <m/>
    <m/>
    <m/>
    <m/>
    <m/>
    <m/>
    <m/>
    <m/>
    <m/>
    <m/>
    <m/>
    <m/>
    <n v="2"/>
    <m/>
    <m/>
    <m/>
    <m/>
    <m/>
    <m/>
    <m/>
    <m/>
    <m/>
  </r>
  <r>
    <x v="5"/>
    <s v="API-1734"/>
    <s v="[ChangeJourney] Basket balance"/>
    <s v="Finalizada"/>
    <d v="2026-07-28T00:00:00"/>
    <d v="2026-08-06T00:00:00"/>
    <m/>
    <n v="22"/>
    <n v="6"/>
    <s v=""/>
    <n v="1"/>
    <s v="Sin estimación"/>
    <m/>
    <m/>
    <m/>
    <n v="5"/>
    <n v="1"/>
    <m/>
    <m/>
    <m/>
    <m/>
    <m/>
    <m/>
    <m/>
    <m/>
    <m/>
    <m/>
    <m/>
    <m/>
    <m/>
    <m/>
    <m/>
    <m/>
    <m/>
    <m/>
    <m/>
  </r>
  <r>
    <x v="5"/>
    <s v="API-1799"/>
    <s v="[Viva Candy]- Allow adding hotels for Viva Candy(hotel plus) in different currencies different than MXN"/>
    <s v="Finalizada"/>
    <d v="2026-08-03T00:00:00"/>
    <d v="2026-08-05T00:00:00"/>
    <m/>
    <n v="15"/>
    <n v="11"/>
    <s v=""/>
    <n v="0"/>
    <s v="Sin estimación"/>
    <m/>
    <n v="8"/>
    <n v="1"/>
    <n v="1"/>
    <n v="1"/>
    <m/>
    <m/>
    <m/>
    <m/>
    <m/>
    <m/>
    <m/>
    <m/>
    <m/>
    <m/>
    <m/>
    <m/>
    <m/>
    <m/>
    <m/>
    <m/>
    <m/>
    <m/>
    <m/>
  </r>
  <r>
    <x v="5"/>
    <s v="API-1793"/>
    <s v="Add in Features the option of &quot;StaffLink&quot;"/>
    <s v="Finalizada"/>
    <d v="2026-08-06T00:00:00"/>
    <d v="2026-08-05T00:00:00"/>
    <m/>
    <n v="0"/>
    <n v="9"/>
    <s v=""/>
    <n v="0"/>
    <s v="Sin estimación"/>
    <m/>
    <m/>
    <n v="7"/>
    <n v="1"/>
    <n v="1"/>
    <m/>
    <m/>
    <m/>
    <m/>
    <m/>
    <m/>
    <m/>
    <m/>
    <m/>
    <m/>
    <m/>
    <m/>
    <m/>
    <m/>
    <m/>
    <m/>
    <m/>
    <m/>
    <m/>
  </r>
  <r>
    <x v="5"/>
    <s v="API-1798"/>
    <s v="[Hotels Post Booking] - Do not send flights amount in getFares when flowtype manage"/>
    <s v="Finalizada"/>
    <d v="2026-08-13T00:00:00"/>
    <d v="2026-08-12T00:00:00"/>
    <m/>
    <n v="0"/>
    <n v="16"/>
    <s v=""/>
    <n v="0"/>
    <s v="Sin estimación"/>
    <m/>
    <m/>
    <m/>
    <m/>
    <n v="5"/>
    <n v="8"/>
    <n v="1"/>
    <m/>
    <n v="1"/>
    <n v="1"/>
    <m/>
    <m/>
    <m/>
    <m/>
    <m/>
    <m/>
    <m/>
    <m/>
    <m/>
    <m/>
    <m/>
    <m/>
    <m/>
    <m/>
  </r>
  <r>
    <x v="5"/>
    <s v="API-1813"/>
    <s v="Boardingpass - TJX"/>
    <s v="Finalizada"/>
    <d v="2026-08-25T00:00:00"/>
    <d v="2026-08-24T00:00:00"/>
    <n v="16"/>
    <n v="0"/>
    <n v="38"/>
    <n v="1.375"/>
    <n v="1"/>
    <s v="Desviado"/>
    <m/>
    <m/>
    <m/>
    <m/>
    <m/>
    <m/>
    <n v="7"/>
    <n v="8"/>
    <n v="7"/>
    <n v="7"/>
    <m/>
    <m/>
    <m/>
    <n v="1"/>
    <m/>
    <n v="8"/>
    <m/>
    <m/>
    <m/>
    <m/>
    <m/>
    <m/>
    <m/>
    <m/>
  </r>
  <r>
    <x v="5"/>
    <s v="API-1427"/>
    <s v="[Self-reaccomm] Handle Change Flight"/>
    <s v="En curso"/>
    <d v="2026-08-20T00:00:00"/>
    <d v="2026-08-27T00:00:00"/>
    <n v="24"/>
    <n v="0"/>
    <n v="41"/>
    <n v="0.70833333333333337"/>
    <n v="1"/>
    <s v="Desviado"/>
    <m/>
    <m/>
    <m/>
    <m/>
    <m/>
    <m/>
    <m/>
    <m/>
    <m/>
    <m/>
    <n v="8"/>
    <n v="8"/>
    <n v="8"/>
    <n v="1"/>
    <m/>
    <m/>
    <m/>
    <m/>
    <n v="8"/>
    <n v="8"/>
    <m/>
    <m/>
    <m/>
    <m/>
  </r>
  <r>
    <x v="5"/>
    <s v="API-1795"/>
    <s v="[SearchJourney] TUA Difference"/>
    <s v="En revisión"/>
    <d v="2026-09-03T00:00:00"/>
    <d v="2026-08-28T00:00:00"/>
    <n v="28"/>
    <n v="0"/>
    <n v="28"/>
    <n v="0"/>
    <n v="0"/>
    <s v="Normal"/>
    <m/>
    <m/>
    <m/>
    <m/>
    <m/>
    <m/>
    <m/>
    <m/>
    <m/>
    <m/>
    <m/>
    <m/>
    <m/>
    <n v="6"/>
    <n v="6"/>
    <m/>
    <n v="8"/>
    <n v="8"/>
    <m/>
    <m/>
    <m/>
    <m/>
    <m/>
    <m/>
  </r>
  <r>
    <x v="5"/>
    <s v="API-1853"/>
    <s v="[Viva Candy] - HotelPlus offer amounts not converted to search currency"/>
    <s v="En curso"/>
    <d v="2026-09-03T00:00:00"/>
    <m/>
    <n v="12"/>
    <n v="0"/>
    <n v="16"/>
    <n v="0.33333333333333331"/>
    <n v="0"/>
    <s v="Desviado"/>
    <m/>
    <m/>
    <m/>
    <m/>
    <m/>
    <m/>
    <m/>
    <m/>
    <m/>
    <m/>
    <m/>
    <m/>
    <m/>
    <m/>
    <m/>
    <m/>
    <m/>
    <m/>
    <m/>
    <m/>
    <n v="8"/>
    <m/>
    <m/>
    <n v="8"/>
  </r>
  <r>
    <x v="6"/>
    <s v="STI-1009"/>
    <s v="[TotalRefund] - Transactions reimbursement emails for totalrefund"/>
    <s v="OPS"/>
    <d v="2025-09-29T00:00:00"/>
    <d v="2025-09-29T00:00:00"/>
    <n v="38"/>
    <n v="38"/>
    <n v="0"/>
    <n v="0"/>
    <n v="1"/>
    <s v="Normal"/>
    <m/>
    <m/>
    <m/>
    <m/>
    <m/>
    <m/>
    <m/>
    <m/>
    <m/>
    <m/>
    <m/>
    <m/>
    <m/>
    <m/>
    <m/>
    <m/>
    <m/>
    <m/>
    <m/>
    <m/>
    <m/>
    <m/>
    <m/>
    <m/>
  </r>
  <r>
    <x v="6"/>
    <s v="STI-1058"/>
    <s v="Daily Meetings - Octubre"/>
    <s v="Finalizado"/>
    <d v="2025-10-31T00:00:00"/>
    <d v="2025-10-31T00:00:00"/>
    <n v="11"/>
    <n v="0"/>
    <n v="0"/>
    <n v="-1"/>
    <n v="0"/>
    <s v="Normal"/>
    <m/>
    <m/>
    <m/>
    <m/>
    <m/>
    <m/>
    <m/>
    <m/>
    <m/>
    <m/>
    <m/>
    <m/>
    <m/>
    <m/>
    <m/>
    <m/>
    <m/>
    <m/>
    <m/>
    <m/>
    <m/>
    <m/>
    <m/>
    <m/>
  </r>
  <r>
    <x v="6"/>
    <s v="STI-1102"/>
    <s v="[Transfer] Ajustes en fees y debug de breakdown"/>
    <s v="OPS"/>
    <d v="2025-10-24T00:00:00"/>
    <d v="2025-10-20T00:00:00"/>
    <n v="25"/>
    <n v="24"/>
    <n v="0"/>
    <n v="-0.04"/>
    <n v="1"/>
    <s v="Normal"/>
    <m/>
    <m/>
    <m/>
    <m/>
    <m/>
    <m/>
    <m/>
    <m/>
    <m/>
    <m/>
    <m/>
    <m/>
    <m/>
    <m/>
    <m/>
    <m/>
    <m/>
    <m/>
    <m/>
    <m/>
    <m/>
    <m/>
    <m/>
    <m/>
  </r>
  <r>
    <x v="6"/>
    <s v="STI-1115"/>
    <s v="[TotalRefund] - Adjust TotalRefund comment - remove marketplace"/>
    <s v="OPS"/>
    <d v="2025-10-22T00:00:00"/>
    <d v="2025-10-22T00:00:00"/>
    <n v="1"/>
    <n v="1"/>
    <n v="0"/>
    <n v="0"/>
    <n v="1"/>
    <s v="Normal"/>
    <m/>
    <m/>
    <m/>
    <m/>
    <m/>
    <m/>
    <m/>
    <m/>
    <m/>
    <m/>
    <m/>
    <m/>
    <m/>
    <m/>
    <m/>
    <m/>
    <m/>
    <m/>
    <m/>
    <m/>
    <m/>
    <m/>
    <m/>
    <m/>
  </r>
  <r>
    <x v="6"/>
    <s v="STI-1117"/>
    <s v="[Special Events] Generar sql para RAIDEN25"/>
    <s v="Cerrado"/>
    <d v="2025-10-24T00:00:00"/>
    <d v="2025-10-22T00:00:00"/>
    <n v="2"/>
    <n v="2"/>
    <n v="0"/>
    <n v="0"/>
    <n v="1"/>
    <s v="Normal"/>
    <m/>
    <m/>
    <m/>
    <m/>
    <m/>
    <m/>
    <m/>
    <m/>
    <m/>
    <m/>
    <m/>
    <m/>
    <m/>
    <m/>
    <m/>
    <m/>
    <m/>
    <m/>
    <m/>
    <m/>
    <m/>
    <m/>
    <m/>
    <m/>
  </r>
  <r>
    <x v="6"/>
    <s v="STI-1118"/>
    <s v="[TotalRefund] Fees logic update"/>
    <s v="En revisión"/>
    <d v="2025-10-22T00:00:00"/>
    <d v="2025-10-22T00:00:00"/>
    <n v="4"/>
    <n v="5"/>
    <n v="0"/>
    <n v="0.25"/>
    <n v="1"/>
    <s v="Normal"/>
    <m/>
    <m/>
    <m/>
    <m/>
    <m/>
    <m/>
    <m/>
    <m/>
    <m/>
    <m/>
    <m/>
    <m/>
    <m/>
    <m/>
    <m/>
    <m/>
    <m/>
    <m/>
    <m/>
    <m/>
    <m/>
    <m/>
    <m/>
    <m/>
  </r>
  <r>
    <x v="6"/>
    <s v="STI-1140"/>
    <s v="[CommentsDB] - Tabla y servicios para almacenamiento de comentarios"/>
    <s v="En revisión"/>
    <d v="2025-11-05T00:00:00"/>
    <d v="2025-11-07T00:00:00"/>
    <n v="32"/>
    <n v="39"/>
    <n v="0"/>
    <n v="0.21875"/>
    <n v="1"/>
    <s v="Normal"/>
    <m/>
    <m/>
    <m/>
    <m/>
    <m/>
    <m/>
    <m/>
    <m/>
    <m/>
    <m/>
    <m/>
    <m/>
    <m/>
    <m/>
    <m/>
    <m/>
    <m/>
    <m/>
    <m/>
    <m/>
    <m/>
    <m/>
    <m/>
    <m/>
  </r>
  <r>
    <x v="6"/>
    <s v="STI-1144"/>
    <s v="[Hopper]Evento de Compra de Seguro HTS"/>
    <s v="En revisión"/>
    <d v="2025-12-22T00:00:00"/>
    <d v="2025-12-26T00:00:00"/>
    <n v="46"/>
    <n v="54"/>
    <n v="0"/>
    <n v="0.17391304347826086"/>
    <n v="1"/>
    <s v="Normal"/>
    <m/>
    <m/>
    <m/>
    <m/>
    <m/>
    <m/>
    <m/>
    <m/>
    <m/>
    <m/>
    <m/>
    <m/>
    <m/>
    <m/>
    <m/>
    <m/>
    <m/>
    <m/>
    <m/>
    <m/>
    <m/>
    <m/>
    <m/>
    <m/>
  </r>
  <r>
    <x v="6"/>
    <s v="STI-1154"/>
    <s v="Envío Correos - Fe erratas"/>
    <s v="OPS"/>
    <d v="2025-10-30T00:00:00"/>
    <d v="2025-10-30T00:00:00"/>
    <n v="3"/>
    <n v="3"/>
    <n v="0"/>
    <n v="0"/>
    <n v="1"/>
    <s v="Normal"/>
    <m/>
    <m/>
    <m/>
    <m/>
    <m/>
    <m/>
    <m/>
    <m/>
    <m/>
    <m/>
    <m/>
    <m/>
    <m/>
    <m/>
    <m/>
    <m/>
    <m/>
    <m/>
    <m/>
    <m/>
    <m/>
    <m/>
    <m/>
    <m/>
  </r>
  <r>
    <x v="6"/>
    <s v="STI-1155"/>
    <s v="[Apartados] Transactions Vivacash sin customerNumber_x000a__x000a__x000a__x000a_"/>
    <s v="OPS"/>
    <d v="2025-11-03T00:00:00"/>
    <d v="2025-10-31T00:00:00"/>
    <n v="16"/>
    <n v="6"/>
    <n v="0"/>
    <n v="-0.625"/>
    <n v="1"/>
    <s v="Normal"/>
    <m/>
    <m/>
    <m/>
    <m/>
    <m/>
    <m/>
    <m/>
    <m/>
    <m/>
    <m/>
    <m/>
    <m/>
    <m/>
    <m/>
    <m/>
    <m/>
    <m/>
    <m/>
    <m/>
    <m/>
    <m/>
    <m/>
    <m/>
    <m/>
  </r>
  <r>
    <x v="6"/>
    <s v="STI-1172"/>
    <s v="Daily Meetings - Noviembre"/>
    <s v="Finalizado"/>
    <d v="2025-11-30T00:00:00"/>
    <d v="2025-11-30T00:00:00"/>
    <n v="9"/>
    <n v="9"/>
    <n v="0"/>
    <n v="0"/>
    <n v="0"/>
    <s v="Normal"/>
    <m/>
    <m/>
    <m/>
    <m/>
    <m/>
    <m/>
    <m/>
    <m/>
    <m/>
    <m/>
    <m/>
    <m/>
    <m/>
    <m/>
    <m/>
    <m/>
    <m/>
    <m/>
    <m/>
    <m/>
    <m/>
    <m/>
    <m/>
    <m/>
  </r>
  <r>
    <x v="6"/>
    <s v="STI-1173"/>
    <s v="Transactions - Error en amount en petición a compensation"/>
    <s v="OPS"/>
    <d v="2025-11-05T00:00:00"/>
    <d v="2025-11-04T00:00:00"/>
    <n v="4"/>
    <n v="2"/>
    <n v="0"/>
    <n v="-0.5"/>
    <n v="1"/>
    <s v="Normal"/>
    <m/>
    <m/>
    <m/>
    <m/>
    <m/>
    <m/>
    <m/>
    <m/>
    <m/>
    <m/>
    <m/>
    <m/>
    <m/>
    <m/>
    <m/>
    <m/>
    <m/>
    <m/>
    <m/>
    <m/>
    <m/>
    <m/>
    <m/>
    <m/>
  </r>
  <r>
    <x v="6"/>
    <s v="STI-1174"/>
    <s v="[MMB] Envío de correo de compensaciones"/>
    <s v="Finalizado"/>
    <d v="2025-11-10T00:00:00"/>
    <d v="2025-11-07T00:00:00"/>
    <n v="10"/>
    <n v="12"/>
    <n v="0"/>
    <n v="0.2"/>
    <n v="1"/>
    <s v="Normal"/>
    <m/>
    <m/>
    <m/>
    <m/>
    <m/>
    <m/>
    <m/>
    <m/>
    <m/>
    <m/>
    <m/>
    <m/>
    <m/>
    <m/>
    <m/>
    <m/>
    <m/>
    <m/>
    <m/>
    <m/>
    <m/>
    <m/>
    <m/>
    <m/>
  </r>
  <r>
    <x v="6"/>
    <s v="STI-1175"/>
    <s v="Reenvio de correo de compensación utilizando servicio y template de TX"/>
    <s v="Finalizado"/>
    <d v="2025-11-14T00:00:00"/>
    <d v="2025-11-18T00:00:00"/>
    <n v="48"/>
    <n v="60"/>
    <n v="0"/>
    <n v="0.25"/>
    <n v="1"/>
    <s v="Normal"/>
    <m/>
    <m/>
    <m/>
    <m/>
    <m/>
    <m/>
    <m/>
    <m/>
    <m/>
    <m/>
    <m/>
    <m/>
    <m/>
    <m/>
    <m/>
    <m/>
    <m/>
    <m/>
    <m/>
    <m/>
    <m/>
    <m/>
    <m/>
    <m/>
  </r>
  <r>
    <x v="6"/>
    <s v="STI-1176"/>
    <s v="[VivaCandy] - Revisar servicio booking/cancelHotel"/>
    <s v="Finalizado"/>
    <d v="2025-11-27T00:00:00"/>
    <d v="2025-11-27T00:00:00"/>
    <n v="12"/>
    <n v="12"/>
    <n v="0"/>
    <n v="0"/>
    <n v="1"/>
    <s v="Normal"/>
    <m/>
    <m/>
    <m/>
    <m/>
    <m/>
    <m/>
    <m/>
    <m/>
    <m/>
    <m/>
    <m/>
    <m/>
    <m/>
    <m/>
    <m/>
    <m/>
    <m/>
    <m/>
    <m/>
    <m/>
    <m/>
    <m/>
    <m/>
    <m/>
  </r>
  <r>
    <x v="6"/>
    <s v="STI-1192"/>
    <s v="[TuaAliado] - Notificar cuando el TUA ya ha sido pagado"/>
    <s v="Ready for prod"/>
    <d v="2025-11-20T00:00:00"/>
    <d v="2025-11-21T00:00:00"/>
    <n v="26"/>
    <n v="32"/>
    <n v="0"/>
    <n v="0.23076923076923078"/>
    <n v="1"/>
    <s v="Normal"/>
    <m/>
    <m/>
    <m/>
    <m/>
    <m/>
    <m/>
    <m/>
    <m/>
    <m/>
    <m/>
    <m/>
    <m/>
    <m/>
    <m/>
    <m/>
    <m/>
    <m/>
    <m/>
    <m/>
    <m/>
    <m/>
    <m/>
    <m/>
    <m/>
  </r>
  <r>
    <x v="6"/>
    <s v="STI-1205"/>
    <s v="[YunoWallets] - Webhook para confirmación de Apple Pay y Google Pay"/>
    <s v="Finalizado"/>
    <d v="2025-12-16T00:00:00"/>
    <d v="2025-12-16T00:00:00"/>
    <n v="40"/>
    <n v="52"/>
    <n v="0"/>
    <n v="0.3"/>
    <n v="1"/>
    <s v="Desviado"/>
    <m/>
    <m/>
    <m/>
    <m/>
    <m/>
    <m/>
    <m/>
    <m/>
    <m/>
    <m/>
    <m/>
    <m/>
    <m/>
    <m/>
    <m/>
    <m/>
    <m/>
    <m/>
    <m/>
    <m/>
    <m/>
    <m/>
    <m/>
    <m/>
  </r>
  <r>
    <x v="6"/>
    <s v="STI-1206"/>
    <s v="[Apartados] Cambios en transactions"/>
    <s v="En revisión"/>
    <d v="2025-11-24T00:00:00"/>
    <d v="2025-11-24T00:00:00"/>
    <n v="32"/>
    <n v="39"/>
    <n v="0"/>
    <n v="0.21875"/>
    <n v="2"/>
    <s v="Normal"/>
    <m/>
    <m/>
    <m/>
    <m/>
    <m/>
    <m/>
    <m/>
    <m/>
    <m/>
    <m/>
    <m/>
    <m/>
    <m/>
    <m/>
    <m/>
    <m/>
    <m/>
    <m/>
    <m/>
    <m/>
    <m/>
    <m/>
    <m/>
    <m/>
  </r>
  <r>
    <x v="6"/>
    <s v="STI-1219"/>
    <s v="[Transfer] Debug y reprocesamiento de reservas"/>
    <s v="Finalizado"/>
    <d v="2025-11-28T00:00:00"/>
    <d v="2025-11-28T00:00:00"/>
    <n v="6"/>
    <n v="6"/>
    <n v="0"/>
    <n v="0"/>
    <n v="0"/>
    <s v="Normal"/>
    <m/>
    <m/>
    <m/>
    <m/>
    <m/>
    <m/>
    <m/>
    <m/>
    <m/>
    <m/>
    <m/>
    <m/>
    <m/>
    <m/>
    <m/>
    <m/>
    <m/>
    <m/>
    <m/>
    <m/>
    <m/>
    <m/>
    <m/>
    <m/>
  </r>
  <r>
    <x v="6"/>
    <s v="STI-1220"/>
    <s v="[ViajaFacil] Transferencia de conocimiento a Reynaldo y asistencia en reunión con equipo ODM"/>
    <s v="Finalizado"/>
    <d v="2025-12-01T00:00:00"/>
    <d v="2025-12-01T00:00:00"/>
    <n v="8"/>
    <n v="2"/>
    <n v="0"/>
    <n v="-0.75"/>
    <n v="1"/>
    <s v="Normal"/>
    <m/>
    <m/>
    <m/>
    <m/>
    <m/>
    <m/>
    <m/>
    <m/>
    <m/>
    <m/>
    <m/>
    <m/>
    <m/>
    <m/>
    <m/>
    <m/>
    <m/>
    <m/>
    <m/>
    <m/>
    <m/>
    <m/>
    <m/>
    <m/>
  </r>
  <r>
    <x v="6"/>
    <s v="STI-1225"/>
    <s v="Daily Meetings - Diciembre"/>
    <s v="Finalizado"/>
    <d v="2025-12-31T00:00:00"/>
    <d v="2025-12-31T00:00:00"/>
    <n v="10.5"/>
    <n v="0"/>
    <n v="0"/>
    <n v="-1"/>
    <n v="0"/>
    <s v="Normal"/>
    <m/>
    <m/>
    <m/>
    <m/>
    <m/>
    <m/>
    <m/>
    <m/>
    <m/>
    <m/>
    <m/>
    <m/>
    <m/>
    <m/>
    <m/>
    <m/>
    <m/>
    <m/>
    <m/>
    <m/>
    <m/>
    <m/>
    <m/>
    <m/>
  </r>
  <r>
    <x v="6"/>
    <s v="STI-1245"/>
    <s v="[Apartados] Agregar nuevo endpoint de cancelación desde el transactions"/>
    <s v="Ready for prod"/>
    <d v="2025-12-19T00:00:00"/>
    <d v="2025-12-18T00:00:00"/>
    <n v="16"/>
    <n v="20"/>
    <n v="0"/>
    <n v="0.25"/>
    <n v="1"/>
    <s v="Normal"/>
    <m/>
    <m/>
    <m/>
    <m/>
    <m/>
    <m/>
    <m/>
    <m/>
    <m/>
    <m/>
    <m/>
    <m/>
    <m/>
    <m/>
    <m/>
    <m/>
    <m/>
    <m/>
    <m/>
    <m/>
    <m/>
    <m/>
    <m/>
    <m/>
  </r>
  <r>
    <x v="6"/>
    <s v="STI-1291"/>
    <s v="[Tarifa Reembolsable] - Ajuste en cancelación con tarifa reembolsable para colocar las cantidades de manera correcta en Fee ZREEMT"/>
    <s v="En revisión"/>
    <d v="2026-01-09T00:00:00"/>
    <d v="2026-01-09T00:00:00"/>
    <n v="16"/>
    <n v="14"/>
    <n v="0"/>
    <n v="-0.125"/>
    <n v="1"/>
    <s v="Normal"/>
    <m/>
    <m/>
    <m/>
    <m/>
    <m/>
    <m/>
    <m/>
    <m/>
    <m/>
    <m/>
    <m/>
    <m/>
    <m/>
    <m/>
    <m/>
    <m/>
    <m/>
    <m/>
    <m/>
    <m/>
    <m/>
    <m/>
    <m/>
    <m/>
  </r>
  <r>
    <x v="6"/>
    <s v="STI-1268"/>
    <s v="Daily Meetings - Enero 2026"/>
    <s v="Cerrado"/>
    <d v="2026-01-30T00:00:00"/>
    <d v="2026-01-30T00:00:00"/>
    <n v="10"/>
    <n v="10"/>
    <n v="0"/>
    <n v="0"/>
    <n v="0"/>
    <s v="Normal"/>
    <m/>
    <m/>
    <m/>
    <m/>
    <m/>
    <m/>
    <m/>
    <m/>
    <m/>
    <m/>
    <m/>
    <m/>
    <m/>
    <m/>
    <m/>
    <m/>
    <m/>
    <m/>
    <m/>
    <m/>
    <m/>
    <m/>
    <m/>
    <m/>
  </r>
  <r>
    <x v="6"/>
    <s v="STI-1292"/>
    <s v="[Transacciones] Revisión de casos VivaCash y Commit Navitaire"/>
    <s v="Finalizado"/>
    <d v="2025-12-26T00:00:00"/>
    <d v="2025-12-26T00:00:00"/>
    <n v="6"/>
    <n v="6"/>
    <n v="0"/>
    <n v="0"/>
    <n v="1"/>
    <s v="Normal"/>
    <m/>
    <m/>
    <m/>
    <m/>
    <m/>
    <m/>
    <m/>
    <m/>
    <m/>
    <m/>
    <m/>
    <m/>
    <m/>
    <m/>
    <m/>
    <m/>
    <m/>
    <m/>
    <m/>
    <m/>
    <m/>
    <m/>
    <m/>
    <m/>
  </r>
  <r>
    <x v="6"/>
    <s v="STI-173"/>
    <s v="[P2P] - New service booking peer2peer"/>
    <s v="Ready for prod"/>
    <d v="2025-04-25T00:00:00"/>
    <d v="2025-08-19T00:00:00"/>
    <n v="108.5"/>
    <n v="122"/>
    <n v="0"/>
    <n v="0.12442396313364056"/>
    <n v="1"/>
    <s v="Normal"/>
    <m/>
    <m/>
    <m/>
    <m/>
    <m/>
    <m/>
    <m/>
    <m/>
    <m/>
    <m/>
    <m/>
    <m/>
    <m/>
    <m/>
    <m/>
    <m/>
    <m/>
    <m/>
    <m/>
    <m/>
    <m/>
    <m/>
    <m/>
    <m/>
  </r>
  <r>
    <x v="6"/>
    <s v="STI-228"/>
    <s v="[Apartados] Transactions - Booking cancellation"/>
    <s v="OPS"/>
    <d v="2025-10-21T00:00:00"/>
    <d v="2025-10-09T00:00:00"/>
    <n v="60"/>
    <n v="0"/>
    <n v="0"/>
    <n v="-1"/>
    <n v="8"/>
    <s v="Normal"/>
    <m/>
    <m/>
    <m/>
    <m/>
    <m/>
    <m/>
    <m/>
    <m/>
    <m/>
    <m/>
    <m/>
    <m/>
    <m/>
    <m/>
    <m/>
    <m/>
    <m/>
    <m/>
    <m/>
    <m/>
    <m/>
    <m/>
    <m/>
    <m/>
  </r>
  <r>
    <x v="6"/>
    <s v="STI-235"/>
    <s v="[ReverseCreditCard] VB Transactions"/>
    <s v="Finalizado"/>
    <d v="2025-10-07T00:00:00"/>
    <d v="2025-10-03T00:00:00"/>
    <n v="42"/>
    <n v="46"/>
    <n v="0"/>
    <n v="9.5238095238095233E-2"/>
    <n v="2"/>
    <s v="Normal"/>
    <m/>
    <m/>
    <m/>
    <m/>
    <m/>
    <m/>
    <m/>
    <m/>
    <m/>
    <m/>
    <m/>
    <m/>
    <m/>
    <m/>
    <m/>
    <m/>
    <m/>
    <m/>
    <m/>
    <m/>
    <m/>
    <m/>
    <m/>
    <m/>
  </r>
  <r>
    <x v="6"/>
    <s v="STI-604"/>
    <s v="[Tren Maya] - Dispatcher commitTrainBooking"/>
    <s v="Ready for prod"/>
    <d v="2025-09-23T00:00:00"/>
    <d v="2025-09-25T00:00:00"/>
    <n v="46"/>
    <n v="56"/>
    <n v="0"/>
    <n v="0.21739130434782608"/>
    <n v="2"/>
    <s v="Normal"/>
    <m/>
    <m/>
    <m/>
    <m/>
    <m/>
    <m/>
    <m/>
    <m/>
    <m/>
    <m/>
    <m/>
    <m/>
    <m/>
    <m/>
    <m/>
    <m/>
    <m/>
    <m/>
    <m/>
    <m/>
    <m/>
    <m/>
    <m/>
    <m/>
  </r>
  <r>
    <x v="6"/>
    <s v="STI-739"/>
    <s v="[Transfer] Actualización de Dispatcher"/>
    <s v="UAT"/>
    <d v="2025-07-31T00:00:00"/>
    <d v="2025-08-01T00:00:00"/>
    <n v="4"/>
    <n v="1"/>
    <n v="0"/>
    <n v="-0.75"/>
    <n v="1"/>
    <s v="Normal"/>
    <m/>
    <m/>
    <m/>
    <m/>
    <m/>
    <m/>
    <m/>
    <m/>
    <m/>
    <m/>
    <m/>
    <m/>
    <m/>
    <m/>
    <m/>
    <m/>
    <m/>
    <m/>
    <m/>
    <m/>
    <m/>
    <m/>
    <m/>
    <m/>
  </r>
  <r>
    <x v="6"/>
    <s v="STI-742"/>
    <s v="Daily Meetings - Agosto"/>
    <s v="Finalizado"/>
    <d v="2025-08-31T00:00:00"/>
    <d v="2025-08-31T00:00:00"/>
    <n v="10"/>
    <n v="0"/>
    <n v="0"/>
    <n v="-1"/>
    <n v="0"/>
    <s v="Normal"/>
    <m/>
    <m/>
    <m/>
    <m/>
    <m/>
    <m/>
    <m/>
    <m/>
    <m/>
    <m/>
    <m/>
    <m/>
    <m/>
    <m/>
    <m/>
    <m/>
    <m/>
    <m/>
    <m/>
    <m/>
    <m/>
    <m/>
    <m/>
    <m/>
  </r>
  <r>
    <x v="6"/>
    <s v="STI-748"/>
    <s v="[P2P] Transfer Initiate - Check Transfer Queue"/>
    <s v="UAT"/>
    <d v="2025-08-06T00:00:00"/>
    <d v="2025-08-05T00:00:00"/>
    <n v="12"/>
    <n v="13"/>
    <n v="0"/>
    <n v="8.3333333333333329E-2"/>
    <n v="1"/>
    <s v="Normal"/>
    <m/>
    <m/>
    <m/>
    <m/>
    <m/>
    <m/>
    <m/>
    <m/>
    <m/>
    <m/>
    <m/>
    <m/>
    <m/>
    <m/>
    <m/>
    <m/>
    <m/>
    <m/>
    <m/>
    <m/>
    <m/>
    <m/>
    <m/>
    <m/>
  </r>
  <r>
    <x v="6"/>
    <s v="STI-758"/>
    <s v="[Special events] Update num tickets"/>
    <s v="Finalizado"/>
    <d v="2025-08-06T00:00:00"/>
    <d v="2025-08-08T00:00:00"/>
    <n v="5"/>
    <n v="5"/>
    <n v="0"/>
    <n v="0"/>
    <n v="0"/>
    <s v="Normal"/>
    <m/>
    <m/>
    <m/>
    <m/>
    <m/>
    <m/>
    <m/>
    <m/>
    <m/>
    <m/>
    <m/>
    <m/>
    <m/>
    <m/>
    <m/>
    <m/>
    <m/>
    <m/>
    <m/>
    <m/>
    <m/>
    <m/>
    <m/>
    <m/>
  </r>
  <r>
    <x v="6"/>
    <s v="STI-778"/>
    <s v="[Transactions] - Automatización en proceso de reenvio de VivaGifts"/>
    <s v="En revisión"/>
    <d v="2025-08-11T00:00:00"/>
    <d v="2025-08-25T00:00:00"/>
    <n v="38"/>
    <n v="43"/>
    <n v="0"/>
    <n v="0.13157894736842105"/>
    <n v="1"/>
    <s v="Normal"/>
    <m/>
    <m/>
    <m/>
    <m/>
    <m/>
    <m/>
    <m/>
    <m/>
    <m/>
    <m/>
    <m/>
    <m/>
    <m/>
    <m/>
    <m/>
    <m/>
    <m/>
    <m/>
    <m/>
    <m/>
    <m/>
    <m/>
    <m/>
    <m/>
  </r>
  <r>
    <x v="6"/>
    <s v="STI-780"/>
    <s v="[Transactions] - Procesar reservas pagadas con Vouchers para generar vivaCash"/>
    <s v="En revisión"/>
    <d v="2025-10-28T00:00:00"/>
    <d v="2025-10-29T00:00:00"/>
    <n v="26"/>
    <n v="0"/>
    <n v="0"/>
    <n v="-1"/>
    <n v="1"/>
    <s v="Normal"/>
    <m/>
    <m/>
    <m/>
    <m/>
    <m/>
    <m/>
    <m/>
    <m/>
    <m/>
    <m/>
    <m/>
    <m/>
    <m/>
    <m/>
    <m/>
    <m/>
    <m/>
    <m/>
    <m/>
    <m/>
    <m/>
    <m/>
    <m/>
    <m/>
  </r>
  <r>
    <x v="6"/>
    <s v="STI-785"/>
    <s v="[Eventos] Raiders - número de boletos"/>
    <s v="Finalizado"/>
    <d v="2025-08-12T00:00:00"/>
    <d v="2025-08-12T00:00:00"/>
    <n v="1"/>
    <n v="1"/>
    <n v="0"/>
    <n v="0"/>
    <n v="1"/>
    <s v="Normal"/>
    <m/>
    <m/>
    <m/>
    <m/>
    <m/>
    <m/>
    <m/>
    <m/>
    <m/>
    <m/>
    <m/>
    <m/>
    <m/>
    <m/>
    <m/>
    <m/>
    <m/>
    <m/>
    <m/>
    <m/>
    <m/>
    <m/>
    <m/>
    <m/>
  </r>
  <r>
    <x v="6"/>
    <s v="STI-850"/>
    <s v="Pipeline Especial Events"/>
    <s v="Finalizado"/>
    <d v="2025-08-21T00:00:00"/>
    <d v="2025-08-26T00:00:00"/>
    <n v="11"/>
    <n v="12"/>
    <n v="0"/>
    <n v="9.0909090909090912E-2"/>
    <n v="1"/>
    <s v="Normal"/>
    <m/>
    <m/>
    <m/>
    <m/>
    <m/>
    <m/>
    <m/>
    <m/>
    <m/>
    <m/>
    <m/>
    <m/>
    <m/>
    <m/>
    <m/>
    <m/>
    <m/>
    <m/>
    <m/>
    <m/>
    <m/>
    <m/>
    <m/>
    <m/>
  </r>
  <r>
    <x v="6"/>
    <s v="STI-866"/>
    <s v="[Transactions] - Soportar nuevo type para Total Refund y manejo de ZSPOIL en nuevo FEE"/>
    <s v="OPS"/>
    <d v="2025-09-09T00:00:00"/>
    <d v="2025-09-09T00:00:00"/>
    <n v="34"/>
    <n v="41"/>
    <n v="0"/>
    <n v="0.20588235294117646"/>
    <n v="2"/>
    <s v="Normal"/>
    <m/>
    <m/>
    <m/>
    <m/>
    <m/>
    <m/>
    <m/>
    <m/>
    <m/>
    <m/>
    <m/>
    <m/>
    <m/>
    <m/>
    <m/>
    <m/>
    <m/>
    <m/>
    <m/>
    <m/>
    <m/>
    <m/>
    <m/>
    <m/>
  </r>
  <r>
    <x v="6"/>
    <s v="STI-867"/>
    <s v="[Transfer &amp; P2P] - Ajustes"/>
    <s v="OPS"/>
    <d v="2025-10-08T00:00:00"/>
    <d v="2025-10-08T00:00:00"/>
    <n v="41"/>
    <n v="52"/>
    <n v="0"/>
    <n v="0.26829268292682928"/>
    <n v="3"/>
    <s v="Normal"/>
    <m/>
    <m/>
    <m/>
    <m/>
    <m/>
    <m/>
    <m/>
    <m/>
    <m/>
    <m/>
    <m/>
    <m/>
    <m/>
    <m/>
    <m/>
    <m/>
    <m/>
    <m/>
    <m/>
    <m/>
    <m/>
    <m/>
    <m/>
    <m/>
  </r>
  <r>
    <x v="6"/>
    <s v="STI-868"/>
    <s v="[Waiting list] - Ajustes en transactions"/>
    <s v="En revisión"/>
    <d v="2026-05-22T00:00:00"/>
    <d v="2026-05-29T00:00:00"/>
    <n v="40"/>
    <n v="52"/>
    <n v="0"/>
    <n v="0.3"/>
    <n v="0"/>
    <s v="Desviado"/>
    <m/>
    <m/>
    <m/>
    <m/>
    <m/>
    <m/>
    <m/>
    <m/>
    <m/>
    <m/>
    <m/>
    <m/>
    <m/>
    <m/>
    <m/>
    <m/>
    <m/>
    <m/>
    <m/>
    <m/>
    <m/>
    <m/>
    <m/>
    <m/>
  </r>
  <r>
    <x v="6"/>
    <s v="STI-893"/>
    <s v="Daily Meetings - Septiembre"/>
    <s v="Finalizado"/>
    <d v="2025-09-30T00:00:00"/>
    <d v="2025-09-30T00:00:00"/>
    <n v="11"/>
    <n v="11"/>
    <n v="0"/>
    <n v="0"/>
    <n v="0"/>
    <s v="Normal"/>
    <m/>
    <m/>
    <m/>
    <m/>
    <m/>
    <m/>
    <m/>
    <m/>
    <m/>
    <m/>
    <m/>
    <m/>
    <m/>
    <m/>
    <m/>
    <m/>
    <m/>
    <m/>
    <m/>
    <m/>
    <m/>
    <m/>
    <m/>
    <m/>
  </r>
  <r>
    <x v="6"/>
    <s v="STI-961"/>
    <s v="Apoyo en ticket de Flight Status Information"/>
    <s v="Finalizado"/>
    <d v="2025-09-17T00:00:00"/>
    <d v="2025-09-17T00:00:00"/>
    <n v="4"/>
    <n v="4"/>
    <n v="0"/>
    <n v="0"/>
    <n v="1"/>
    <s v="Normal"/>
    <m/>
    <m/>
    <m/>
    <m/>
    <m/>
    <m/>
    <m/>
    <m/>
    <m/>
    <m/>
    <m/>
    <m/>
    <m/>
    <m/>
    <m/>
    <m/>
    <m/>
    <m/>
    <m/>
    <m/>
    <m/>
    <m/>
    <m/>
    <m/>
  </r>
  <r>
    <x v="6"/>
    <s v="STI-1327"/>
    <s v="[TrenMaya] Ajustes en el proceso y envío de correo"/>
    <s v="Finalizado"/>
    <d v="2026-01-23T00:00:00"/>
    <d v="2026-01-22T00:00:00"/>
    <n v="40"/>
    <n v="41"/>
    <n v="0"/>
    <n v="2.5000000000000001E-2"/>
    <n v="1"/>
    <s v="Normal"/>
    <m/>
    <m/>
    <m/>
    <m/>
    <m/>
    <m/>
    <m/>
    <m/>
    <m/>
    <m/>
    <m/>
    <m/>
    <m/>
    <m/>
    <m/>
    <m/>
    <m/>
    <m/>
    <m/>
    <m/>
    <m/>
    <m/>
    <m/>
    <m/>
  </r>
  <r>
    <x v="6"/>
    <s v="STI-1335"/>
    <s v="[Transfer] Actualización de datos de entrada"/>
    <s v="En revisión"/>
    <d v="2026-01-16T00:00:00"/>
    <d v="2026-01-15T00:00:00"/>
    <n v="8"/>
    <n v="4"/>
    <n v="0"/>
    <n v="-0.5"/>
    <n v="1"/>
    <s v="Normal"/>
    <m/>
    <m/>
    <m/>
    <m/>
    <m/>
    <m/>
    <m/>
    <m/>
    <m/>
    <m/>
    <m/>
    <m/>
    <m/>
    <m/>
    <m/>
    <m/>
    <m/>
    <m/>
    <m/>
    <m/>
    <m/>
    <m/>
    <m/>
    <m/>
  </r>
  <r>
    <x v="6"/>
    <s v="STI-1320"/>
    <s v="[IROP] Compensaciones 1 año - Cancelaciones reservas no show"/>
    <s v="Finalizado"/>
    <d v="2026-02-10T00:00:00"/>
    <d v="2026-02-10T00:00:00"/>
    <n v="40"/>
    <n v="47"/>
    <n v="0"/>
    <n v="0.17499999999999999"/>
    <n v="0"/>
    <s v="Normal"/>
    <m/>
    <m/>
    <m/>
    <m/>
    <m/>
    <m/>
    <m/>
    <m/>
    <m/>
    <m/>
    <m/>
    <m/>
    <m/>
    <m/>
    <m/>
    <m/>
    <m/>
    <m/>
    <m/>
    <m/>
    <m/>
    <m/>
    <m/>
    <m/>
  </r>
  <r>
    <x v="6"/>
    <s v="STI-902"/>
    <s v="[Avasa] - Dispatcher commitAvasaBooking"/>
    <s v="OPS"/>
    <d v="2026-03-10T00:00:00"/>
    <d v="2026-03-12T00:00:00"/>
    <n v="56"/>
    <n v="66"/>
    <n v="0"/>
    <n v="0.17857142857142858"/>
    <n v="0"/>
    <s v="Normal"/>
    <m/>
    <m/>
    <m/>
    <m/>
    <m/>
    <m/>
    <m/>
    <m/>
    <m/>
    <m/>
    <m/>
    <m/>
    <m/>
    <m/>
    <m/>
    <m/>
    <m/>
    <m/>
    <m/>
    <m/>
    <m/>
    <m/>
    <m/>
    <m/>
  </r>
  <r>
    <x v="6"/>
    <s v="STI-1366"/>
    <s v="[P2P] - Ajustes para cancelación de reserva P2P"/>
    <s v="En revisión"/>
    <d v="2026-02-06T00:00:00"/>
    <d v="2026-01-30T00:00:00"/>
    <n v="32"/>
    <n v="36"/>
    <n v="0"/>
    <n v="0.125"/>
    <n v="1"/>
    <s v="Normal"/>
    <m/>
    <m/>
    <m/>
    <m/>
    <m/>
    <m/>
    <m/>
    <m/>
    <m/>
    <m/>
    <m/>
    <m/>
    <m/>
    <m/>
    <m/>
    <m/>
    <m/>
    <m/>
    <m/>
    <m/>
    <m/>
    <m/>
    <m/>
    <m/>
  </r>
  <r>
    <x v="6"/>
    <s v="STI-1368"/>
    <s v="Cambios en yml e implicaciones en el proceso"/>
    <s v="Cerrado"/>
    <d v="2026-01-23T00:00:00"/>
    <d v="2026-01-23T00:00:00"/>
    <n v="2.5"/>
    <n v="1"/>
    <n v="0"/>
    <n v="-0.6"/>
    <n v="0"/>
    <s v="Normal"/>
    <m/>
    <m/>
    <m/>
    <m/>
    <m/>
    <m/>
    <m/>
    <m/>
    <m/>
    <m/>
    <m/>
    <m/>
    <m/>
    <m/>
    <m/>
    <m/>
    <m/>
    <m/>
    <m/>
    <m/>
    <m/>
    <m/>
    <m/>
    <m/>
  </r>
  <r>
    <x v="6"/>
    <s v="STI-1326"/>
    <s v="[TrenMaya] - Automatización de envío de boletos de Tren Maya"/>
    <s v="Finalizado"/>
    <d v="2026-02-17T00:00:00"/>
    <d v="2026-02-12T00:00:00"/>
    <n v="56"/>
    <n v="57"/>
    <n v="0"/>
    <n v="1.7857142857142856E-2"/>
    <n v="0"/>
    <s v="Normal"/>
    <m/>
    <m/>
    <m/>
    <m/>
    <m/>
    <m/>
    <m/>
    <m/>
    <m/>
    <m/>
    <m/>
    <m/>
    <m/>
    <m/>
    <m/>
    <m/>
    <m/>
    <m/>
    <m/>
    <m/>
    <m/>
    <m/>
    <m/>
    <m/>
  </r>
  <r>
    <x v="6"/>
    <s v="STI-1393"/>
    <s v="[Transactions] Save GiftCardKey in database"/>
    <s v="En revisión"/>
    <d v="2026-02-06T00:00:00"/>
    <d v="2026-02-05T00:00:00"/>
    <n v="8"/>
    <n v="5"/>
    <n v="0"/>
    <n v="-0.375"/>
    <n v="1"/>
    <s v="Normal"/>
    <m/>
    <m/>
    <m/>
    <m/>
    <m/>
    <m/>
    <m/>
    <m/>
    <m/>
    <m/>
    <m/>
    <m/>
    <m/>
    <m/>
    <m/>
    <m/>
    <m/>
    <m/>
    <m/>
    <m/>
    <m/>
    <m/>
    <m/>
    <m/>
  </r>
  <r>
    <x v="6"/>
    <s v="STI-1398"/>
    <s v="[VivaGift] Investigación de casos en producción"/>
    <s v="Finalizado"/>
    <d v="2026-02-06T00:00:00"/>
    <d v="2026-02-05T00:00:00"/>
    <n v="8"/>
    <n v="8"/>
    <n v="0"/>
    <n v="0"/>
    <n v="1"/>
    <s v="Normal"/>
    <m/>
    <m/>
    <m/>
    <m/>
    <m/>
    <m/>
    <m/>
    <m/>
    <m/>
    <m/>
    <m/>
    <m/>
    <m/>
    <m/>
    <m/>
    <m/>
    <m/>
    <m/>
    <m/>
    <m/>
    <m/>
    <m/>
    <m/>
    <m/>
  </r>
  <r>
    <x v="6"/>
    <s v="STI-1392"/>
    <s v="Daily Meetings - Febrero 2026"/>
    <s v="Finalizado"/>
    <d v="2026-02-27T00:00:00"/>
    <d v="2026-02-27T00:00:00"/>
    <n v="10"/>
    <n v="10"/>
    <n v="0"/>
    <n v="0"/>
    <n v="0"/>
    <s v="Normal"/>
    <m/>
    <m/>
    <m/>
    <m/>
    <m/>
    <m/>
    <m/>
    <m/>
    <m/>
    <m/>
    <m/>
    <m/>
    <m/>
    <m/>
    <m/>
    <m/>
    <m/>
    <m/>
    <m/>
    <m/>
    <m/>
    <m/>
    <m/>
    <m/>
  </r>
  <r>
    <x v="6"/>
    <s v="STI-1375"/>
    <s v="[NewCommentsAPI] - Comments migration batch process"/>
    <s v="Ready for prod"/>
    <d v="2026-02-16T00:00:00"/>
    <d v="2026-02-17T00:00:00"/>
    <n v="36"/>
    <n v="33"/>
    <n v="0"/>
    <n v="-8.3333333333333329E-2"/>
    <n v="0"/>
    <s v="Normal"/>
    <m/>
    <m/>
    <m/>
    <m/>
    <m/>
    <m/>
    <m/>
    <m/>
    <m/>
    <m/>
    <m/>
    <m/>
    <m/>
    <m/>
    <m/>
    <m/>
    <m/>
    <m/>
    <m/>
    <m/>
    <m/>
    <m/>
    <m/>
    <m/>
  </r>
  <r>
    <x v="6"/>
    <s v="STI-1411"/>
    <s v="[p2p] - Ajuste a FEEs P2P"/>
    <s v="En revisión"/>
    <d v="2026-02-18T00:00:00"/>
    <d v="2026-02-18T00:00:00"/>
    <n v="16"/>
    <n v="15"/>
    <n v="0"/>
    <n v="-6.25E-2"/>
    <n v="0"/>
    <s v="Normal"/>
    <m/>
    <m/>
    <m/>
    <m/>
    <m/>
    <m/>
    <m/>
    <m/>
    <m/>
    <m/>
    <m/>
    <m/>
    <m/>
    <m/>
    <m/>
    <m/>
    <m/>
    <m/>
    <m/>
    <m/>
    <m/>
    <m/>
    <m/>
    <m/>
  </r>
  <r>
    <x v="6"/>
    <s v="STI-1420"/>
    <s v="[Transfer] - Ajuste a FEEs Transfer"/>
    <s v="En revisión"/>
    <d v="2026-02-18T00:00:00"/>
    <d v="2026-02-18T00:00:00"/>
    <n v="7"/>
    <n v="7"/>
    <n v="0"/>
    <n v="0"/>
    <n v="0"/>
    <s v="Normal"/>
    <m/>
    <m/>
    <m/>
    <m/>
    <m/>
    <m/>
    <m/>
    <m/>
    <m/>
    <m/>
    <m/>
    <m/>
    <m/>
    <m/>
    <m/>
    <m/>
    <m/>
    <m/>
    <m/>
    <m/>
    <m/>
    <m/>
    <m/>
    <m/>
  </r>
  <r>
    <x v="6"/>
    <s v="STI-1432"/>
    <s v="[Transactions] Email from P or D contact"/>
    <s v="Finalizado"/>
    <d v="2026-02-13T00:00:00"/>
    <d v="2026-02-16T00:00:00"/>
    <n v="24"/>
    <n v="3"/>
    <n v="0"/>
    <n v="-0.875"/>
    <n v="0"/>
    <s v="Normal"/>
    <m/>
    <m/>
    <m/>
    <m/>
    <m/>
    <m/>
    <m/>
    <m/>
    <m/>
    <m/>
    <m/>
    <m/>
    <m/>
    <m/>
    <m/>
    <m/>
    <m/>
    <m/>
    <m/>
    <m/>
    <m/>
    <m/>
    <m/>
    <m/>
  </r>
  <r>
    <x v="6"/>
    <s v="STI-1438"/>
    <s v="[Transactions] Retry on Bad Gateway error from VivaGift"/>
    <s v="Finalizado"/>
    <d v="2026-02-17T00:00:00"/>
    <d v="2026-02-17T00:00:00"/>
    <n v="3"/>
    <n v="3"/>
    <n v="0"/>
    <n v="0"/>
    <n v="0"/>
    <s v="Normal"/>
    <m/>
    <m/>
    <m/>
    <m/>
    <m/>
    <m/>
    <m/>
    <m/>
    <m/>
    <m/>
    <m/>
    <m/>
    <m/>
    <m/>
    <m/>
    <m/>
    <m/>
    <m/>
    <m/>
    <m/>
    <m/>
    <m/>
    <m/>
    <m/>
  </r>
  <r>
    <x v="6"/>
    <s v="STI-1397"/>
    <s v="[Transfer Batch] - Escenario donde no se esta colocando el comentario en Navitaire al remover reserva de la Queue de transfer"/>
    <s v="OPS"/>
    <d v="2026-02-19T00:00:00"/>
    <d v="2026-02-23T00:00:00"/>
    <n v="12"/>
    <n v="12"/>
    <n v="0"/>
    <n v="0"/>
    <n v="0"/>
    <s v="Normal"/>
    <m/>
    <m/>
    <m/>
    <m/>
    <m/>
    <m/>
    <m/>
    <m/>
    <m/>
    <m/>
    <m/>
    <m/>
    <m/>
    <m/>
    <m/>
    <m/>
    <m/>
    <m/>
    <m/>
    <m/>
    <m/>
    <m/>
    <m/>
    <m/>
  </r>
  <r>
    <x v="6"/>
    <s v="STI-1464"/>
    <s v="[Transfer &amp; P2P] - Asignar SSRs con la cantidad obtenida de dividir los FEEs entre el numero de segmentos"/>
    <s v="En revisión"/>
    <d v="2026-03-10T00:00:00"/>
    <d v="2026-03-12T00:00:00"/>
    <n v="32"/>
    <n v="20"/>
    <n v="0"/>
    <n v="-0.375"/>
    <n v="0"/>
    <s v="Normal"/>
    <m/>
    <m/>
    <m/>
    <m/>
    <m/>
    <m/>
    <m/>
    <m/>
    <m/>
    <m/>
    <m/>
    <m/>
    <m/>
    <m/>
    <m/>
    <m/>
    <m/>
    <m/>
    <m/>
    <m/>
    <m/>
    <m/>
    <m/>
    <m/>
  </r>
  <r>
    <x v="6"/>
    <s v="STI-1458"/>
    <s v="Daily Meetings - Marzo 2026"/>
    <s v="Cerrado"/>
    <d v="2026-03-31T00:00:00"/>
    <d v="2026-03-31T00:00:00"/>
    <n v="31.5"/>
    <n v="0"/>
    <n v="0"/>
    <n v="-1"/>
    <n v="0"/>
    <s v="Normal"/>
    <m/>
    <m/>
    <m/>
    <m/>
    <m/>
    <m/>
    <m/>
    <m/>
    <m/>
    <m/>
    <m/>
    <m/>
    <m/>
    <m/>
    <m/>
    <m/>
    <m/>
    <m/>
    <m/>
    <m/>
    <m/>
    <m/>
    <m/>
    <m/>
  </r>
  <r>
    <x v="6"/>
    <s v="STI-1474"/>
    <s v="[Tren Maya] - Ajuste en correo de tren maya para incluir reservationNumber"/>
    <s v="En revisión"/>
    <d v="2026-03-06T00:00:00"/>
    <d v="2026-03-06T00:00:00"/>
    <m/>
    <n v="25"/>
    <n v="0"/>
    <s v=""/>
    <n v="0"/>
    <s v="Sin estimación"/>
    <m/>
    <m/>
    <m/>
    <m/>
    <m/>
    <m/>
    <m/>
    <m/>
    <m/>
    <m/>
    <m/>
    <m/>
    <m/>
    <m/>
    <m/>
    <m/>
    <m/>
    <m/>
    <m/>
    <m/>
    <m/>
    <m/>
    <m/>
    <m/>
  </r>
  <r>
    <x v="6"/>
    <s v="STI-1472"/>
    <s v="[TarifaReembolsable] - Ajuste en correo para cancelaciones parciales"/>
    <s v="Finalizado"/>
    <d v="2026-03-06T00:00:00"/>
    <d v="2026-03-06T00:00:00"/>
    <n v="6"/>
    <n v="6"/>
    <n v="0"/>
    <n v="0"/>
    <n v="0"/>
    <s v="Normal"/>
    <m/>
    <m/>
    <m/>
    <m/>
    <m/>
    <m/>
    <m/>
    <m/>
    <m/>
    <m/>
    <m/>
    <m/>
    <m/>
    <m/>
    <m/>
    <m/>
    <m/>
    <m/>
    <m/>
    <m/>
    <m/>
    <m/>
    <m/>
    <m/>
  </r>
  <r>
    <x v="6"/>
    <s v="STI-1483"/>
    <s v="[Transactions] - Revisión de casos de prod"/>
    <s v="En revisión"/>
    <d v="2026-03-31T00:00:00"/>
    <d v="2026-03-27T00:00:00"/>
    <n v="16"/>
    <n v="8"/>
    <n v="0"/>
    <n v="-0.5"/>
    <n v="0"/>
    <s v="Normal"/>
    <m/>
    <m/>
    <m/>
    <m/>
    <m/>
    <m/>
    <m/>
    <m/>
    <m/>
    <m/>
    <m/>
    <m/>
    <m/>
    <m/>
    <m/>
    <m/>
    <m/>
    <m/>
    <m/>
    <m/>
    <m/>
    <m/>
    <m/>
    <m/>
  </r>
  <r>
    <x v="6"/>
    <s v="STI-1493"/>
    <s v="[Insurances] - Hopper currency error"/>
    <s v="OPS"/>
    <d v="2026-05-12T00:00:00"/>
    <d v="2026-04-09T00:00:00"/>
    <n v="40"/>
    <n v="16"/>
    <n v="0"/>
    <n v="-0.6"/>
    <n v="0"/>
    <s v="Normal"/>
    <m/>
    <m/>
    <m/>
    <m/>
    <m/>
    <m/>
    <m/>
    <m/>
    <m/>
    <m/>
    <m/>
    <m/>
    <m/>
    <m/>
    <m/>
    <m/>
    <m/>
    <m/>
    <m/>
    <m/>
    <m/>
    <m/>
    <m/>
    <m/>
  </r>
  <r>
    <x v="6"/>
    <s v="STI-1461"/>
    <s v="[Apartados] - Cancelar hotel hacia Fareplace en proceso de cancelación de reservas con apartados que contengan hotel"/>
    <s v="En revisión"/>
    <d v="2026-03-31T00:00:00"/>
    <d v="2026-03-12T00:00:00"/>
    <n v="8"/>
    <n v="1"/>
    <n v="0"/>
    <n v="-0.875"/>
    <n v="0"/>
    <s v="Normal"/>
    <m/>
    <m/>
    <m/>
    <m/>
    <m/>
    <m/>
    <m/>
    <m/>
    <m/>
    <m/>
    <m/>
    <m/>
    <m/>
    <m/>
    <m/>
    <m/>
    <m/>
    <m/>
    <m/>
    <m/>
    <m/>
    <m/>
    <m/>
    <m/>
  </r>
  <r>
    <x v="6"/>
    <s v="STI-1442"/>
    <s v="[Avasa] Proceso de Cancelación"/>
    <s v="Ready for prod"/>
    <d v="2026-03-31T00:00:00"/>
    <d v="2026-03-31T00:00:00"/>
    <n v="48"/>
    <n v="43"/>
    <n v="0"/>
    <n v="-0.10416666666666667"/>
    <n v="0"/>
    <s v="Normal"/>
    <m/>
    <m/>
    <m/>
    <m/>
    <m/>
    <m/>
    <m/>
    <m/>
    <m/>
    <m/>
    <m/>
    <m/>
    <m/>
    <m/>
    <m/>
    <m/>
    <m/>
    <m/>
    <m/>
    <m/>
    <m/>
    <m/>
    <m/>
    <m/>
  </r>
  <r>
    <x v="6"/>
    <s v="STI-1502"/>
    <s v="AuthorizationOverPayNotAllowed"/>
    <s v="En revisión"/>
    <d v="2026-03-30T00:00:00"/>
    <d v="2026-03-27T00:00:00"/>
    <n v="16"/>
    <n v="8"/>
    <n v="0"/>
    <n v="-0.5"/>
    <n v="0"/>
    <s v="Normal"/>
    <m/>
    <m/>
    <m/>
    <m/>
    <m/>
    <m/>
    <m/>
    <m/>
    <m/>
    <m/>
    <m/>
    <m/>
    <m/>
    <m/>
    <m/>
    <m/>
    <m/>
    <m/>
    <m/>
    <m/>
    <m/>
    <m/>
    <m/>
    <m/>
  </r>
  <r>
    <x v="6"/>
    <s v="STI-1514"/>
    <s v="[Apartados] Integrar la acción de cancelación en el llamado a cancel de apartados"/>
    <s v="Ready for prod"/>
    <d v="2026-03-30T00:00:00"/>
    <d v="2026-03-27T00:00:00"/>
    <n v="16"/>
    <n v="10"/>
    <n v="0"/>
    <n v="-0.375"/>
    <n v="0"/>
    <s v="Normal"/>
    <m/>
    <m/>
    <m/>
    <m/>
    <m/>
    <m/>
    <m/>
    <m/>
    <m/>
    <m/>
    <m/>
    <m/>
    <m/>
    <m/>
    <m/>
    <m/>
    <m/>
    <m/>
    <m/>
    <m/>
    <m/>
    <m/>
    <m/>
    <m/>
  </r>
  <r>
    <x v="6"/>
    <s v="STI-1493"/>
    <s v="[Insurances] - Hopper currency error"/>
    <s v="OPS"/>
    <d v="2026-04-09T00:00:00"/>
    <d v="2026-04-09T00:00:00"/>
    <n v="32"/>
    <n v="28"/>
    <n v="0"/>
    <n v="-0.125"/>
    <n v="0"/>
    <s v="Normal"/>
    <m/>
    <m/>
    <m/>
    <m/>
    <m/>
    <m/>
    <m/>
    <m/>
    <m/>
    <m/>
    <m/>
    <m/>
    <m/>
    <m/>
    <m/>
    <m/>
    <m/>
    <m/>
    <m/>
    <m/>
    <m/>
    <m/>
    <m/>
    <m/>
  </r>
  <r>
    <x v="6"/>
    <s v="STI-1519"/>
    <s v="Daily Meetings - Abril 2026"/>
    <s v="Finalizado"/>
    <d v="2026-04-30T00:00:00"/>
    <d v="2026-04-30T00:00:00"/>
    <n v="10"/>
    <n v="0"/>
    <n v="0"/>
    <n v="-1"/>
    <n v="0"/>
    <s v="Normal"/>
    <m/>
    <m/>
    <m/>
    <m/>
    <m/>
    <m/>
    <m/>
    <m/>
    <m/>
    <m/>
    <m/>
    <m/>
    <m/>
    <m/>
    <m/>
    <m/>
    <m/>
    <m/>
    <m/>
    <m/>
    <m/>
    <m/>
    <m/>
    <m/>
  </r>
  <r>
    <x v="6"/>
    <s v="STI-1533"/>
    <s v="[Car Rental] - Ajuste en commitAvasaBooking para confirmar pago"/>
    <s v="OPS"/>
    <d v="2026-04-17T00:00:00"/>
    <d v="2026-04-15T00:00:00"/>
    <n v="32"/>
    <n v="38"/>
    <n v="0"/>
    <n v="0.1875"/>
    <n v="0"/>
    <s v="Normal"/>
    <m/>
    <m/>
    <m/>
    <m/>
    <m/>
    <m/>
    <m/>
    <m/>
    <m/>
    <m/>
    <m/>
    <m/>
    <m/>
    <m/>
    <m/>
    <m/>
    <m/>
    <m/>
    <m/>
    <m/>
    <m/>
    <m/>
    <m/>
    <m/>
  </r>
  <r>
    <x v="6"/>
    <s v="STI-1406"/>
    <s v="Modificaciones Integración | Webhook Mercado Pago /  Wallets"/>
    <s v="Finalizado"/>
    <d v="2026-04-22T00:00:00"/>
    <d v="2026-04-27T00:00:00"/>
    <n v="40"/>
    <n v="51"/>
    <n v="0"/>
    <n v="0.27500000000000002"/>
    <n v="0"/>
    <s v="Normal"/>
    <m/>
    <m/>
    <m/>
    <m/>
    <m/>
    <m/>
    <m/>
    <m/>
    <m/>
    <m/>
    <m/>
    <m/>
    <m/>
    <m/>
    <m/>
    <m/>
    <m/>
    <m/>
    <m/>
    <m/>
    <m/>
    <m/>
    <m/>
    <m/>
  </r>
  <r>
    <x v="6"/>
    <s v="STI-1521"/>
    <s v="[TotalRefund] - Casos con reembolsos en 0 - Analisis"/>
    <s v="Cerrado"/>
    <d v="2026-05-06T00:00:00"/>
    <d v="2026-05-06T00:00:00"/>
    <n v="24"/>
    <n v="25"/>
    <n v="0"/>
    <n v="4.1666666666666664E-2"/>
    <n v="0"/>
    <s v="Normal"/>
    <m/>
    <m/>
    <m/>
    <m/>
    <m/>
    <m/>
    <m/>
    <m/>
    <m/>
    <m/>
    <m/>
    <m/>
    <m/>
    <m/>
    <m/>
    <m/>
    <m/>
    <m/>
    <m/>
    <m/>
    <m/>
    <m/>
    <m/>
    <m/>
  </r>
  <r>
    <x v="6"/>
    <s v="STI-1565"/>
    <s v="[Avasa] - Ajustar parametros en llamada a confirmación de reserva Avasa"/>
    <s v="En revisión"/>
    <d v="2026-04-29T00:00:00"/>
    <d v="2026-04-29T00:00:00"/>
    <n v="6"/>
    <n v="6"/>
    <n v="0"/>
    <n v="0"/>
    <n v="0"/>
    <s v="Normal"/>
    <m/>
    <m/>
    <m/>
    <m/>
    <m/>
    <m/>
    <m/>
    <m/>
    <m/>
    <m/>
    <m/>
    <m/>
    <m/>
    <m/>
    <m/>
    <m/>
    <m/>
    <m/>
    <m/>
    <m/>
    <m/>
    <m/>
    <m/>
    <m/>
  </r>
  <r>
    <x v="6"/>
    <s v="STI-1568"/>
    <s v="[P2P] Análisis de proceso de initiate para optimización"/>
    <s v="Finalizado"/>
    <d v="2026-05-07T00:00:00"/>
    <d v="2026-05-04T00:00:00"/>
    <n v="32"/>
    <n v="8"/>
    <n v="0"/>
    <n v="-0.75"/>
    <n v="0"/>
    <s v="Normal"/>
    <m/>
    <m/>
    <m/>
    <m/>
    <m/>
    <m/>
    <m/>
    <m/>
    <m/>
    <m/>
    <m/>
    <m/>
    <m/>
    <m/>
    <m/>
    <m/>
    <m/>
    <m/>
    <m/>
    <m/>
    <m/>
    <m/>
    <m/>
    <m/>
  </r>
  <r>
    <x v="6"/>
    <s v="STI-1571"/>
    <s v="[P2P] - Peer2Peer initiate optimization"/>
    <s v="En revisión"/>
    <d v="2026-05-08T00:00:00"/>
    <d v="2026-05-06T00:00:00"/>
    <n v="32"/>
    <n v="21"/>
    <n v="0"/>
    <n v="-0.34375"/>
    <n v="0"/>
    <s v="Normal"/>
    <m/>
    <m/>
    <m/>
    <m/>
    <m/>
    <m/>
    <m/>
    <m/>
    <m/>
    <m/>
    <m/>
    <m/>
    <m/>
    <m/>
    <m/>
    <m/>
    <m/>
    <m/>
    <m/>
    <m/>
    <m/>
    <m/>
    <m/>
    <m/>
  </r>
  <r>
    <x v="6"/>
    <s v="STI-1572"/>
    <s v="Daily Meetings - Mayo 2026"/>
    <s v="Finalizado"/>
    <d v="2026-05-29T00:00:00"/>
    <d v="2026-05-29T00:00:00"/>
    <n v="9.5"/>
    <n v="0"/>
    <n v="0"/>
    <n v="-1"/>
    <n v="0"/>
    <s v="Normal"/>
    <m/>
    <m/>
    <m/>
    <m/>
    <m/>
    <m/>
    <m/>
    <m/>
    <m/>
    <m/>
    <m/>
    <m/>
    <m/>
    <m/>
    <m/>
    <m/>
    <m/>
    <m/>
    <m/>
    <m/>
    <m/>
    <m/>
    <m/>
    <m/>
  </r>
  <r>
    <x v="6"/>
    <s v="STI-1566"/>
    <s v="[Cancellation Fees] - Modificación de FEEs utilizados en cancelaciones Marketplace"/>
    <s v="En revisión"/>
    <d v="2026-05-08T00:00:00"/>
    <d v="2026-05-08T00:00:00"/>
    <n v="8"/>
    <n v="6"/>
    <n v="0"/>
    <n v="-0.25"/>
    <n v="0"/>
    <s v="Normal"/>
    <m/>
    <m/>
    <m/>
    <m/>
    <m/>
    <m/>
    <m/>
    <m/>
    <m/>
    <m/>
    <m/>
    <m/>
    <m/>
    <m/>
    <m/>
    <m/>
    <m/>
    <m/>
    <m/>
    <m/>
    <m/>
    <m/>
    <m/>
    <m/>
  </r>
  <r>
    <x v="6"/>
    <s v="STI-1563"/>
    <s v="[Cancellation Fees] - Modificación de FEEs utilizados en cancelaciones TotalRefund"/>
    <s v="En revisión"/>
    <d v="2026-05-08T00:00:00"/>
    <d v="2026-05-08T00:00:00"/>
    <n v="16"/>
    <n v="4"/>
    <n v="0"/>
    <n v="-0.75"/>
    <n v="0"/>
    <s v="Normal"/>
    <m/>
    <m/>
    <m/>
    <m/>
    <m/>
    <m/>
    <m/>
    <m/>
    <m/>
    <m/>
    <m/>
    <m/>
    <m/>
    <m/>
    <m/>
    <m/>
    <m/>
    <m/>
    <m/>
    <m/>
    <m/>
    <m/>
    <m/>
    <m/>
  </r>
  <r>
    <x v="6"/>
    <s v="STI-1582"/>
    <s v="[FLEX] Actualizar los fees de cancelación 24 hrs"/>
    <s v="Finalizado"/>
    <d v="2026-05-19T00:00:00"/>
    <d v="2026-05-15T00:00:00"/>
    <n v="8"/>
    <n v="8"/>
    <n v="0"/>
    <n v="0"/>
    <n v="0"/>
    <s v="Normal"/>
    <m/>
    <m/>
    <m/>
    <m/>
    <m/>
    <m/>
    <m/>
    <m/>
    <m/>
    <m/>
    <m/>
    <m/>
    <m/>
    <m/>
    <m/>
    <m/>
    <m/>
    <m/>
    <m/>
    <m/>
    <m/>
    <m/>
    <m/>
    <m/>
  </r>
  <r>
    <x v="6"/>
    <s v="STI-1583"/>
    <s v="[IROP] Actualizar los fees utilizados para IROP"/>
    <s v="En revisión"/>
    <d v="2026-05-20T00:00:00"/>
    <d v="2026-05-20T00:00:00"/>
    <n v="16"/>
    <n v="16"/>
    <n v="0"/>
    <n v="0"/>
    <n v="0"/>
    <s v="Normal"/>
    <m/>
    <m/>
    <m/>
    <m/>
    <m/>
    <m/>
    <m/>
    <m/>
    <m/>
    <m/>
    <m/>
    <m/>
    <m/>
    <m/>
    <m/>
    <m/>
    <m/>
    <m/>
    <m/>
    <m/>
    <m/>
    <m/>
    <m/>
    <m/>
  </r>
  <r>
    <x v="6"/>
    <s v="STI-1591"/>
    <s v="[IROP] Actualizar los fees utilizados para IROP"/>
    <s v="En revisión"/>
    <d v="2026-06-01T00:00:00"/>
    <d v="2026-05-20T00:00:00"/>
    <n v="24"/>
    <n v="24"/>
    <n v="0"/>
    <n v="0"/>
    <n v="0"/>
    <s v="Normal"/>
    <m/>
    <m/>
    <m/>
    <m/>
    <m/>
    <m/>
    <m/>
    <m/>
    <m/>
    <m/>
    <m/>
    <m/>
    <m/>
    <m/>
    <m/>
    <m/>
    <m/>
    <m/>
    <m/>
    <m/>
    <m/>
    <m/>
    <m/>
    <m/>
  </r>
  <r>
    <x v="6"/>
    <s v="STI-1593"/>
    <s v="REEMBOLSO NO APLICADO EN PLATAFORMA "/>
    <s v="En revisión"/>
    <d v="2026-06-02T00:00:00"/>
    <m/>
    <n v="24"/>
    <n v="22"/>
    <n v="0"/>
    <n v="-8.3333333333333329E-2"/>
    <n v="0"/>
    <s v="Normal"/>
    <m/>
    <m/>
    <m/>
    <m/>
    <m/>
    <m/>
    <m/>
    <m/>
    <m/>
    <m/>
    <m/>
    <m/>
    <m/>
    <m/>
    <m/>
    <m/>
    <m/>
    <m/>
    <m/>
    <m/>
    <m/>
    <m/>
    <m/>
    <m/>
  </r>
  <r>
    <x v="6"/>
    <s v="STI-1603"/>
    <s v="Documentación de Lambdas"/>
    <s v="En revisión"/>
    <d v="2026-06-05T00:00:00"/>
    <d v="2026-06-05T00:00:00"/>
    <n v="24"/>
    <n v="28"/>
    <n v="0"/>
    <n v="0.16666666666666666"/>
    <n v="0"/>
    <s v="Normal"/>
    <m/>
    <m/>
    <m/>
    <m/>
    <m/>
    <m/>
    <m/>
    <m/>
    <m/>
    <m/>
    <m/>
    <m/>
    <m/>
    <m/>
    <m/>
    <m/>
    <m/>
    <m/>
    <m/>
    <m/>
    <m/>
    <m/>
    <m/>
    <m/>
  </r>
  <r>
    <x v="6"/>
    <s v="STI-1604"/>
    <s v="Daily Meetings - Junio 2026"/>
    <s v="Cerrado"/>
    <d v="2026-06-30T00:00:00"/>
    <m/>
    <n v="9.5"/>
    <n v="9"/>
    <n v="0"/>
    <n v="-5.2631578947368418E-2"/>
    <n v="0"/>
    <s v="Normal"/>
    <m/>
    <m/>
    <m/>
    <m/>
    <m/>
    <m/>
    <m/>
    <m/>
    <m/>
    <m/>
    <m/>
    <m/>
    <m/>
    <m/>
    <m/>
    <m/>
    <m/>
    <m/>
    <m/>
    <m/>
    <m/>
    <m/>
    <m/>
    <m/>
  </r>
  <r>
    <x v="6"/>
    <s v="STI-1607"/>
    <s v="[Apartados] Revisión de casos"/>
    <s v="En revisión"/>
    <d v="2026-06-09T00:00:00"/>
    <d v="2026-06-12T00:00:00"/>
    <n v="24"/>
    <n v="20"/>
    <n v="0"/>
    <n v="-0.16666666666666666"/>
    <n v="0"/>
    <s v="Normal"/>
    <m/>
    <m/>
    <m/>
    <m/>
    <m/>
    <m/>
    <m/>
    <m/>
    <m/>
    <m/>
    <m/>
    <m/>
    <m/>
    <m/>
    <m/>
    <m/>
    <m/>
    <m/>
    <m/>
    <m/>
    <m/>
    <m/>
    <m/>
    <m/>
  </r>
  <r>
    <x v="6"/>
    <s v="STI-1608"/>
    <s v="[Transactions] Actualizar queue de fallos en Avasa"/>
    <s v="En revisión"/>
    <d v="2026-06-12T00:00:00"/>
    <d v="2026-06-12T00:00:00"/>
    <n v="4"/>
    <n v="4"/>
    <n v="0"/>
    <n v="0"/>
    <n v="0"/>
    <s v="Normal"/>
    <m/>
    <m/>
    <m/>
    <m/>
    <m/>
    <m/>
    <m/>
    <m/>
    <m/>
    <m/>
    <m/>
    <m/>
    <m/>
    <m/>
    <m/>
    <m/>
    <m/>
    <m/>
    <m/>
    <m/>
    <m/>
    <m/>
    <m/>
    <m/>
  </r>
  <r>
    <x v="6"/>
    <s v="STI-1610"/>
    <s v="[TransferP2p] Ajustes al proceso"/>
    <s v="En revisión"/>
    <d v="2026-06-19T00:00:00"/>
    <d v="2026-06-19T00:00:00"/>
    <n v="24"/>
    <n v="24"/>
    <n v="0"/>
    <n v="0"/>
    <n v="0"/>
    <s v="Normal"/>
    <m/>
    <m/>
    <m/>
    <m/>
    <m/>
    <m/>
    <m/>
    <m/>
    <m/>
    <m/>
    <m/>
    <m/>
    <m/>
    <m/>
    <m/>
    <m/>
    <m/>
    <m/>
    <m/>
    <m/>
    <m/>
    <m/>
    <m/>
    <m/>
  </r>
  <r>
    <x v="6"/>
    <s v="STI-1617"/>
    <s v="[TrenMaya] Ajustes, pruebas y despliegue"/>
    <s v="En revisión"/>
    <d v="2026-06-26T00:00:00"/>
    <d v="2026-06-19T00:00:00"/>
    <n v="24"/>
    <n v="16"/>
    <n v="0"/>
    <n v="-0.33333333333333331"/>
    <n v="0"/>
    <s v="Normal"/>
    <m/>
    <m/>
    <m/>
    <m/>
    <m/>
    <m/>
    <m/>
    <m/>
    <m/>
    <m/>
    <m/>
    <m/>
    <m/>
    <m/>
    <m/>
    <m/>
    <m/>
    <m/>
    <m/>
    <m/>
    <m/>
    <m/>
    <m/>
    <m/>
  </r>
  <r>
    <x v="6"/>
    <s v="STI-1618"/>
    <s v="[Avasa] Análisis de casos, pruebas y reprocesamientos"/>
    <s v="En revisión"/>
    <d v="2026-06-26T00:00:00"/>
    <d v="2026-06-22T00:00:00"/>
    <n v="24"/>
    <n v="16"/>
    <n v="0"/>
    <n v="-0.33333333333333331"/>
    <n v="0"/>
    <s v="Normal"/>
    <m/>
    <m/>
    <m/>
    <m/>
    <m/>
    <m/>
    <m/>
    <m/>
    <m/>
    <m/>
    <m/>
    <m/>
    <m/>
    <m/>
    <m/>
    <m/>
    <m/>
    <m/>
    <m/>
    <m/>
    <m/>
    <m/>
    <m/>
    <m/>
  </r>
  <r>
    <x v="6"/>
    <s v="STI-1620"/>
    <s v="[Transactions] Ajuste de reembolsos Marketplace"/>
    <s v="En revisión"/>
    <d v="2026-06-12T00:00:00"/>
    <d v="2026-06-12T00:00:00"/>
    <n v="4"/>
    <n v="4"/>
    <n v="0"/>
    <n v="0"/>
    <n v="0"/>
    <s v="Normal"/>
    <m/>
    <m/>
    <m/>
    <m/>
    <m/>
    <m/>
    <m/>
    <m/>
    <m/>
    <m/>
    <m/>
    <m/>
    <m/>
    <m/>
    <m/>
    <m/>
    <m/>
    <m/>
    <m/>
    <m/>
    <m/>
    <m/>
    <m/>
    <m/>
  </r>
  <r>
    <x v="6"/>
    <s v="STI-1621"/>
    <s v="[Transactions] Ajustes en dependencia de Base de datos"/>
    <s v="En revisión"/>
    <d v="2026-06-26T00:00:00"/>
    <d v="2026-07-02T00:00:00"/>
    <n v="16"/>
    <n v="12"/>
    <n v="0"/>
    <n v="-0.25"/>
    <n v="0"/>
    <s v="Normal"/>
    <m/>
    <m/>
    <m/>
    <m/>
    <m/>
    <m/>
    <m/>
    <m/>
    <m/>
    <m/>
    <m/>
    <m/>
    <m/>
    <m/>
    <m/>
    <m/>
    <m/>
    <m/>
    <m/>
    <m/>
    <m/>
    <m/>
    <m/>
    <m/>
  </r>
  <r>
    <x v="6"/>
    <s v="STI-1622"/>
    <s v="[Transactions] Irop validation in Zulu time"/>
    <s v="En revisión"/>
    <d v="2026-06-24T00:00:00"/>
    <d v="2026-06-24T00:00:00"/>
    <n v="8"/>
    <n v="8"/>
    <n v="0"/>
    <n v="0"/>
    <n v="0"/>
    <s v="Normal"/>
    <m/>
    <m/>
    <m/>
    <m/>
    <m/>
    <m/>
    <m/>
    <m/>
    <m/>
    <m/>
    <m/>
    <m/>
    <m/>
    <m/>
    <m/>
    <m/>
    <m/>
    <m/>
    <m/>
    <m/>
    <m/>
    <m/>
    <m/>
    <m/>
  </r>
  <r>
    <x v="6"/>
    <s v="STI-1625"/>
    <s v="[VivaCandy] Casos hotel no confirmado"/>
    <s v="En revisión"/>
    <d v="2026-07-01T00:00:00"/>
    <d v="2026-06-30T00:00:00"/>
    <n v="10"/>
    <n v="8"/>
    <n v="0"/>
    <n v="-0.2"/>
    <n v="0"/>
    <s v="Normal"/>
    <m/>
    <m/>
    <m/>
    <m/>
    <m/>
    <m/>
    <m/>
    <m/>
    <m/>
    <m/>
    <m/>
    <m/>
    <m/>
    <m/>
    <m/>
    <m/>
    <m/>
    <m/>
    <m/>
    <m/>
    <m/>
    <m/>
    <m/>
    <m/>
  </r>
  <r>
    <x v="6"/>
    <s v="STI-1626"/>
    <s v="Servicio de optimización de precios - Bundle Zero"/>
    <s v="En revisión "/>
    <d v="2026-08-26T00:00:00"/>
    <d v="2026-08-28T00:00:00"/>
    <n v="56"/>
    <n v="40"/>
    <n v="12"/>
    <n v="-7.1428571428571425E-2"/>
    <n v="0"/>
    <s v="Normal"/>
    <m/>
    <m/>
    <m/>
    <m/>
    <n v="4"/>
    <m/>
    <m/>
    <m/>
    <m/>
    <m/>
    <m/>
    <m/>
    <m/>
    <m/>
    <m/>
    <m/>
    <m/>
    <m/>
    <m/>
    <m/>
    <m/>
    <m/>
    <m/>
    <n v="8"/>
  </r>
  <r>
    <x v="6"/>
    <s v="STI-1365"/>
    <s v="Investigación de reservas sin hotel confirmado"/>
    <s v="Finalizado"/>
    <m/>
    <m/>
    <n v="0"/>
    <n v="8"/>
    <n v="0"/>
    <s v=""/>
    <n v="0"/>
    <s v="Sin estimación"/>
    <m/>
    <m/>
    <m/>
    <m/>
    <m/>
    <m/>
    <m/>
    <m/>
    <m/>
    <m/>
    <m/>
    <m/>
    <m/>
    <m/>
    <m/>
    <m/>
    <m/>
    <m/>
    <m/>
    <m/>
    <m/>
    <m/>
    <m/>
    <m/>
  </r>
  <r>
    <x v="6"/>
    <s v="STI-1628"/>
    <s v="Daily Meetings - Julio 2026"/>
    <s v="Finalizado"/>
    <d v="2026-07-31T00:00:00"/>
    <d v="2026-07-31T00:00:00"/>
    <n v="10.5"/>
    <n v="10.5"/>
    <n v="0"/>
    <n v="0"/>
    <n v="0"/>
    <s v="Normal"/>
    <m/>
    <m/>
    <m/>
    <m/>
    <m/>
    <m/>
    <m/>
    <m/>
    <m/>
    <m/>
    <m/>
    <m/>
    <m/>
    <m/>
    <m/>
    <m/>
    <m/>
    <m/>
    <m/>
    <m/>
    <m/>
    <m/>
    <m/>
    <m/>
  </r>
  <r>
    <x v="6"/>
    <s v="STI-1634"/>
    <s v="[Transactions] Análisis de errores de la lambda en producción"/>
    <s v="En revisión"/>
    <m/>
    <d v="2026-07-17T00:00:00"/>
    <n v="0"/>
    <n v="16"/>
    <n v="0"/>
    <s v=""/>
    <n v="0"/>
    <s v="Sin estimación"/>
    <m/>
    <m/>
    <m/>
    <m/>
    <m/>
    <m/>
    <m/>
    <m/>
    <m/>
    <m/>
    <m/>
    <m/>
    <m/>
    <m/>
    <m/>
    <m/>
    <m/>
    <m/>
    <m/>
    <m/>
    <m/>
    <m/>
    <m/>
    <m/>
  </r>
  <r>
    <x v="6"/>
    <s v="STI-1636"/>
    <s v="[SystemComments] Actualización por cambio en Navitaire"/>
    <s v="En revisión"/>
    <m/>
    <d v="2026-08-17T00:00:00"/>
    <n v="0"/>
    <n v="6"/>
    <n v="0"/>
    <s v=""/>
    <n v="0"/>
    <s v="Sin estimación"/>
    <m/>
    <m/>
    <m/>
    <m/>
    <m/>
    <m/>
    <m/>
    <m/>
    <m/>
    <m/>
    <m/>
    <m/>
    <m/>
    <m/>
    <m/>
    <m/>
    <m/>
    <m/>
    <m/>
    <m/>
    <m/>
    <m/>
    <m/>
    <m/>
  </r>
  <r>
    <x v="6"/>
    <s v="STI-1631"/>
    <s v="[Empty Seat] - Proxy services for hopper"/>
    <s v="En Pausa"/>
    <d v="2026-07-24T00:00:00"/>
    <m/>
    <n v="40"/>
    <n v="44"/>
    <n v="4"/>
    <n v="0.2"/>
    <n v="0"/>
    <s v="Normal"/>
    <m/>
    <m/>
    <m/>
    <n v="4"/>
    <m/>
    <m/>
    <m/>
    <m/>
    <m/>
    <m/>
    <m/>
    <m/>
    <m/>
    <m/>
    <m/>
    <m/>
    <m/>
    <m/>
    <m/>
    <m/>
    <m/>
    <m/>
    <m/>
    <m/>
  </r>
  <r>
    <x v="6"/>
    <s v="STI-1637"/>
    <s v="[Transactions] Análisis y revisión por falla en fee Recash"/>
    <s v="En revisión"/>
    <d v="2026-07-21T00:00:00"/>
    <d v="2026-07-23T00:00:00"/>
    <n v="0"/>
    <n v="8"/>
    <n v="0"/>
    <s v=""/>
    <n v="0"/>
    <s v="Sin estimación"/>
    <m/>
    <m/>
    <m/>
    <m/>
    <m/>
    <m/>
    <m/>
    <m/>
    <m/>
    <m/>
    <m/>
    <m/>
    <m/>
    <m/>
    <m/>
    <m/>
    <m/>
    <m/>
    <m/>
    <m/>
    <m/>
    <m/>
    <m/>
    <m/>
  </r>
  <r>
    <x v="6"/>
    <s v="STI-1667"/>
    <s v="[TrenMaya] Reprocesamiento manual de reservas por falla del servicio de estaciones"/>
    <s v="En revisión"/>
    <d v="2026-07-24T00:00:00"/>
    <d v="2026-07-21T00:00:00"/>
    <n v="8"/>
    <n v="6"/>
    <n v="0"/>
    <n v="-0.25"/>
    <n v="0"/>
    <s v="Normal"/>
    <m/>
    <m/>
    <m/>
    <m/>
    <m/>
    <m/>
    <m/>
    <m/>
    <m/>
    <m/>
    <m/>
    <m/>
    <m/>
    <m/>
    <m/>
    <m/>
    <m/>
    <m/>
    <m/>
    <m/>
    <m/>
    <m/>
    <m/>
    <m/>
  </r>
  <r>
    <x v="6"/>
    <s v="STI-1669"/>
    <s v="[P2P] Actualización por cambios en transactions"/>
    <s v="En revisión"/>
    <d v="2026-08-20T00:00:00"/>
    <d v="2026-07-23T00:00:00"/>
    <n v="8"/>
    <n v="6"/>
    <n v="0"/>
    <n v="-0.25"/>
    <n v="0"/>
    <s v="Normal"/>
    <m/>
    <m/>
    <m/>
    <m/>
    <m/>
    <m/>
    <m/>
    <m/>
    <m/>
    <m/>
    <m/>
    <m/>
    <m/>
    <m/>
    <m/>
    <m/>
    <m/>
    <m/>
    <m/>
    <m/>
    <m/>
    <m/>
    <m/>
    <m/>
  </r>
  <r>
    <x v="6"/>
    <s v="STI-1670"/>
    <s v="[Transactions] Apoyo en migración de cuenta en aws"/>
    <s v="En revisión"/>
    <d v="2026-08-31T00:00:00"/>
    <d v="2026-07-23T00:00:00"/>
    <n v="8"/>
    <n v="2"/>
    <n v="0"/>
    <n v="-0.75"/>
    <n v="0"/>
    <s v="Normal"/>
    <m/>
    <m/>
    <m/>
    <m/>
    <m/>
    <m/>
    <m/>
    <m/>
    <m/>
    <m/>
    <m/>
    <m/>
    <m/>
    <m/>
    <m/>
    <m/>
    <m/>
    <m/>
    <m/>
    <m/>
    <m/>
    <m/>
    <m/>
    <m/>
  </r>
  <r>
    <x v="6"/>
    <s v="STI-1671"/>
    <s v="[VivaCash] Error de solemnti, diagnóstico, gestión e informe"/>
    <s v="En revisión"/>
    <d v="2026-07-31T00:00:00"/>
    <d v="2026-07-24T00:00:00"/>
    <n v="8"/>
    <n v="8"/>
    <n v="0"/>
    <n v="0"/>
    <n v="0"/>
    <s v="Normal"/>
    <m/>
    <m/>
    <m/>
    <m/>
    <m/>
    <m/>
    <m/>
    <m/>
    <m/>
    <m/>
    <m/>
    <m/>
    <m/>
    <m/>
    <m/>
    <m/>
    <m/>
    <m/>
    <m/>
    <m/>
    <m/>
    <m/>
    <m/>
    <m/>
  </r>
  <r>
    <x v="6"/>
    <s v="STI-1672"/>
    <s v="[Comments] Ajustes al proceso"/>
    <s v="En revisión"/>
    <d v="2026-07-31T00:00:00"/>
    <d v="2026-07-28T00:00:00"/>
    <n v="16"/>
    <n v="10"/>
    <n v="0"/>
    <n v="-0.375"/>
    <n v="0"/>
    <s v="Normal"/>
    <m/>
    <m/>
    <m/>
    <m/>
    <m/>
    <m/>
    <m/>
    <m/>
    <m/>
    <m/>
    <m/>
    <m/>
    <m/>
    <m/>
    <m/>
    <m/>
    <m/>
    <m/>
    <m/>
    <m/>
    <m/>
    <m/>
    <m/>
    <m/>
  </r>
  <r>
    <x v="6"/>
    <s v="STI-1673"/>
    <s v="[P2P] Api Key y pruebas con Ezy"/>
    <s v="En revisión"/>
    <d v="2026-07-31T00:00:00"/>
    <d v="2026-08-18T00:00:00"/>
    <n v="8"/>
    <n v="6"/>
    <n v="2"/>
    <n v="0"/>
    <n v="0"/>
    <s v="Normal"/>
    <m/>
    <m/>
    <n v="2"/>
    <m/>
    <m/>
    <m/>
    <m/>
    <m/>
    <m/>
    <m/>
    <m/>
    <m/>
    <m/>
    <m/>
    <m/>
    <m/>
    <m/>
    <m/>
    <m/>
    <m/>
    <m/>
    <m/>
    <m/>
    <m/>
  </r>
  <r>
    <x v="6"/>
    <s v="STI-1649"/>
    <s v="Daily Meetings - Agosto 2026"/>
    <s v="Finalizado"/>
    <d v="2026-08-31T00:00:00"/>
    <m/>
    <n v="10.5"/>
    <n v="0"/>
    <n v="9.5"/>
    <n v="-9.5238095238095233E-2"/>
    <n v="0"/>
    <s v="Normal"/>
    <m/>
    <n v="0.5"/>
    <n v="0.5"/>
    <n v="0.5"/>
    <n v="0.5"/>
    <m/>
    <n v="0.5"/>
    <n v="0.5"/>
    <n v="0.5"/>
    <n v="0.5"/>
    <n v="0.5"/>
    <m/>
    <n v="0.5"/>
    <n v="0.5"/>
    <n v="0.5"/>
    <n v="0.5"/>
    <n v="0.5"/>
    <n v="0.5"/>
    <n v="0.5"/>
    <n v="0.5"/>
    <n v="0.5"/>
    <m/>
    <m/>
    <n v="0.5"/>
  </r>
  <r>
    <x v="6"/>
    <s v="STI-1687"/>
    <s v="[TrenMaya] Reprocesamiento Manual - Agosto"/>
    <s v="En revisión"/>
    <m/>
    <m/>
    <n v="24"/>
    <n v="0"/>
    <n v="19"/>
    <n v="-0.20833333333333334"/>
    <n v="0"/>
    <s v="Normal"/>
    <m/>
    <n v="8"/>
    <n v="6"/>
    <n v="4"/>
    <m/>
    <m/>
    <n v="1"/>
    <m/>
    <m/>
    <m/>
    <m/>
    <m/>
    <m/>
    <m/>
    <m/>
    <m/>
    <m/>
    <m/>
    <m/>
    <m/>
    <m/>
    <m/>
    <m/>
    <m/>
  </r>
  <r>
    <x v="6"/>
    <s v="STI-1691"/>
    <s v="[Apartados] Debug y pruebas de batch cancel booking"/>
    <s v="En revisión"/>
    <d v="2026-09-01T00:00:00"/>
    <d v="2026-08-28T00:00:00"/>
    <n v="16"/>
    <n v="0"/>
    <n v="15"/>
    <n v="-6.25E-2"/>
    <n v="0"/>
    <s v="Normal"/>
    <m/>
    <m/>
    <m/>
    <m/>
    <m/>
    <m/>
    <n v="7"/>
    <n v="8"/>
    <m/>
    <m/>
    <m/>
    <m/>
    <m/>
    <m/>
    <m/>
    <m/>
    <m/>
    <m/>
    <m/>
    <m/>
    <m/>
    <m/>
    <m/>
    <m/>
  </r>
  <r>
    <x v="6"/>
    <s v="STI-1692"/>
    <s v="[IROP] Reprice y balanceo en cancelaciones parciales"/>
    <s v="En revisión"/>
    <d v="2026-09-01T00:00:00"/>
    <d v="2026-08-28T00:00:00"/>
    <n v="24"/>
    <n v="0"/>
    <n v="20"/>
    <n v="-0.16666666666666666"/>
    <n v="0"/>
    <s v="Normal"/>
    <m/>
    <m/>
    <m/>
    <m/>
    <m/>
    <m/>
    <m/>
    <m/>
    <n v="8"/>
    <m/>
    <n v="8"/>
    <m/>
    <m/>
    <n v="4"/>
    <m/>
    <m/>
    <m/>
    <m/>
    <m/>
    <m/>
    <m/>
    <m/>
    <m/>
    <m/>
  </r>
  <r>
    <x v="6"/>
    <s v="STI-1693"/>
    <s v="[Avasa] Reprocesamiento de reservas"/>
    <s v="En revisión"/>
    <d v="2026-09-01T00:00:00"/>
    <d v="2026-08-28T00:00:00"/>
    <n v="8"/>
    <n v="0"/>
    <n v="8"/>
    <n v="0"/>
    <n v="0"/>
    <s v="Normal"/>
    <m/>
    <m/>
    <m/>
    <m/>
    <m/>
    <m/>
    <m/>
    <m/>
    <m/>
    <n v="8"/>
    <m/>
    <m/>
    <m/>
    <m/>
    <m/>
    <m/>
    <m/>
    <m/>
    <m/>
    <m/>
    <m/>
    <m/>
    <m/>
    <m/>
  </r>
  <r>
    <x v="6"/>
    <s v="STI-1695"/>
    <s v="[TUA] Revisión de logs y pruebas"/>
    <s v="En revisión"/>
    <d v="2026-09-01T00:00:00"/>
    <d v="2026-08-28T00:00:00"/>
    <n v="8"/>
    <n v="0"/>
    <n v="8"/>
    <n v="0"/>
    <n v="0"/>
    <s v="Normal"/>
    <m/>
    <m/>
    <m/>
    <m/>
    <m/>
    <m/>
    <m/>
    <m/>
    <m/>
    <m/>
    <m/>
    <m/>
    <n v="8"/>
    <m/>
    <m/>
    <m/>
    <m/>
    <m/>
    <m/>
    <m/>
    <m/>
    <m/>
    <m/>
    <m/>
  </r>
  <r>
    <x v="6"/>
    <s v="STI-1696"/>
    <s v="[VivaGift] Revisión de reembolsos USD"/>
    <s v="En revisión"/>
    <d v="2026-09-01T00:00:00"/>
    <d v="2026-08-28T00:00:00"/>
    <n v="8"/>
    <n v="0"/>
    <n v="4"/>
    <n v="-0.5"/>
    <n v="0"/>
    <s v="Normal"/>
    <m/>
    <m/>
    <m/>
    <m/>
    <m/>
    <m/>
    <m/>
    <m/>
    <m/>
    <m/>
    <m/>
    <m/>
    <m/>
    <n v="4"/>
    <m/>
    <m/>
    <m/>
    <m/>
    <m/>
    <m/>
    <m/>
    <m/>
    <m/>
    <m/>
  </r>
  <r>
    <x v="6"/>
    <s v="STI-1697"/>
    <s v="[Apartados] Revisión de error al cancelar avasa"/>
    <s v="En revisión"/>
    <d v="2026-09-01T00:00:00"/>
    <d v="2026-08-28T00:00:00"/>
    <n v="8"/>
    <n v="0"/>
    <n v="8"/>
    <n v="0"/>
    <n v="0"/>
    <s v="Normal"/>
    <m/>
    <m/>
    <m/>
    <m/>
    <m/>
    <m/>
    <m/>
    <m/>
    <m/>
    <m/>
    <m/>
    <m/>
    <m/>
    <m/>
    <n v="8"/>
    <m/>
    <m/>
    <m/>
    <m/>
    <m/>
    <m/>
    <m/>
    <m/>
    <m/>
  </r>
  <r>
    <x v="6"/>
    <s v="STI-1698"/>
    <s v="[Transactions] Migración de cuenta aws"/>
    <s v="En revisión"/>
    <d v="2026-09-04T00:00:00"/>
    <d v="2026-08-28T00:00:00"/>
    <n v="32"/>
    <n v="0"/>
    <n v="23"/>
    <n v="-0.28125"/>
    <n v="0"/>
    <s v="Normal"/>
    <m/>
    <m/>
    <m/>
    <m/>
    <m/>
    <m/>
    <m/>
    <m/>
    <m/>
    <m/>
    <m/>
    <m/>
    <m/>
    <m/>
    <m/>
    <n v="8"/>
    <m/>
    <n v="8"/>
    <m/>
    <n v="7"/>
    <m/>
    <m/>
    <m/>
    <m/>
  </r>
  <r>
    <x v="6"/>
    <s v="STI-1679"/>
    <s v="[FEEs] - Ajustes en FEEs de P2P"/>
    <s v="En curso"/>
    <d v="2026-09-04T00:00:00"/>
    <m/>
    <n v="32"/>
    <n v="0"/>
    <n v="19"/>
    <n v="-0.40625"/>
    <n v="0"/>
    <s v="Normal"/>
    <m/>
    <m/>
    <m/>
    <m/>
    <m/>
    <m/>
    <m/>
    <m/>
    <m/>
    <m/>
    <m/>
    <m/>
    <m/>
    <m/>
    <m/>
    <m/>
    <n v="8"/>
    <m/>
    <n v="7"/>
    <m/>
    <n v="4"/>
    <m/>
    <m/>
    <m/>
  </r>
  <r>
    <x v="6"/>
    <s v="STI-1706"/>
    <s v="[Apartados] Revisión y cancelación manual"/>
    <s v="En curso"/>
    <d v="2026-09-01T00:00:00"/>
    <m/>
    <n v="4"/>
    <n v="0"/>
    <n v="2"/>
    <n v="-0.5"/>
    <n v="0"/>
    <s v="Normal"/>
    <m/>
    <m/>
    <m/>
    <m/>
    <m/>
    <m/>
    <m/>
    <m/>
    <m/>
    <m/>
    <m/>
    <m/>
    <m/>
    <m/>
    <m/>
    <m/>
    <m/>
    <m/>
    <n v="1"/>
    <n v="1"/>
    <m/>
    <m/>
    <m/>
    <m/>
  </r>
  <r>
    <x v="6"/>
    <s v="STI-1680"/>
    <s v="[FEEs] - Ajustes en FEEs de Sellback"/>
    <s v="En curso"/>
    <m/>
    <m/>
    <m/>
    <n v="0"/>
    <n v="4"/>
    <s v=""/>
    <n v="0"/>
    <s v="Sin estimación"/>
    <m/>
    <m/>
    <m/>
    <m/>
    <m/>
    <m/>
    <m/>
    <m/>
    <m/>
    <m/>
    <m/>
    <m/>
    <m/>
    <m/>
    <m/>
    <m/>
    <m/>
    <m/>
    <m/>
    <m/>
    <n v="4"/>
    <m/>
    <m/>
    <m/>
  </r>
  <r>
    <x v="7"/>
    <s v="STI-1010"/>
    <s v="[PaxAlert] Notification endpoint"/>
    <s v="Ready for prod"/>
    <d v="2025-12-12T00:00:00"/>
    <d v="2025-12-05T00:00:00"/>
    <n v="52"/>
    <n v="67"/>
    <n v="0"/>
    <n v="0.28846153846153844"/>
    <n v="1"/>
    <s v="Normal"/>
    <m/>
    <m/>
    <m/>
    <m/>
    <m/>
    <m/>
    <m/>
    <m/>
    <m/>
    <m/>
    <m/>
    <m/>
    <m/>
    <m/>
    <m/>
    <m/>
    <m/>
    <m/>
    <m/>
    <m/>
    <m/>
    <m/>
    <m/>
    <m/>
  </r>
  <r>
    <x v="7"/>
    <s v="STI-1052"/>
    <s v="Service to add SSR to pet booking"/>
    <s v="Cerrado"/>
    <d v="2025-12-15T00:00:00"/>
    <d v="2026-01-22T00:00:00"/>
    <n v="64"/>
    <n v="70"/>
    <n v="0"/>
    <n v="9.375E-2"/>
    <n v="0"/>
    <s v="Normal"/>
    <m/>
    <m/>
    <m/>
    <m/>
    <m/>
    <m/>
    <m/>
    <m/>
    <m/>
    <m/>
    <m/>
    <m/>
    <m/>
    <m/>
    <m/>
    <m/>
    <m/>
    <m/>
    <m/>
    <m/>
    <m/>
    <m/>
    <m/>
    <m/>
  </r>
  <r>
    <x v="7"/>
    <s v="STI-1058"/>
    <s v="Daily Meetings - Octubre"/>
    <s v="Finalizado"/>
    <d v="2025-10-31T00:00:00"/>
    <d v="2025-10-31T00:00:00"/>
    <n v="11"/>
    <n v="11"/>
    <n v="0"/>
    <n v="0"/>
    <n v="0"/>
    <s v="Normal"/>
    <m/>
    <m/>
    <m/>
    <m/>
    <m/>
    <m/>
    <m/>
    <m/>
    <m/>
    <m/>
    <m/>
    <m/>
    <m/>
    <m/>
    <m/>
    <m/>
    <m/>
    <m/>
    <m/>
    <m/>
    <m/>
    <m/>
    <m/>
    <m/>
  </r>
  <r>
    <x v="7"/>
    <s v="STI-1119"/>
    <s v="Proceso cancelación reservas apartados"/>
    <s v="OPS"/>
    <d v="2025-12-31T00:00:00"/>
    <d v="2025-11-06T00:00:00"/>
    <n v="68"/>
    <n v="80"/>
    <n v="0"/>
    <n v="0.17647058823529413"/>
    <n v="1"/>
    <s v="Normal"/>
    <m/>
    <m/>
    <m/>
    <m/>
    <m/>
    <m/>
    <m/>
    <m/>
    <m/>
    <m/>
    <m/>
    <m/>
    <m/>
    <m/>
    <m/>
    <m/>
    <m/>
    <m/>
    <m/>
    <m/>
    <m/>
    <m/>
    <m/>
    <m/>
  </r>
  <r>
    <x v="7"/>
    <s v="STI-1172"/>
    <s v="Daily Meetings - Noviembre"/>
    <s v="Finalizado"/>
    <d v="2025-11-30T00:00:00"/>
    <d v="2025-11-30T00:00:00"/>
    <n v="9"/>
    <n v="9"/>
    <n v="0"/>
    <n v="0"/>
    <n v="0"/>
    <s v="Normal"/>
    <m/>
    <m/>
    <m/>
    <m/>
    <m/>
    <m/>
    <m/>
    <m/>
    <m/>
    <m/>
    <m/>
    <m/>
    <m/>
    <m/>
    <m/>
    <m/>
    <m/>
    <m/>
    <m/>
    <m/>
    <m/>
    <m/>
    <m/>
    <m/>
  </r>
  <r>
    <x v="7"/>
    <s v="STI-1203"/>
    <s v="SMD - Error al usar endpoint en prod"/>
    <s v="OPS"/>
    <d v="2025-12-02T00:00:00"/>
    <d v="2025-12-05T00:00:00"/>
    <n v="8"/>
    <n v="10"/>
    <n v="0"/>
    <n v="0.25"/>
    <n v="1"/>
    <s v="Normal"/>
    <m/>
    <m/>
    <m/>
    <m/>
    <m/>
    <m/>
    <m/>
    <m/>
    <m/>
    <m/>
    <m/>
    <m/>
    <m/>
    <m/>
    <m/>
    <m/>
    <m/>
    <m/>
    <m/>
    <m/>
    <m/>
    <m/>
    <m/>
    <m/>
  </r>
  <r>
    <x v="7"/>
    <s v="STI-1225"/>
    <s v="Daily Meetings - Diciembre"/>
    <s v="Finalizado"/>
    <d v="2025-12-31T00:00:00"/>
    <d v="2025-12-31T00:00:00"/>
    <n v="10.5"/>
    <n v="0"/>
    <n v="0"/>
    <n v="-1"/>
    <n v="0"/>
    <s v="Normal"/>
    <m/>
    <m/>
    <m/>
    <m/>
    <m/>
    <m/>
    <m/>
    <m/>
    <m/>
    <m/>
    <m/>
    <m/>
    <m/>
    <m/>
    <m/>
    <m/>
    <m/>
    <m/>
    <m/>
    <m/>
    <m/>
    <m/>
    <m/>
    <m/>
  </r>
  <r>
    <x v="7"/>
    <s v="STI-1275"/>
    <s v="[Child registration] /service/v1/identity/validate"/>
    <s v="Finalizado"/>
    <d v="2025-12-29T00:00:00"/>
    <d v="2026-01-05T00:00:00"/>
    <n v="78"/>
    <n v="100"/>
    <n v="0"/>
    <n v="0.28205128205128205"/>
    <n v="1"/>
    <s v="Normal"/>
    <m/>
    <m/>
    <m/>
    <m/>
    <m/>
    <m/>
    <m/>
    <m/>
    <m/>
    <m/>
    <m/>
    <m/>
    <m/>
    <m/>
    <m/>
    <m/>
    <m/>
    <m/>
    <m/>
    <m/>
    <m/>
    <m/>
    <m/>
    <m/>
  </r>
  <r>
    <x v="7"/>
    <s v="STI-220"/>
    <s v="[Queue manager] SMS - Agregar lógica de envío de notificaciones queue manager a scheduler de pax alert"/>
    <s v="OPS"/>
    <d v="2025-10-28T00:00:00"/>
    <d v="2025-10-27T00:00:00"/>
    <n v="87"/>
    <n v="99"/>
    <n v="0"/>
    <n v="0.13793103448275862"/>
    <n v="5"/>
    <s v="Normal"/>
    <m/>
    <m/>
    <m/>
    <m/>
    <m/>
    <m/>
    <m/>
    <m/>
    <m/>
    <m/>
    <m/>
    <m/>
    <m/>
    <m/>
    <m/>
    <m/>
    <m/>
    <m/>
    <m/>
    <m/>
    <m/>
    <m/>
    <m/>
    <m/>
  </r>
  <r>
    <x v="7"/>
    <s v="STI-237"/>
    <s v="[ReverseCreditCard] Creación de servicio de reversa de pagos"/>
    <s v="Finalizado"/>
    <d v="2025-10-17T00:00:00"/>
    <d v="2025-10-03T00:00:00"/>
    <n v="58"/>
    <n v="75"/>
    <n v="0"/>
    <n v="0.29310344827586204"/>
    <n v="2"/>
    <s v="Normal"/>
    <m/>
    <m/>
    <m/>
    <m/>
    <m/>
    <m/>
    <m/>
    <m/>
    <m/>
    <m/>
    <m/>
    <m/>
    <m/>
    <m/>
    <m/>
    <m/>
    <m/>
    <m/>
    <m/>
    <m/>
    <m/>
    <m/>
    <m/>
    <m/>
  </r>
  <r>
    <x v="7"/>
    <s v="STI-343"/>
    <s v="[Queue manager] Guardar eventos recibidos en webhook"/>
    <s v="Finalizado"/>
    <d v="2025-10-31T00:00:00"/>
    <d v="2025-08-12T00:00:00"/>
    <n v="36"/>
    <n v="18"/>
    <n v="0"/>
    <n v="-0.5"/>
    <n v="1"/>
    <s v="Normal"/>
    <m/>
    <m/>
    <m/>
    <m/>
    <m/>
    <m/>
    <m/>
    <m/>
    <m/>
    <m/>
    <m/>
    <m/>
    <m/>
    <m/>
    <m/>
    <m/>
    <m/>
    <m/>
    <m/>
    <m/>
    <m/>
    <m/>
    <m/>
    <m/>
  </r>
  <r>
    <x v="7"/>
    <s v="STI-559"/>
    <s v="[ExpressTag] Nuevo servicio: POST vb/v1/expresstag/addBag "/>
    <s v="UAT"/>
    <d v="2025-07-24T00:00:00"/>
    <d v="2025-07-11T00:00:00"/>
    <n v="64"/>
    <n v="73"/>
    <n v="0"/>
    <n v="0.140625"/>
    <n v="1"/>
    <s v="Normal"/>
    <m/>
    <m/>
    <m/>
    <m/>
    <m/>
    <m/>
    <m/>
    <m/>
    <m/>
    <m/>
    <m/>
    <m/>
    <m/>
    <m/>
    <m/>
    <m/>
    <m/>
    <m/>
    <m/>
    <m/>
    <m/>
    <m/>
    <m/>
    <m/>
  </r>
  <r>
    <x v="7"/>
    <s v="STI-626"/>
    <s v="Automatización de Store procedures"/>
    <s v="Pausado"/>
    <d v="2026-01-30T00:00:00"/>
    <m/>
    <n v="50"/>
    <n v="0"/>
    <n v="0"/>
    <n v="-1"/>
    <n v="0"/>
    <s v="Normal"/>
    <m/>
    <m/>
    <m/>
    <m/>
    <m/>
    <m/>
    <m/>
    <m/>
    <m/>
    <m/>
    <m/>
    <m/>
    <m/>
    <m/>
    <m/>
    <m/>
    <m/>
    <m/>
    <m/>
    <m/>
    <m/>
    <m/>
    <m/>
    <m/>
  </r>
  <r>
    <x v="7"/>
    <s v="STI-738"/>
    <s v="[Self-Reacomm] Modificación en contenido de reporte"/>
    <s v="En curso"/>
    <d v="2026-08-14T00:00:00"/>
    <m/>
    <n v="272"/>
    <n v="198"/>
    <n v="40"/>
    <n v="-0.125"/>
    <n v="2"/>
    <s v="Normal"/>
    <m/>
    <n v="8"/>
    <n v="8"/>
    <n v="8"/>
    <n v="8"/>
    <n v="8"/>
    <m/>
    <m/>
    <m/>
    <m/>
    <m/>
    <m/>
    <m/>
    <m/>
    <m/>
    <m/>
    <m/>
    <m/>
    <m/>
    <m/>
    <m/>
    <m/>
    <m/>
    <m/>
  </r>
  <r>
    <x v="7"/>
    <s v="STI-741"/>
    <s v="BRS - vb/service/bagEnquiry"/>
    <s v="OPS"/>
    <d v="2025-12-15T00:00:00"/>
    <d v="2025-12-05T00:00:00"/>
    <n v="157"/>
    <n v="204"/>
    <n v="0"/>
    <n v="0.29936305732484075"/>
    <n v="2"/>
    <s v="Normal"/>
    <m/>
    <m/>
    <m/>
    <m/>
    <m/>
    <m/>
    <m/>
    <m/>
    <m/>
    <m/>
    <m/>
    <m/>
    <m/>
    <m/>
    <m/>
    <m/>
    <m/>
    <m/>
    <m/>
    <m/>
    <m/>
    <m/>
    <m/>
    <m/>
  </r>
  <r>
    <x v="7"/>
    <s v="STI-742"/>
    <s v="Daily Meetings - Agosto"/>
    <s v="Finalizado"/>
    <d v="2025-08-01T00:00:00"/>
    <d v="2025-08-31T00:00:00"/>
    <n v="10"/>
    <n v="0"/>
    <n v="0"/>
    <n v="-1"/>
    <n v="0"/>
    <s v="Normal"/>
    <m/>
    <m/>
    <m/>
    <m/>
    <m/>
    <m/>
    <m/>
    <m/>
    <m/>
    <m/>
    <m/>
    <m/>
    <m/>
    <m/>
    <m/>
    <m/>
    <m/>
    <m/>
    <m/>
    <m/>
    <m/>
    <m/>
    <m/>
    <m/>
  </r>
  <r>
    <x v="7"/>
    <s v="STI-795"/>
    <s v="Oprtimizacion de Webhook IROP"/>
    <s v="OPS"/>
    <d v="2025-10-13T00:00:00"/>
    <d v="2025-09-10T00:00:00"/>
    <n v="60"/>
    <n v="68"/>
    <n v="0"/>
    <n v="0.13333333333333333"/>
    <n v="1"/>
    <s v="Normal"/>
    <m/>
    <m/>
    <m/>
    <m/>
    <m/>
    <m/>
    <m/>
    <m/>
    <m/>
    <m/>
    <m/>
    <m/>
    <m/>
    <m/>
    <m/>
    <m/>
    <m/>
    <m/>
    <m/>
    <m/>
    <m/>
    <m/>
    <m/>
    <m/>
  </r>
  <r>
    <x v="7"/>
    <s v="STI-875"/>
    <s v="Crear Pipeline de Click2PlayUsageBonus y modificar monto de abonos"/>
    <s v="Pausado"/>
    <d v="2025-09-30T00:00:00"/>
    <d v="2025-09-10T00:00:00"/>
    <n v="74"/>
    <n v="39"/>
    <n v="0"/>
    <n v="-0.47297297297297297"/>
    <n v="0"/>
    <s v="Normal"/>
    <m/>
    <m/>
    <m/>
    <m/>
    <m/>
    <m/>
    <m/>
    <m/>
    <m/>
    <m/>
    <m/>
    <m/>
    <m/>
    <m/>
    <m/>
    <m/>
    <m/>
    <m/>
    <m/>
    <m/>
    <m/>
    <m/>
    <m/>
    <m/>
  </r>
  <r>
    <x v="7"/>
    <s v="STI-893"/>
    <s v="Daily Meetings - Septiembre"/>
    <s v="Finalizado"/>
    <d v="2025-09-30T00:00:00"/>
    <d v="2025-09-30T00:00:00"/>
    <n v="11"/>
    <n v="11"/>
    <n v="0"/>
    <n v="0"/>
    <n v="0"/>
    <s v="Normal"/>
    <m/>
    <m/>
    <m/>
    <m/>
    <m/>
    <m/>
    <m/>
    <m/>
    <m/>
    <m/>
    <m/>
    <m/>
    <m/>
    <m/>
    <m/>
    <m/>
    <m/>
    <m/>
    <m/>
    <m/>
    <m/>
    <m/>
    <m/>
    <m/>
  </r>
  <r>
    <x v="7"/>
    <s v="STI-916"/>
    <s v="Creación de pipeline y configuracion de Datadog a servicio de reversas de pagos"/>
    <s v="OPS"/>
    <d v="2025-10-17T00:00:00"/>
    <d v="2025-09-16T00:00:00"/>
    <n v="21"/>
    <n v="24"/>
    <n v="0"/>
    <n v="0.14285714285714285"/>
    <n v="1"/>
    <s v="Normal"/>
    <m/>
    <m/>
    <m/>
    <m/>
    <m/>
    <m/>
    <m/>
    <m/>
    <m/>
    <m/>
    <m/>
    <m/>
    <m/>
    <m/>
    <m/>
    <m/>
    <m/>
    <m/>
    <m/>
    <m/>
    <m/>
    <m/>
    <m/>
    <m/>
  </r>
  <r>
    <x v="7"/>
    <s v="STI-977"/>
    <s v="POST v1/booking/addPetLiability"/>
    <s v="Cerrado"/>
    <d v="2025-10-06T00:00:00"/>
    <d v="2025-09-22T00:00:00"/>
    <n v="25"/>
    <n v="32"/>
    <n v="0"/>
    <n v="0.28000000000000003"/>
    <n v="1"/>
    <s v="Normal"/>
    <m/>
    <m/>
    <m/>
    <m/>
    <m/>
    <m/>
    <m/>
    <m/>
    <m/>
    <m/>
    <m/>
    <m/>
    <m/>
    <m/>
    <m/>
    <m/>
    <m/>
    <m/>
    <m/>
    <m/>
    <m/>
    <m/>
    <m/>
    <m/>
  </r>
  <r>
    <x v="7"/>
    <s v="STI-1300"/>
    <s v="[PaxAlert] Generar Swagger de proyecto"/>
    <s v="Ready for prod"/>
    <d v="2026-01-07T00:00:00"/>
    <d v="2026-01-06T00:00:00"/>
    <n v="8"/>
    <n v="8"/>
    <n v="0"/>
    <n v="0"/>
    <n v="1"/>
    <s v="Normal"/>
    <m/>
    <m/>
    <m/>
    <m/>
    <m/>
    <m/>
    <m/>
    <m/>
    <m/>
    <m/>
    <m/>
    <m/>
    <m/>
    <m/>
    <m/>
    <m/>
    <m/>
    <m/>
    <m/>
    <m/>
    <m/>
    <m/>
    <m/>
    <m/>
  </r>
  <r>
    <x v="7"/>
    <s v="STI-1301"/>
    <s v="[PaxAlert] Búsquedas en history"/>
    <s v="En revisión"/>
    <d v="2026-01-06T00:00:00"/>
    <d v="2026-01-07T00:00:00"/>
    <n v="16"/>
    <n v="16"/>
    <n v="0"/>
    <n v="0"/>
    <n v="1"/>
    <s v="Normal"/>
    <m/>
    <m/>
    <m/>
    <m/>
    <m/>
    <m/>
    <m/>
    <m/>
    <m/>
    <m/>
    <m/>
    <m/>
    <m/>
    <m/>
    <m/>
    <m/>
    <m/>
    <m/>
    <m/>
    <m/>
    <m/>
    <m/>
    <m/>
    <m/>
  </r>
  <r>
    <x v="7"/>
    <s v="STI-1268"/>
    <s v="Daily Meetings - Enero 2026"/>
    <s v="Cerrado"/>
    <d v="2026-01-30T00:00:00"/>
    <d v="2026-01-30T00:00:00"/>
    <n v="10"/>
    <n v="10"/>
    <n v="0"/>
    <n v="0"/>
    <n v="0"/>
    <s v="Normal"/>
    <m/>
    <m/>
    <m/>
    <m/>
    <m/>
    <m/>
    <m/>
    <m/>
    <m/>
    <m/>
    <m/>
    <m/>
    <m/>
    <m/>
    <m/>
    <m/>
    <m/>
    <m/>
    <m/>
    <m/>
    <m/>
    <m/>
    <m/>
    <m/>
  </r>
  <r>
    <x v="7"/>
    <s v="STI-149"/>
    <s v="[Registro menores] Validación de un vuelo"/>
    <s v="Finalizado"/>
    <d v="2025-04-02T00:00:00"/>
    <m/>
    <n v="104"/>
    <n v="112"/>
    <n v="0"/>
    <n v="7.6923076923076927E-2"/>
    <n v="0"/>
    <s v="Normal"/>
    <m/>
    <m/>
    <m/>
    <m/>
    <m/>
    <m/>
    <m/>
    <m/>
    <m/>
    <m/>
    <m/>
    <m/>
    <m/>
    <m/>
    <m/>
    <m/>
    <m/>
    <m/>
    <m/>
    <m/>
    <m/>
    <m/>
    <m/>
    <m/>
  </r>
  <r>
    <x v="7"/>
    <s v="STI-1324"/>
    <s v="[Registro Menores] Obtener información de CURP"/>
    <s v="Finalizada"/>
    <d v="2026-01-22T00:00:00"/>
    <d v="2026-01-22T00:00:00"/>
    <n v="52"/>
    <n v="72"/>
    <n v="0"/>
    <n v="0.38461538461538464"/>
    <n v="0"/>
    <s v="Desviado"/>
    <m/>
    <m/>
    <m/>
    <m/>
    <m/>
    <m/>
    <m/>
    <m/>
    <m/>
    <m/>
    <m/>
    <m/>
    <m/>
    <m/>
    <m/>
    <m/>
    <m/>
    <m/>
    <m/>
    <m/>
    <m/>
    <m/>
    <m/>
    <m/>
  </r>
  <r>
    <x v="7"/>
    <s v="STI-1367"/>
    <s v="[SMS] Type 0"/>
    <s v="En revisión"/>
    <d v="2026-01-23T00:00:00"/>
    <d v="2026-01-23T00:00:00"/>
    <n v="10"/>
    <n v="8"/>
    <n v="0"/>
    <n v="-0.2"/>
    <n v="1"/>
    <s v="Normal"/>
    <m/>
    <m/>
    <m/>
    <m/>
    <m/>
    <m/>
    <m/>
    <m/>
    <m/>
    <m/>
    <m/>
    <m/>
    <m/>
    <m/>
    <m/>
    <m/>
    <m/>
    <m/>
    <m/>
    <m/>
    <m/>
    <m/>
    <m/>
    <m/>
  </r>
  <r>
    <x v="7"/>
    <s v="STI-1359"/>
    <s v="[Child registration]  /service/v1/identity/validate"/>
    <s v="Finalizado"/>
    <d v="2026-02-27T00:00:00"/>
    <d v="2026-02-06T00:00:00"/>
    <n v="24"/>
    <n v="24"/>
    <n v="0"/>
    <n v="0"/>
    <n v="0"/>
    <s v="Normal"/>
    <m/>
    <m/>
    <m/>
    <m/>
    <m/>
    <m/>
    <m/>
    <m/>
    <m/>
    <m/>
    <m/>
    <m/>
    <m/>
    <m/>
    <m/>
    <m/>
    <m/>
    <m/>
    <m/>
    <m/>
    <m/>
    <m/>
    <m/>
    <m/>
  </r>
  <r>
    <x v="7"/>
    <s v="STI-1391"/>
    <s v="Error de despliegue en lambdas de tipo Event Scheduler"/>
    <s v="OPS"/>
    <d v="2026-02-02T00:00:00"/>
    <d v="2026-01-30T00:00:00"/>
    <n v="20"/>
    <n v="20"/>
    <n v="0"/>
    <n v="0"/>
    <n v="0"/>
    <s v="Normal"/>
    <m/>
    <m/>
    <m/>
    <m/>
    <m/>
    <m/>
    <m/>
    <m/>
    <m/>
    <m/>
    <m/>
    <m/>
    <m/>
    <m/>
    <m/>
    <m/>
    <m/>
    <m/>
    <m/>
    <m/>
    <m/>
    <m/>
    <m/>
    <m/>
  </r>
  <r>
    <x v="7"/>
    <s v="STI-1392"/>
    <s v="Daily Meetings - Febrero 2026"/>
    <s v="Finalizado"/>
    <d v="2026-02-27T00:00:00"/>
    <d v="2026-02-27T00:00:00"/>
    <n v="10"/>
    <n v="10"/>
    <n v="0"/>
    <n v="0"/>
    <n v="0"/>
    <s v="Normal"/>
    <m/>
    <m/>
    <m/>
    <m/>
    <m/>
    <m/>
    <m/>
    <m/>
    <m/>
    <m/>
    <m/>
    <m/>
    <m/>
    <m/>
    <m/>
    <m/>
    <m/>
    <m/>
    <m/>
    <m/>
    <m/>
    <m/>
    <m/>
    <m/>
  </r>
  <r>
    <x v="7"/>
    <s v="STI-1350"/>
    <s v="[Registro Menores] Viva tienda - validateDocument"/>
    <s v="Finalizado"/>
    <d v="2026-03-20T00:00:00"/>
    <d v="2026-03-02T00:00:00"/>
    <n v="50"/>
    <n v="64"/>
    <n v="0"/>
    <n v="0.28000000000000003"/>
    <n v="1"/>
    <s v="Normal"/>
    <m/>
    <m/>
    <m/>
    <m/>
    <m/>
    <m/>
    <m/>
    <m/>
    <m/>
    <m/>
    <m/>
    <m/>
    <m/>
    <m/>
    <m/>
    <m/>
    <m/>
    <m/>
    <m/>
    <m/>
    <m/>
    <m/>
    <m/>
    <m/>
  </r>
  <r>
    <x v="7"/>
    <s v="STI-1458"/>
    <s v="Daily Meetings - Marzo 2026"/>
    <s v="Finalizado"/>
    <d v="2026-03-31T00:00:00"/>
    <d v="2026-03-31T00:00:00"/>
    <n v="10.5"/>
    <n v="0"/>
    <n v="0"/>
    <n v="-1"/>
    <n v="0"/>
    <s v="Normal"/>
    <m/>
    <m/>
    <m/>
    <m/>
    <m/>
    <m/>
    <m/>
    <m/>
    <m/>
    <m/>
    <m/>
    <m/>
    <m/>
    <m/>
    <m/>
    <m/>
    <m/>
    <m/>
    <m/>
    <m/>
    <m/>
    <m/>
    <m/>
    <m/>
  </r>
  <r>
    <x v="7"/>
    <s v="STI-1484"/>
    <s v="Optimización y creación de pipeline de FlighStatusAPI  "/>
    <s v="Pausado"/>
    <m/>
    <m/>
    <n v="48"/>
    <n v="56"/>
    <n v="0"/>
    <n v="0.16666666666666666"/>
    <n v="0"/>
    <s v="Normal"/>
    <m/>
    <m/>
    <m/>
    <m/>
    <m/>
    <m/>
    <m/>
    <m/>
    <m/>
    <m/>
    <m/>
    <m/>
    <m/>
    <m/>
    <m/>
    <m/>
    <m/>
    <m/>
    <m/>
    <m/>
    <m/>
    <m/>
    <m/>
    <m/>
  </r>
  <r>
    <x v="7"/>
    <s v="STI-476"/>
    <s v="[Limpieza de queues] Lógica General"/>
    <s v="Cerrado"/>
    <d v="2026-04-08T00:00:00"/>
    <d v="2026-04-09T00:00:00"/>
    <n v="135"/>
    <n v="172"/>
    <n v="0"/>
    <n v="0.27407407407407408"/>
    <n v="0"/>
    <s v="Normal"/>
    <m/>
    <m/>
    <m/>
    <m/>
    <m/>
    <m/>
    <m/>
    <m/>
    <m/>
    <m/>
    <m/>
    <m/>
    <m/>
    <m/>
    <m/>
    <m/>
    <m/>
    <m/>
    <m/>
    <m/>
    <m/>
    <m/>
    <m/>
    <m/>
  </r>
  <r>
    <x v="7"/>
    <s v="STI-1519"/>
    <s v="Daily Meetings - Abril 2026"/>
    <s v="Finalizado"/>
    <d v="2026-04-30T00:00:00"/>
    <d v="2026-04-30T00:00:00"/>
    <n v="10"/>
    <n v="10"/>
    <n v="0"/>
    <n v="0"/>
    <n v="0"/>
    <s v="Normal"/>
    <m/>
    <m/>
    <m/>
    <m/>
    <m/>
    <m/>
    <m/>
    <m/>
    <m/>
    <m/>
    <m/>
    <m/>
    <m/>
    <m/>
    <m/>
    <m/>
    <m/>
    <m/>
    <m/>
    <m/>
    <m/>
    <m/>
    <m/>
    <m/>
  </r>
  <r>
    <x v="7"/>
    <s v="STI-1534"/>
    <s v="BRS - Devolver maleta mas reciente sin comparaciones "/>
    <s v="En revisión"/>
    <d v="2026-04-14T00:00:00"/>
    <d v="2026-04-14T00:00:00"/>
    <n v="40"/>
    <n v="28"/>
    <n v="0"/>
    <n v="-0.3"/>
    <n v="0"/>
    <s v="Normal"/>
    <m/>
    <m/>
    <m/>
    <m/>
    <m/>
    <m/>
    <m/>
    <m/>
    <m/>
    <m/>
    <m/>
    <m/>
    <m/>
    <m/>
    <m/>
    <m/>
    <m/>
    <m/>
    <m/>
    <m/>
    <m/>
    <m/>
    <m/>
    <m/>
  </r>
  <r>
    <x v="7"/>
    <s v="STI-1559"/>
    <s v="Nuevo servicio bagJourney"/>
    <s v="En revisión"/>
    <d v="2026-05-15T00:00:00"/>
    <d v="2026-05-08T00:00:00"/>
    <n v="88"/>
    <n v="100"/>
    <n v="0"/>
    <n v="0.13636363636363635"/>
    <n v="0"/>
    <s v="Normal"/>
    <m/>
    <m/>
    <m/>
    <m/>
    <m/>
    <m/>
    <m/>
    <m/>
    <m/>
    <m/>
    <m/>
    <m/>
    <m/>
    <m/>
    <m/>
    <m/>
    <m/>
    <m/>
    <m/>
    <m/>
    <m/>
    <m/>
    <m/>
    <m/>
  </r>
  <r>
    <x v="7"/>
    <s v="STI-1572"/>
    <s v="Daily Meetings - Mayo 2026"/>
    <s v="Finalizado"/>
    <d v="2026-05-29T00:00:00"/>
    <d v="2026-05-29T00:00:00"/>
    <n v="9.5"/>
    <n v="9.5"/>
    <n v="0"/>
    <n v="0"/>
    <n v="0"/>
    <s v="Normal"/>
    <m/>
    <m/>
    <m/>
    <m/>
    <m/>
    <m/>
    <m/>
    <m/>
    <m/>
    <m/>
    <m/>
    <m/>
    <m/>
    <m/>
    <m/>
    <m/>
    <m/>
    <m/>
    <m/>
    <m/>
    <m/>
    <m/>
    <m/>
    <m/>
  </r>
  <r>
    <x v="7"/>
    <s v="STI-1575"/>
    <s v="[Limpieza de queues] Lógica General - ODS"/>
    <s v="En revisión"/>
    <d v="2026-08-11T00:00:00"/>
    <m/>
    <n v="167"/>
    <n v="104"/>
    <n v="0"/>
    <n v="-0.3772455089820359"/>
    <n v="0"/>
    <s v="Normal"/>
    <m/>
    <m/>
    <m/>
    <m/>
    <m/>
    <m/>
    <m/>
    <m/>
    <m/>
    <m/>
    <m/>
    <m/>
    <m/>
    <m/>
    <m/>
    <m/>
    <m/>
    <m/>
    <m/>
    <m/>
    <m/>
    <m/>
    <m/>
    <m/>
  </r>
  <r>
    <x v="7"/>
    <s v="STI-1588"/>
    <s v="[Actualización de asientos] "/>
    <s v="En revisión"/>
    <d v="2026-06-02T00:00:00"/>
    <d v="2026-05-23T00:00:00"/>
    <n v="128"/>
    <n v="128"/>
    <n v="0"/>
    <n v="0"/>
    <n v="0"/>
    <s v="Normal"/>
    <m/>
    <m/>
    <m/>
    <m/>
    <m/>
    <m/>
    <m/>
    <m/>
    <m/>
    <m/>
    <m/>
    <m/>
    <m/>
    <m/>
    <m/>
    <m/>
    <m/>
    <m/>
    <m/>
    <m/>
    <m/>
    <m/>
    <m/>
    <m/>
  </r>
  <r>
    <x v="7"/>
    <s v="STI-1604"/>
    <s v="Daily Meetings - Junio 2026"/>
    <s v="Cerrado"/>
    <d v="2026-06-30T00:00:00"/>
    <d v="2026-06-30T00:00:00"/>
    <n v="28.5"/>
    <n v="9.5"/>
    <n v="0"/>
    <n v="-0.66666666666666663"/>
    <n v="0"/>
    <s v="Normal"/>
    <m/>
    <m/>
    <m/>
    <m/>
    <m/>
    <m/>
    <m/>
    <m/>
    <m/>
    <m/>
    <m/>
    <m/>
    <m/>
    <m/>
    <m/>
    <m/>
    <m/>
    <m/>
    <m/>
    <m/>
    <m/>
    <m/>
    <m/>
    <m/>
  </r>
  <r>
    <x v="7"/>
    <s v="STI-1614"/>
    <s v="[IROP] Reverse - Cambio de Fees usados para reembolsos"/>
    <s v="Tareas por hacer"/>
    <m/>
    <m/>
    <m/>
    <n v="8"/>
    <n v="0"/>
    <s v=""/>
    <n v="0"/>
    <s v="Sin estimación"/>
    <m/>
    <m/>
    <m/>
    <m/>
    <m/>
    <m/>
    <m/>
    <m/>
    <m/>
    <m/>
    <m/>
    <m/>
    <m/>
    <m/>
    <m/>
    <m/>
    <m/>
    <m/>
    <m/>
    <m/>
    <m/>
    <m/>
    <m/>
    <m/>
  </r>
  <r>
    <x v="7"/>
    <s v="STI-1628"/>
    <s v="Daily Meetings - Julio 2026"/>
    <s v="Finalizado"/>
    <d v="2026-07-31T00:00:00"/>
    <d v="2026-07-31T00:00:00"/>
    <n v="10.5"/>
    <n v="10.5"/>
    <n v="0"/>
    <n v="0"/>
    <n v="0"/>
    <s v="Normal"/>
    <m/>
    <m/>
    <m/>
    <m/>
    <m/>
    <m/>
    <m/>
    <m/>
    <m/>
    <m/>
    <m/>
    <m/>
    <m/>
    <m/>
    <m/>
    <m/>
    <m/>
    <m/>
    <m/>
    <m/>
    <m/>
    <m/>
    <m/>
    <m/>
  </r>
  <r>
    <x v="7"/>
    <s v="STI-1642"/>
    <s v="[Self-Reacomm] Modificación en contenido de reporte - Internacionales"/>
    <s v="En curso"/>
    <d v="2026-07-29T00:00:00"/>
    <m/>
    <n v="40"/>
    <n v="40"/>
    <n v="0"/>
    <n v="0"/>
    <n v="0"/>
    <s v="Normal"/>
    <m/>
    <m/>
    <m/>
    <m/>
    <m/>
    <m/>
    <m/>
    <m/>
    <m/>
    <m/>
    <m/>
    <m/>
    <m/>
    <m/>
    <m/>
    <m/>
    <m/>
    <m/>
    <m/>
    <m/>
    <m/>
    <m/>
    <m/>
    <m/>
  </r>
  <r>
    <x v="7"/>
    <s v="STI-1649"/>
    <s v="Daily Meetings - Agosto 2026"/>
    <s v="Finalizado"/>
    <d v="2026-08-31T00:00:00"/>
    <m/>
    <n v="10.5"/>
    <n v="0"/>
    <n v="10"/>
    <n v="-4.7619047619047616E-2"/>
    <m/>
    <s v="Normal"/>
    <m/>
    <n v="0.5"/>
    <n v="0.5"/>
    <n v="0.5"/>
    <n v="0.5"/>
    <n v="0.5"/>
    <n v="0.5"/>
    <n v="0.5"/>
    <n v="0.5"/>
    <n v="0.5"/>
    <n v="0.5"/>
    <m/>
    <n v="0.5"/>
    <n v="0.5"/>
    <n v="0.5"/>
    <n v="0.5"/>
    <n v="0.5"/>
    <n v="0.5"/>
    <n v="0.5"/>
    <n v="0.5"/>
    <n v="0.5"/>
    <m/>
    <m/>
    <n v="0.5"/>
  </r>
  <r>
    <x v="7"/>
    <s v="STI-1639"/>
    <s v="[Child registration] Modificación  /service/v1/identity/validate"/>
    <s v="Tareas por hacer"/>
    <m/>
    <m/>
    <n v="24"/>
    <n v="0"/>
    <n v="24"/>
    <n v="0"/>
    <m/>
    <s v="Normal"/>
    <m/>
    <m/>
    <m/>
    <m/>
    <m/>
    <m/>
    <n v="8"/>
    <n v="8"/>
    <n v="8"/>
    <m/>
    <m/>
    <m/>
    <m/>
    <m/>
    <m/>
    <m/>
    <m/>
    <m/>
    <m/>
    <m/>
    <m/>
    <m/>
    <m/>
    <m/>
  </r>
  <r>
    <x v="7"/>
    <s v="STI-1659"/>
    <s v="[Registro Menores] identity/validateDocument - seguridad"/>
    <s v="Tareas por hacer"/>
    <m/>
    <m/>
    <n v="48"/>
    <n v="0"/>
    <n v="56"/>
    <n v="0.16666666666666666"/>
    <m/>
    <s v="Normal"/>
    <m/>
    <m/>
    <m/>
    <m/>
    <m/>
    <m/>
    <m/>
    <m/>
    <m/>
    <n v="8"/>
    <n v="8"/>
    <m/>
    <m/>
    <m/>
    <m/>
    <m/>
    <n v="8"/>
    <n v="8"/>
    <n v="8"/>
    <n v="8"/>
    <n v="8"/>
    <m/>
    <m/>
    <m/>
  </r>
  <r>
    <x v="7"/>
    <s v="STI-1644"/>
    <s v="[Registro menores] Modificación validación de un vuelo - RegisterMinor"/>
    <s v="Tareas por hacer"/>
    <m/>
    <m/>
    <n v="40"/>
    <n v="0"/>
    <n v="32"/>
    <n v="-0.2"/>
    <m/>
    <s v="Normal"/>
    <m/>
    <m/>
    <m/>
    <m/>
    <m/>
    <m/>
    <m/>
    <m/>
    <m/>
    <m/>
    <m/>
    <m/>
    <n v="8"/>
    <n v="8"/>
    <n v="8"/>
    <n v="8"/>
    <m/>
    <m/>
    <m/>
    <m/>
    <m/>
    <m/>
    <m/>
    <m/>
  </r>
  <r>
    <x v="8"/>
    <s v="STI-1031"/>
    <s v="Crear flujo para Booking de Total Refund en AccrualAPI"/>
    <s v="Finalizado"/>
    <d v="2025-10-08T00:00:00"/>
    <d v="2025-10-03T00:00:00"/>
    <n v="50"/>
    <n v="35"/>
    <n v="0"/>
    <n v="-0.3"/>
    <n v="1"/>
    <s v="Normal"/>
    <m/>
    <m/>
    <m/>
    <m/>
    <m/>
    <m/>
    <m/>
    <m/>
    <m/>
    <m/>
    <m/>
    <m/>
    <m/>
    <m/>
    <m/>
    <m/>
    <m/>
    <m/>
    <m/>
    <m/>
    <m/>
    <m/>
    <m/>
    <m/>
  </r>
  <r>
    <x v="8"/>
    <s v="STI-1033"/>
    <s v="Validar en /retroacclaim si ya se había acumulado previamente el PNR"/>
    <s v="Finalizado"/>
    <d v="2025-09-29T00:00:00"/>
    <d v="2025-09-29T00:00:00"/>
    <n v="5"/>
    <n v="5"/>
    <n v="0"/>
    <n v="0"/>
    <n v="0"/>
    <s v="Normal"/>
    <m/>
    <m/>
    <m/>
    <m/>
    <m/>
    <m/>
    <m/>
    <m/>
    <m/>
    <m/>
    <m/>
    <m/>
    <m/>
    <m/>
    <m/>
    <m/>
    <m/>
    <m/>
    <m/>
    <m/>
    <m/>
    <m/>
    <m/>
    <m/>
  </r>
  <r>
    <x v="8"/>
    <s v="STI-1058"/>
    <s v="Daily Meetings - Octubre"/>
    <s v="Finalizado"/>
    <d v="2025-10-31T00:00:00"/>
    <d v="2025-10-31T00:00:00"/>
    <n v="11"/>
    <n v="11"/>
    <n v="0"/>
    <n v="0"/>
    <n v="0"/>
    <s v="Normal"/>
    <m/>
    <m/>
    <m/>
    <m/>
    <m/>
    <m/>
    <m/>
    <m/>
    <m/>
    <m/>
    <m/>
    <m/>
    <m/>
    <m/>
    <m/>
    <m/>
    <m/>
    <m/>
    <m/>
    <m/>
    <m/>
    <m/>
    <m/>
    <m/>
  </r>
  <r>
    <x v="8"/>
    <s v="STI-1064"/>
    <s v="Bloquear reservas hechas por Staff en /addAccrual"/>
    <s v="Finalizado"/>
    <d v="2025-10-07T00:00:00"/>
    <d v="2025-10-07T00:00:00"/>
    <n v="6"/>
    <n v="6"/>
    <n v="0"/>
    <n v="0"/>
    <n v="1"/>
    <s v="Normal"/>
    <m/>
    <m/>
    <m/>
    <m/>
    <m/>
    <m/>
    <m/>
    <m/>
    <m/>
    <m/>
    <m/>
    <m/>
    <m/>
    <m/>
    <m/>
    <m/>
    <m/>
    <m/>
    <m/>
    <m/>
    <m/>
    <m/>
    <m/>
    <m/>
  </r>
  <r>
    <x v="8"/>
    <s v="STI-1070"/>
    <s v="Crear endpoint para acumular reservas enviandole solamente el PNR y Apellido de la reserva"/>
    <s v="Finalizado"/>
    <d v="2025-10-10T00:00:00"/>
    <d v="2025-10-10T00:00:00"/>
    <n v="16"/>
    <n v="18"/>
    <n v="0"/>
    <n v="0.125"/>
    <n v="1"/>
    <s v="Normal"/>
    <m/>
    <m/>
    <m/>
    <m/>
    <m/>
    <m/>
    <m/>
    <m/>
    <m/>
    <m/>
    <m/>
    <m/>
    <m/>
    <m/>
    <m/>
    <m/>
    <m/>
    <m/>
    <m/>
    <m/>
    <m/>
    <m/>
    <m/>
    <m/>
  </r>
  <r>
    <x v="8"/>
    <s v="STI-1083"/>
    <s v="Crear endpoint de Doters para OTP"/>
    <s v="Finalizado"/>
    <d v="2025-10-14T00:00:00"/>
    <d v="2025-10-15T00:00:00"/>
    <n v="12"/>
    <n v="15"/>
    <n v="0"/>
    <n v="0.25"/>
    <n v="1"/>
    <s v="Normal"/>
    <m/>
    <m/>
    <m/>
    <m/>
    <m/>
    <m/>
    <m/>
    <m/>
    <m/>
    <m/>
    <m/>
    <m/>
    <m/>
    <m/>
    <m/>
    <m/>
    <m/>
    <m/>
    <m/>
    <m/>
    <m/>
    <m/>
    <m/>
    <m/>
  </r>
  <r>
    <x v="8"/>
    <s v="STI-1084"/>
    <s v="Crear endpoint de Doters para Options del OTP"/>
    <s v="Finalizado"/>
    <d v="2025-10-14T00:00:00"/>
    <d v="2025-10-15T00:00:00"/>
    <n v="20"/>
    <n v="26"/>
    <n v="0"/>
    <n v="0.3"/>
    <n v="1"/>
    <s v="Desviado"/>
    <m/>
    <m/>
    <m/>
    <m/>
    <m/>
    <m/>
    <m/>
    <m/>
    <m/>
    <m/>
    <m/>
    <m/>
    <m/>
    <m/>
    <m/>
    <m/>
    <m/>
    <m/>
    <m/>
    <m/>
    <m/>
    <m/>
    <m/>
    <m/>
  </r>
  <r>
    <x v="8"/>
    <s v="STI-1127"/>
    <s v="Cambiar comportamiento cuando el vuelo ya salió en /addAccrual"/>
    <s v="Ready for prod"/>
    <d v="2026-04-14T00:00:00"/>
    <d v="2026-04-13T00:00:00"/>
    <n v="8"/>
    <n v="8"/>
    <n v="0"/>
    <n v="0"/>
    <n v="0"/>
    <s v="Normal"/>
    <m/>
    <m/>
    <m/>
    <m/>
    <m/>
    <m/>
    <m/>
    <m/>
    <m/>
    <m/>
    <m/>
    <m/>
    <m/>
    <m/>
    <m/>
    <m/>
    <m/>
    <m/>
    <m/>
    <m/>
    <m/>
    <m/>
    <m/>
    <m/>
  </r>
  <r>
    <x v="8"/>
    <s v="STI-1163_x000a__x000a__x000a__x000a_"/>
    <s v="Configuración y Mejoras del Proceso de Consolidación Doters - SafetyPay Notification"/>
    <s v="Bloqueado"/>
    <d v="2024-11-10T00:00:00"/>
    <m/>
    <n v="24"/>
    <n v="22"/>
    <n v="0"/>
    <n v="-8.3333333333333329E-2"/>
    <n v="0"/>
    <s v="Normal"/>
    <m/>
    <m/>
    <m/>
    <m/>
    <m/>
    <m/>
    <m/>
    <m/>
    <m/>
    <m/>
    <m/>
    <m/>
    <m/>
    <m/>
    <m/>
    <m/>
    <m/>
    <m/>
    <m/>
    <m/>
    <m/>
    <m/>
    <m/>
    <m/>
  </r>
  <r>
    <x v="8"/>
    <s v="STI-1172"/>
    <s v="Daily Meetings - Noviembre"/>
    <s v="Finalizado"/>
    <d v="2025-11-30T00:00:00"/>
    <d v="2025-11-30T00:00:00"/>
    <n v="9"/>
    <n v="9"/>
    <n v="0"/>
    <n v="0"/>
    <n v="0"/>
    <s v="Normal"/>
    <m/>
    <m/>
    <m/>
    <m/>
    <m/>
    <m/>
    <m/>
    <m/>
    <m/>
    <m/>
    <m/>
    <m/>
    <m/>
    <m/>
    <m/>
    <m/>
    <m/>
    <m/>
    <m/>
    <m/>
    <m/>
    <m/>
    <m/>
    <m/>
  </r>
  <r>
    <x v="8"/>
    <s v="STI-1185"/>
    <s v="Crear un filtro de currencies que son aceptadas por el AccrualAPI"/>
    <s v="Finalizado"/>
    <d v="2025-11-14T00:00:00"/>
    <d v="2025-11-13T00:00:00"/>
    <n v="16"/>
    <n v="16"/>
    <n v="0"/>
    <n v="0"/>
    <n v="1"/>
    <s v="Normal"/>
    <m/>
    <m/>
    <m/>
    <m/>
    <m/>
    <m/>
    <m/>
    <m/>
    <m/>
    <m/>
    <m/>
    <m/>
    <m/>
    <m/>
    <m/>
    <m/>
    <m/>
    <m/>
    <m/>
    <m/>
    <m/>
    <m/>
    <m/>
    <m/>
  </r>
  <r>
    <x v="8"/>
    <s v="STI-1211"/>
    <s v="Acumulando puntos de métodos de pago que no debería"/>
    <s v="Finalizado"/>
    <d v="2025-11-27T00:00:00"/>
    <d v="2025-11-28T00:00:00"/>
    <n v="16"/>
    <n v="8"/>
    <n v="0"/>
    <n v="-0.5"/>
    <n v="1"/>
    <s v="Normal"/>
    <m/>
    <m/>
    <m/>
    <m/>
    <m/>
    <m/>
    <m/>
    <m/>
    <m/>
    <m/>
    <m/>
    <m/>
    <m/>
    <m/>
    <m/>
    <m/>
    <m/>
    <m/>
    <m/>
    <m/>
    <m/>
    <m/>
    <m/>
    <m/>
  </r>
  <r>
    <x v="8"/>
    <s v="STI-1221_x000a__x000a__x000a__x000a_"/>
    <s v="Evitar enviar a acumular montos negativos"/>
    <s v="Finalizado"/>
    <d v="2025-12-03T00:00:00"/>
    <d v="2025-12-02T00:00:00"/>
    <n v="16"/>
    <n v="20"/>
    <n v="0"/>
    <n v="0.25"/>
    <n v="1"/>
    <s v="Normal"/>
    <m/>
    <m/>
    <m/>
    <m/>
    <m/>
    <m/>
    <m/>
    <m/>
    <m/>
    <m/>
    <m/>
    <m/>
    <m/>
    <m/>
    <m/>
    <m/>
    <m/>
    <m/>
    <m/>
    <m/>
    <m/>
    <m/>
    <m/>
    <m/>
  </r>
  <r>
    <x v="8"/>
    <s v="STI-1222_x000a__x000a__x000a__x000a_"/>
    <s v="Guardar acumulaciones previo a ser procesadas por el /addAccrual en un SQS"/>
    <s v="Finalizado"/>
    <d v="2025-12-12T00:00:00"/>
    <d v="2025-12-11T00:00:00"/>
    <n v="16"/>
    <n v="20"/>
    <n v="0"/>
    <n v="0.25"/>
    <n v="1"/>
    <s v="Normal"/>
    <m/>
    <m/>
    <m/>
    <m/>
    <m/>
    <m/>
    <m/>
    <m/>
    <m/>
    <m/>
    <m/>
    <m/>
    <m/>
    <m/>
    <m/>
    <m/>
    <m/>
    <m/>
    <m/>
    <m/>
    <m/>
    <m/>
    <m/>
    <m/>
  </r>
  <r>
    <x v="8"/>
    <s v="STI-1223_x000a__x000a__x000a__x000a_"/>
    <s v="Registrar cuando exista un error aparezcan en Datadog como Error"/>
    <s v="Finalizado"/>
    <d v="2025-12-05T00:00:00"/>
    <d v="2025-12-09T00:00:00"/>
    <n v="8"/>
    <n v="10"/>
    <n v="0"/>
    <n v="0.25"/>
    <n v="1"/>
    <s v="Normal"/>
    <m/>
    <m/>
    <m/>
    <m/>
    <m/>
    <m/>
    <m/>
    <m/>
    <m/>
    <m/>
    <m/>
    <m/>
    <m/>
    <m/>
    <m/>
    <m/>
    <m/>
    <m/>
    <m/>
    <m/>
    <m/>
    <m/>
    <m/>
    <m/>
  </r>
  <r>
    <x v="8"/>
    <s v="STI-1224_x000a__x000a__x000a__x000a_"/>
    <s v="Revisión de eventos de booking full que no están retornando datos"/>
    <s v="Finalizado"/>
    <d v="2025-12-03T00:00:00"/>
    <d v="2025-12-04T00:00:00"/>
    <n v="16"/>
    <n v="20"/>
    <n v="0"/>
    <n v="0.25"/>
    <n v="1"/>
    <s v="Normal"/>
    <m/>
    <m/>
    <m/>
    <m/>
    <m/>
    <m/>
    <m/>
    <m/>
    <m/>
    <m/>
    <m/>
    <m/>
    <m/>
    <m/>
    <m/>
    <m/>
    <m/>
    <m/>
    <m/>
    <m/>
    <m/>
    <m/>
    <m/>
    <m/>
  </r>
  <r>
    <x v="8"/>
    <s v="STI-1225"/>
    <s v="Daily Meetings - Diciembre"/>
    <s v="Finalizado"/>
    <d v="2025-12-31T00:00:00"/>
    <d v="2025-12-31T00:00:00"/>
    <n v="10.5"/>
    <n v="0"/>
    <n v="0"/>
    <n v="-1"/>
    <n v="0"/>
    <s v="Normal"/>
    <m/>
    <m/>
    <m/>
    <m/>
    <m/>
    <m/>
    <m/>
    <m/>
    <m/>
    <m/>
    <m/>
    <m/>
    <m/>
    <m/>
    <m/>
    <m/>
    <m/>
    <m/>
    <m/>
    <m/>
    <m/>
    <m/>
    <m/>
    <m/>
  </r>
  <r>
    <x v="8"/>
    <s v="STI-1229_x000a__x000a__x000a__x000a_"/>
    <s v="Agregar el filtro de las monedas que se aceptan a /retroacclaim"/>
    <s v="Finalizado"/>
    <d v="2025-12-05T00:00:00"/>
    <d v="2025-12-05T00:00:00"/>
    <n v="3"/>
    <n v="3"/>
    <n v="0"/>
    <n v="0"/>
    <n v="1"/>
    <s v="Normal"/>
    <m/>
    <m/>
    <m/>
    <m/>
    <m/>
    <m/>
    <m/>
    <m/>
    <m/>
    <m/>
    <m/>
    <m/>
    <m/>
    <m/>
    <m/>
    <m/>
    <m/>
    <m/>
    <m/>
    <m/>
    <m/>
    <m/>
    <m/>
    <m/>
  </r>
  <r>
    <x v="8"/>
    <s v="STI-1236_x000a__x000a__x000a__x000a_"/>
    <s v="Crear trigger para cuando una acumulación este completa o cancelada se envié a la tabla de archived"/>
    <s v="Finalizado"/>
    <d v="2025-12-16T00:00:00"/>
    <d v="2025-12-18T00:00:00"/>
    <n v="24"/>
    <n v="31"/>
    <n v="0"/>
    <n v="0.29166666666666669"/>
    <n v="1"/>
    <s v="Normal"/>
    <m/>
    <m/>
    <m/>
    <m/>
    <m/>
    <m/>
    <m/>
    <m/>
    <m/>
    <m/>
    <m/>
    <m/>
    <m/>
    <m/>
    <m/>
    <m/>
    <m/>
    <m/>
    <m/>
    <m/>
    <m/>
    <m/>
    <m/>
    <m/>
  </r>
  <r>
    <x v="8"/>
    <s v="STI-1242"/>
    <s v="Crear webhook que actualice datos de clientes en Navitaire"/>
    <s v="Finalizado"/>
    <d v="2026-03-17T00:00:00"/>
    <d v="2026-03-17T00:00:00"/>
    <n v="40"/>
    <n v="33"/>
    <n v="0"/>
    <n v="-0.17499999999999999"/>
    <n v="0"/>
    <s v="Normal"/>
    <m/>
    <m/>
    <m/>
    <m/>
    <m/>
    <m/>
    <m/>
    <m/>
    <m/>
    <m/>
    <m/>
    <m/>
    <m/>
    <m/>
    <m/>
    <m/>
    <m/>
    <m/>
    <m/>
    <m/>
    <m/>
    <m/>
    <m/>
    <m/>
  </r>
  <r>
    <x v="8"/>
    <s v="STI-1260"/>
    <s v="Crear flujo de faul tolerance al momento de acumular"/>
    <s v="Finalizado"/>
    <d v="2025-12-19T00:00:00"/>
    <d v="2025-12-18T00:00:00"/>
    <n v="8"/>
    <n v="8"/>
    <n v="0"/>
    <n v="0"/>
    <n v="1"/>
    <s v="Normal"/>
    <m/>
    <m/>
    <m/>
    <m/>
    <m/>
    <m/>
    <m/>
    <m/>
    <m/>
    <m/>
    <m/>
    <m/>
    <m/>
    <m/>
    <m/>
    <m/>
    <m/>
    <m/>
    <m/>
    <m/>
    <m/>
    <m/>
    <m/>
    <m/>
  </r>
  <r>
    <x v="8"/>
    <s v="STI-1261"/>
    <s v="Crear lambda de enqueue para encolar acumulaciones de Posgres"/>
    <s v="Finalizado"/>
    <d v="2025-12-26T00:00:00"/>
    <d v="2025-12-26T00:00:00"/>
    <n v="32"/>
    <n v="32"/>
    <n v="0"/>
    <n v="0"/>
    <n v="1"/>
    <s v="Normal"/>
    <m/>
    <m/>
    <m/>
    <m/>
    <m/>
    <m/>
    <m/>
    <m/>
    <m/>
    <m/>
    <m/>
    <m/>
    <m/>
    <m/>
    <m/>
    <m/>
    <m/>
    <m/>
    <m/>
    <m/>
    <m/>
    <m/>
    <m/>
    <m/>
  </r>
  <r>
    <x v="8"/>
    <s v="STI-1262"/>
    <s v="Modificar accrualBatch para procesar registros del SQS"/>
    <s v="Finalizado"/>
    <d v="2026-01-19T00:00:00"/>
    <d v="2026-01-19T00:00:00"/>
    <n v="36"/>
    <n v="32"/>
    <n v="0"/>
    <n v="-0.1111111111111111"/>
    <n v="0"/>
    <s v="Normal"/>
    <m/>
    <m/>
    <m/>
    <m/>
    <m/>
    <m/>
    <m/>
    <m/>
    <m/>
    <m/>
    <m/>
    <m/>
    <m/>
    <m/>
    <m/>
    <m/>
    <m/>
    <m/>
    <m/>
    <m/>
    <m/>
    <m/>
    <m/>
    <m/>
  </r>
  <r>
    <x v="8"/>
    <s v="STI-1263"/>
    <s v="Modificar el endpoint de SQS"/>
    <s v="Finalizado"/>
    <d v="2025-12-22T00:00:00"/>
    <d v="2025-12-22T00:00:00"/>
    <n v="8"/>
    <n v="8"/>
    <n v="0"/>
    <n v="0"/>
    <n v="1"/>
    <s v="Normal"/>
    <m/>
    <m/>
    <m/>
    <m/>
    <m/>
    <m/>
    <m/>
    <m/>
    <m/>
    <m/>
    <m/>
    <m/>
    <m/>
    <m/>
    <m/>
    <m/>
    <m/>
    <m/>
    <m/>
    <m/>
    <m/>
    <m/>
    <m/>
    <m/>
  </r>
  <r>
    <x v="8"/>
    <s v="STI-403"/>
    <s v="Create Accrual Batch to Process Accruals"/>
    <s v="Finalizado"/>
    <d v="2025-09-17T00:00:00"/>
    <d v="2025-09-16T00:00:00"/>
    <n v="80"/>
    <n v="74"/>
    <n v="0"/>
    <n v="-7.4999999999999997E-2"/>
    <n v="1"/>
    <s v="Normal"/>
    <m/>
    <m/>
    <m/>
    <m/>
    <m/>
    <m/>
    <m/>
    <m/>
    <m/>
    <m/>
    <m/>
    <m/>
    <m/>
    <m/>
    <m/>
    <m/>
    <m/>
    <m/>
    <m/>
    <m/>
    <m/>
    <m/>
    <m/>
    <m/>
  </r>
  <r>
    <x v="8"/>
    <s v="STI-404"/>
    <s v="Create Accrual Batch to Get Bookings from Offline Channels"/>
    <s v="Finalizado"/>
    <d v="2025-11-28T00:00:00"/>
    <d v="2025-11-28T00:00:00"/>
    <n v="120"/>
    <n v="138"/>
    <n v="0"/>
    <n v="0.15"/>
    <n v="1"/>
    <s v="Normal"/>
    <m/>
    <m/>
    <m/>
    <m/>
    <m/>
    <m/>
    <m/>
    <m/>
    <m/>
    <m/>
    <m/>
    <m/>
    <m/>
    <m/>
    <m/>
    <m/>
    <m/>
    <m/>
    <m/>
    <m/>
    <m/>
    <m/>
    <m/>
    <m/>
  </r>
  <r>
    <x v="8"/>
    <s v="STI-465"/>
    <s v="Sacar el algoritmo para generar el token y hacer login automático con MyIDTravel"/>
    <s v="Finalizada"/>
    <d v="2026-08-11T00:00:00"/>
    <d v="2026-08-23T00:00:00"/>
    <n v="40"/>
    <n v="23"/>
    <n v="4"/>
    <n v="-0.32500000000000001"/>
    <n v="0"/>
    <s v="Normal"/>
    <m/>
    <m/>
    <m/>
    <m/>
    <n v="4"/>
    <m/>
    <m/>
    <m/>
    <m/>
    <m/>
    <m/>
    <m/>
    <m/>
    <m/>
    <m/>
    <m/>
    <m/>
    <m/>
    <m/>
    <m/>
    <m/>
    <m/>
    <m/>
    <m/>
  </r>
  <r>
    <x v="8"/>
    <s v="STI-499"/>
    <s v="Acumulacions Doters."/>
    <s v="Bloqueado"/>
    <d v="2025-10-10T00:00:00"/>
    <m/>
    <n v="38"/>
    <n v="49"/>
    <n v="0"/>
    <n v="0.28947368421052633"/>
    <n v="1"/>
    <s v="Normal"/>
    <m/>
    <m/>
    <m/>
    <m/>
    <m/>
    <m/>
    <m/>
    <m/>
    <m/>
    <m/>
    <m/>
    <m/>
    <m/>
    <m/>
    <m/>
    <m/>
    <m/>
    <m/>
    <m/>
    <m/>
    <m/>
    <m/>
    <m/>
    <m/>
  </r>
  <r>
    <x v="8"/>
    <s v="STI-553"/>
    <s v="Daily Meetings - Julio"/>
    <s v="Cerrado"/>
    <d v="2025-07-01T00:00:00"/>
    <d v="2025-07-31T00:00:00"/>
    <n v="12"/>
    <n v="0"/>
    <n v="0"/>
    <n v="-1"/>
    <n v="0"/>
    <s v="Normal"/>
    <m/>
    <m/>
    <m/>
    <m/>
    <m/>
    <m/>
    <m/>
    <m/>
    <m/>
    <m/>
    <m/>
    <m/>
    <m/>
    <m/>
    <m/>
    <m/>
    <m/>
    <m/>
    <m/>
    <m/>
    <m/>
    <m/>
    <m/>
    <m/>
  </r>
  <r>
    <x v="8"/>
    <s v="STI-681"/>
    <s v="Eliminar acumulaciones que no exista el memberId en Gravty"/>
    <s v="Finalizado"/>
    <d v="2025-07-30T00:00:00"/>
    <d v="2025-08-04T00:00:00"/>
    <n v="16"/>
    <n v="5"/>
    <n v="0"/>
    <n v="-0.6875"/>
    <n v="1"/>
    <s v="Normal"/>
    <m/>
    <m/>
    <m/>
    <m/>
    <m/>
    <m/>
    <m/>
    <m/>
    <m/>
    <m/>
    <m/>
    <m/>
    <m/>
    <m/>
    <m/>
    <m/>
    <m/>
    <m/>
    <m/>
    <m/>
    <m/>
    <m/>
    <m/>
    <m/>
  </r>
  <r>
    <x v="8"/>
    <s v="STI-729"/>
    <s v="Monitoreo y estabilizacion de ejecucion de proceso de acumulacion en produccion"/>
    <s v="Finalizado"/>
    <d v="2025-07-28T00:00:00"/>
    <d v="2025-08-01T00:00:00"/>
    <n v="24"/>
    <n v="3"/>
    <n v="0"/>
    <n v="-0.875"/>
    <n v="1"/>
    <s v="Normal"/>
    <m/>
    <m/>
    <m/>
    <m/>
    <m/>
    <m/>
    <m/>
    <m/>
    <m/>
    <m/>
    <m/>
    <m/>
    <m/>
    <m/>
    <m/>
    <m/>
    <m/>
    <m/>
    <m/>
    <m/>
    <m/>
    <m/>
    <m/>
    <m/>
  </r>
  <r>
    <x v="8"/>
    <s v="STI-742"/>
    <s v="Daily Meetings - Agosto"/>
    <s v="Finalizado"/>
    <d v="2025-08-01T00:00:00"/>
    <d v="2025-08-31T00:00:00"/>
    <n v="10"/>
    <n v="9"/>
    <n v="0"/>
    <n v="-0.1"/>
    <n v="0"/>
    <s v="Normal"/>
    <m/>
    <m/>
    <m/>
    <m/>
    <m/>
    <m/>
    <m/>
    <m/>
    <m/>
    <m/>
    <m/>
    <m/>
    <m/>
    <m/>
    <m/>
    <m/>
    <m/>
    <m/>
    <m/>
    <m/>
    <m/>
    <m/>
    <m/>
    <m/>
  </r>
  <r>
    <x v="8"/>
    <s v="STI-743"/>
    <s v="Migrate accrual api implementation dynamodb to postgre DB"/>
    <s v="Finalizado"/>
    <d v="2025-08-04T00:00:00"/>
    <d v="2025-08-12T00:00:00"/>
    <n v="40"/>
    <n v="33"/>
    <n v="0"/>
    <n v="-0.17499999999999999"/>
    <n v="1"/>
    <s v="Normal"/>
    <m/>
    <m/>
    <m/>
    <m/>
    <m/>
    <m/>
    <m/>
    <m/>
    <m/>
    <m/>
    <m/>
    <m/>
    <m/>
    <m/>
    <m/>
    <m/>
    <m/>
    <m/>
    <m/>
    <m/>
    <m/>
    <m/>
    <m/>
    <m/>
  </r>
  <r>
    <x v="8"/>
    <s v="STI-773"/>
    <s v="Revisar logica de Ezy API para eventos de notificaciones"/>
    <s v="Finalizado"/>
    <d v="2025-08-06T00:00:00"/>
    <d v="2025-08-11T00:00:00"/>
    <n v="5"/>
    <n v="0"/>
    <n v="0"/>
    <n v="-1"/>
    <n v="1"/>
    <s v="Normal"/>
    <m/>
    <m/>
    <m/>
    <m/>
    <m/>
    <m/>
    <m/>
    <m/>
    <m/>
    <m/>
    <m/>
    <m/>
    <m/>
    <m/>
    <m/>
    <m/>
    <m/>
    <m/>
    <m/>
    <m/>
    <m/>
    <m/>
    <m/>
    <m/>
  </r>
  <r>
    <x v="8"/>
    <s v="STI-775"/>
    <s v="Gestion de merge para creacion de las nuevas ramas de desarrollo"/>
    <s v="Finalizado"/>
    <d v="2025-08-04T00:00:00"/>
    <d v="2025-08-11T00:00:00"/>
    <n v="12"/>
    <n v="0"/>
    <n v="0"/>
    <n v="-1"/>
    <n v="0"/>
    <s v="Normal"/>
    <m/>
    <m/>
    <m/>
    <m/>
    <m/>
    <m/>
    <m/>
    <m/>
    <m/>
    <m/>
    <m/>
    <m/>
    <m/>
    <m/>
    <m/>
    <m/>
    <m/>
    <m/>
    <m/>
    <m/>
    <m/>
    <m/>
    <m/>
    <m/>
  </r>
  <r>
    <x v="8"/>
    <s v="STI-776"/>
    <s v="Create /retroacclaim endpoint"/>
    <s v="Finalizado"/>
    <d v="2025-08-13T00:00:00"/>
    <d v="2025-08-26T00:00:00"/>
    <n v="24"/>
    <n v="23"/>
    <n v="0"/>
    <n v="-4.1666666666666664E-2"/>
    <n v="1"/>
    <s v="Normal"/>
    <m/>
    <m/>
    <m/>
    <m/>
    <m/>
    <m/>
    <m/>
    <m/>
    <m/>
    <m/>
    <m/>
    <m/>
    <m/>
    <m/>
    <m/>
    <m/>
    <m/>
    <m/>
    <m/>
    <m/>
    <m/>
    <m/>
    <m/>
    <m/>
  </r>
  <r>
    <x v="8"/>
    <s v="STI-777"/>
    <s v="Create /applyretroacclaim endpoint"/>
    <s v="Finalizado"/>
    <d v="2025-08-13T00:00:00"/>
    <d v="2025-08-26T00:00:00"/>
    <n v="24"/>
    <n v="23"/>
    <n v="0"/>
    <n v="-4.1666666666666664E-2"/>
    <n v="1"/>
    <s v="Normal"/>
    <m/>
    <m/>
    <m/>
    <m/>
    <m/>
    <m/>
    <m/>
    <m/>
    <m/>
    <m/>
    <m/>
    <m/>
    <m/>
    <m/>
    <m/>
    <m/>
    <m/>
    <m/>
    <m/>
    <m/>
    <m/>
    <m/>
    <m/>
    <m/>
  </r>
  <r>
    <x v="8"/>
    <s v="STI-786"/>
    <s v="Actualizar estatus de la acumulación de AccrualPerPax a AccrualAPI"/>
    <s v="Finalizado"/>
    <d v="2025-09-23T00:00:00"/>
    <d v="2025-09-24T00:00:00"/>
    <n v="24"/>
    <n v="28"/>
    <n v="0"/>
    <n v="0.16666666666666666"/>
    <n v="1"/>
    <s v="Normal"/>
    <m/>
    <m/>
    <m/>
    <m/>
    <m/>
    <m/>
    <m/>
    <m/>
    <m/>
    <m/>
    <m/>
    <m/>
    <m/>
    <m/>
    <m/>
    <m/>
    <m/>
    <m/>
    <m/>
    <m/>
    <m/>
    <m/>
    <m/>
    <m/>
  </r>
  <r>
    <x v="8"/>
    <s v="STI-826"/>
    <s v="Cambiar validaciones de negocio a que sea informativas"/>
    <s v="Finalizado"/>
    <d v="2025-08-20T00:00:00"/>
    <d v="2025-08-22T00:00:00"/>
    <n v="5"/>
    <n v="5"/>
    <n v="0"/>
    <n v="0"/>
    <n v="1"/>
    <s v="Normal"/>
    <m/>
    <m/>
    <m/>
    <m/>
    <m/>
    <m/>
    <m/>
    <m/>
    <m/>
    <m/>
    <m/>
    <m/>
    <m/>
    <m/>
    <m/>
    <m/>
    <m/>
    <m/>
    <m/>
    <m/>
    <m/>
    <m/>
    <m/>
    <m/>
  </r>
  <r>
    <x v="8"/>
    <s v="STI-849"/>
    <s v="Validaciones en la API de Accrual per Passenger"/>
    <s v="Finalizado"/>
    <d v="2025-08-22T00:00:00"/>
    <d v="2025-08-26T00:00:00"/>
    <n v="16"/>
    <n v="6"/>
    <n v="0"/>
    <n v="-0.625"/>
    <n v="1"/>
    <s v="Normal"/>
    <m/>
    <m/>
    <m/>
    <m/>
    <m/>
    <m/>
    <m/>
    <m/>
    <m/>
    <m/>
    <m/>
    <m/>
    <m/>
    <m/>
    <m/>
    <m/>
    <m/>
    <m/>
    <m/>
    <m/>
    <m/>
    <m/>
    <m/>
    <m/>
  </r>
  <r>
    <x v="8"/>
    <s v="STI-851"/>
    <s v="Mejorar la trazabilidad de la api que recibe los PNR"/>
    <s v="Finalizado"/>
    <d v="2025-08-25T00:00:00"/>
    <d v="2025-08-28T00:00:00"/>
    <n v="24"/>
    <n v="14"/>
    <n v="0"/>
    <n v="-0.41666666666666669"/>
    <n v="1"/>
    <s v="Normal"/>
    <m/>
    <m/>
    <m/>
    <m/>
    <m/>
    <m/>
    <m/>
    <m/>
    <m/>
    <m/>
    <m/>
    <m/>
    <m/>
    <m/>
    <m/>
    <m/>
    <m/>
    <m/>
    <m/>
    <m/>
    <m/>
    <m/>
    <m/>
    <m/>
  </r>
  <r>
    <x v="8"/>
    <s v="STI-852"/>
    <s v="No regresar o permitir reservas de Staff Travel en /retroacclaim y /applyretroacclaim"/>
    <s v="Finalizado"/>
    <d v="2025-09-23T00:00:00"/>
    <d v="2025-09-24T00:00:00"/>
    <n v="12"/>
    <n v="13"/>
    <n v="0"/>
    <n v="8.3333333333333329E-2"/>
    <n v="1"/>
    <s v="Normal"/>
    <m/>
    <m/>
    <m/>
    <m/>
    <m/>
    <m/>
    <m/>
    <m/>
    <m/>
    <m/>
    <m/>
    <m/>
    <m/>
    <m/>
    <m/>
    <m/>
    <m/>
    <m/>
    <m/>
    <m/>
    <m/>
    <m/>
    <m/>
    <m/>
  </r>
  <r>
    <x v="8"/>
    <s v="STI-864"/>
    <s v="Buscar en la reserva"/>
    <s v="Finalizado"/>
    <d v="2025-10-07T00:00:00"/>
    <d v="2025-10-06T00:00:00"/>
    <n v="12"/>
    <n v="12"/>
    <n v="0"/>
    <n v="0"/>
    <n v="1"/>
    <s v="Normal"/>
    <m/>
    <m/>
    <m/>
    <m/>
    <m/>
    <m/>
    <m/>
    <m/>
    <m/>
    <m/>
    <m/>
    <m/>
    <m/>
    <m/>
    <m/>
    <m/>
    <m/>
    <m/>
    <m/>
    <m/>
    <m/>
    <m/>
    <m/>
    <m/>
  </r>
  <r>
    <x v="8"/>
    <s v="STI-870"/>
    <s v="Get the Main Passenger by a Flag for the Accrual"/>
    <s v="Finalizado"/>
    <d v="2025-08-27T00:00:00"/>
    <d v="2025-08-29T00:00:00"/>
    <n v="24"/>
    <n v="17"/>
    <n v="0"/>
    <n v="-0.29166666666666669"/>
    <n v="1"/>
    <s v="Normal"/>
    <m/>
    <m/>
    <m/>
    <m/>
    <m/>
    <m/>
    <m/>
    <m/>
    <m/>
    <m/>
    <m/>
    <m/>
    <m/>
    <m/>
    <m/>
    <m/>
    <m/>
    <m/>
    <m/>
    <m/>
    <m/>
    <m/>
    <m/>
    <m/>
  </r>
  <r>
    <x v="8"/>
    <s v="STI-883"/>
    <s v="Validar solicitudes de creacion de acumulacion para usuarios anonimos"/>
    <s v="Finalizado"/>
    <d v="2025-08-28T00:00:00"/>
    <d v="2025-09-01T00:00:00"/>
    <n v="5"/>
    <n v="3"/>
    <n v="0"/>
    <n v="-0.4"/>
    <n v="1"/>
    <s v="Normal"/>
    <m/>
    <m/>
    <m/>
    <m/>
    <m/>
    <m/>
    <m/>
    <m/>
    <m/>
    <m/>
    <m/>
    <m/>
    <m/>
    <m/>
    <m/>
    <m/>
    <m/>
    <m/>
    <m/>
    <m/>
    <m/>
    <m/>
    <m/>
    <m/>
  </r>
  <r>
    <x v="8"/>
    <s v="STI-887"/>
    <s v="Enviar metodo de pago directamente sin mapeo de campos en acrual per pax."/>
    <s v="Finalizado"/>
    <d v="2025-08-29T00:00:00"/>
    <d v="2025-08-29T00:00:00"/>
    <n v="5"/>
    <n v="4"/>
    <n v="0"/>
    <n v="-0.2"/>
    <n v="1"/>
    <s v="Normal"/>
    <m/>
    <m/>
    <m/>
    <m/>
    <m/>
    <m/>
    <m/>
    <m/>
    <m/>
    <m/>
    <m/>
    <m/>
    <m/>
    <m/>
    <m/>
    <m/>
    <m/>
    <m/>
    <m/>
    <m/>
    <m/>
    <m/>
    <m/>
    <m/>
  </r>
  <r>
    <x v="8"/>
    <s v="STI-893"/>
    <s v="Daily Meetings - Septiembre"/>
    <s v="Finalizado"/>
    <d v="2025-09-30T00:00:00"/>
    <d v="2025-09-30T00:00:00"/>
    <n v="11"/>
    <n v="11"/>
    <n v="0"/>
    <n v="0"/>
    <n v="0"/>
    <s v="Normal"/>
    <m/>
    <m/>
    <m/>
    <m/>
    <m/>
    <m/>
    <m/>
    <m/>
    <m/>
    <m/>
    <m/>
    <m/>
    <m/>
    <m/>
    <m/>
    <m/>
    <m/>
    <m/>
    <m/>
    <m/>
    <m/>
    <m/>
    <m/>
    <m/>
  </r>
  <r>
    <x v="8"/>
    <s v="STI-897"/>
    <s v="Crear batch para la acumulaciones con AccrualAPI"/>
    <s v="Finalizado"/>
    <d v="2025-09-17T00:00:00"/>
    <d v="2025-09-16T00:00:00"/>
    <n v="40"/>
    <n v="38"/>
    <n v="0"/>
    <n v="-0.05"/>
    <n v="1"/>
    <s v="Normal"/>
    <m/>
    <m/>
    <m/>
    <m/>
    <m/>
    <m/>
    <m/>
    <m/>
    <m/>
    <m/>
    <m/>
    <m/>
    <m/>
    <m/>
    <m/>
    <m/>
    <m/>
    <m/>
    <m/>
    <m/>
    <m/>
    <m/>
    <m/>
    <m/>
  </r>
  <r>
    <x v="8"/>
    <s v="STI-993"/>
    <s v="Regresar error custom cuando la reserva no acumula"/>
    <s v="Finalizado"/>
    <d v="2025-09-15T00:00:00"/>
    <d v="2025-09-15T00:00:00"/>
    <n v="6"/>
    <n v="6"/>
    <n v="0"/>
    <n v="0"/>
    <n v="1"/>
    <s v="Normal"/>
    <m/>
    <m/>
    <m/>
    <m/>
    <m/>
    <m/>
    <m/>
    <m/>
    <m/>
    <m/>
    <m/>
    <m/>
    <m/>
    <m/>
    <m/>
    <m/>
    <m/>
    <m/>
    <m/>
    <m/>
    <m/>
    <m/>
    <m/>
    <m/>
  </r>
  <r>
    <x v="8"/>
    <s v="STI-994"/>
    <s v="Acumular solamente los vuelos volados y excluir los cancelados"/>
    <s v="Finalizado"/>
    <d v="2025-09-19T00:00:00"/>
    <d v="2025-09-18T00:00:00"/>
    <n v="16"/>
    <n v="20"/>
    <n v="0"/>
    <n v="0.25"/>
    <n v="1"/>
    <s v="Normal"/>
    <m/>
    <m/>
    <m/>
    <m/>
    <m/>
    <m/>
    <m/>
    <m/>
    <m/>
    <m/>
    <m/>
    <m/>
    <m/>
    <m/>
    <m/>
    <m/>
    <m/>
    <m/>
    <m/>
    <m/>
    <m/>
    <m/>
    <m/>
    <m/>
  </r>
  <r>
    <x v="8"/>
    <s v="STI-1265"/>
    <s v="Crear endpoint GET accruals"/>
    <s v="Finalizado"/>
    <d v="2026-01-12T00:00:00"/>
    <d v="2026-01-08T00:00:00"/>
    <n v="40"/>
    <n v="40"/>
    <n v="0"/>
    <n v="0"/>
    <n v="1"/>
    <s v="Normal"/>
    <m/>
    <m/>
    <m/>
    <m/>
    <m/>
    <m/>
    <m/>
    <m/>
    <m/>
    <m/>
    <m/>
    <m/>
    <m/>
    <m/>
    <m/>
    <m/>
    <m/>
    <m/>
    <m/>
    <m/>
    <m/>
    <m/>
    <m/>
    <m/>
  </r>
  <r>
    <x v="8"/>
    <s v="STI-1268"/>
    <s v="Daily Meetings - Enero 2026"/>
    <s v="Cerrado"/>
    <d v="2026-01-30T00:00:00"/>
    <d v="2026-01-30T00:00:00"/>
    <n v="10"/>
    <n v="10"/>
    <n v="0"/>
    <n v="0"/>
    <n v="0"/>
    <s v="Normal"/>
    <m/>
    <m/>
    <m/>
    <m/>
    <m/>
    <m/>
    <m/>
    <m/>
    <m/>
    <m/>
    <m/>
    <m/>
    <m/>
    <m/>
    <m/>
    <m/>
    <m/>
    <m/>
    <m/>
    <m/>
    <m/>
    <m/>
    <m/>
    <m/>
  </r>
  <r>
    <x v="8"/>
    <s v="STI-1264"/>
    <s v="Crear endpoint de estadisticas"/>
    <s v="Finalizado"/>
    <d v="2026-01-13T00:00:00"/>
    <d v="2026-01-13T00:00:00"/>
    <n v="24"/>
    <n v="16"/>
    <n v="0"/>
    <n v="-0.33333333333333331"/>
    <n v="1"/>
    <s v="Normal"/>
    <m/>
    <m/>
    <m/>
    <m/>
    <m/>
    <m/>
    <m/>
    <m/>
    <m/>
    <m/>
    <m/>
    <m/>
    <m/>
    <m/>
    <m/>
    <m/>
    <m/>
    <m/>
    <m/>
    <m/>
    <m/>
    <m/>
    <m/>
    <m/>
  </r>
  <r>
    <x v="8"/>
    <s v="STI-1351"/>
    <s v="Realizar ajustes en Pipeline y demostración"/>
    <s v="Finalizado"/>
    <d v="2026-01-19T00:00:00"/>
    <d v="2026-01-20T00:00:00"/>
    <n v="12"/>
    <n v="10"/>
    <n v="0"/>
    <n v="-0.16666666666666666"/>
    <n v="1"/>
    <s v="Normal"/>
    <m/>
    <m/>
    <m/>
    <m/>
    <m/>
    <m/>
    <m/>
    <m/>
    <m/>
    <m/>
    <m/>
    <m/>
    <m/>
    <m/>
    <m/>
    <m/>
    <m/>
    <m/>
    <m/>
    <m/>
    <m/>
    <m/>
    <m/>
    <m/>
  </r>
  <r>
    <x v="8"/>
    <s v="STI-1325"/>
    <s v="Cancelar las acumulaciones que Gravty tenga en blacklist"/>
    <s v="Finalizado"/>
    <d v="2026-01-19T00:00:00"/>
    <d v="2026-01-20T00:00:00"/>
    <n v="16"/>
    <n v="16"/>
    <n v="0"/>
    <n v="0"/>
    <n v="1"/>
    <s v="Normal"/>
    <m/>
    <m/>
    <m/>
    <m/>
    <m/>
    <m/>
    <m/>
    <m/>
    <m/>
    <m/>
    <m/>
    <m/>
    <m/>
    <m/>
    <m/>
    <m/>
    <m/>
    <m/>
    <m/>
    <m/>
    <m/>
    <m/>
    <m/>
    <m/>
  </r>
  <r>
    <x v="8"/>
    <s v="STI-1267"/>
    <s v="Batch de accrualBatch guarde en BD, el BitId, saldo anterior y nuevo."/>
    <s v="Finalizado"/>
    <d v="2026-01-23T00:00:00"/>
    <d v="2026-01-26T00:00:00"/>
    <n v="24"/>
    <n v="27"/>
    <n v="0"/>
    <n v="0.125"/>
    <n v="0"/>
    <s v="Normal"/>
    <m/>
    <m/>
    <m/>
    <m/>
    <m/>
    <m/>
    <m/>
    <m/>
    <m/>
    <m/>
    <m/>
    <m/>
    <m/>
    <m/>
    <m/>
    <m/>
    <m/>
    <m/>
    <m/>
    <m/>
    <m/>
    <m/>
    <m/>
    <m/>
  </r>
  <r>
    <x v="8"/>
    <s v="STI-1369"/>
    <s v="Cancelar PNRs de blacklist y usuarios merge del Accrual API"/>
    <s v="Finalizado"/>
    <d v="2026-01-23T00:00:00"/>
    <d v="2026-01-23T00:00:00"/>
    <n v="2"/>
    <n v="2"/>
    <n v="0"/>
    <n v="0"/>
    <n v="0"/>
    <s v="Normal"/>
    <m/>
    <m/>
    <m/>
    <m/>
    <m/>
    <m/>
    <m/>
    <m/>
    <m/>
    <m/>
    <m/>
    <m/>
    <m/>
    <m/>
    <m/>
    <m/>
    <m/>
    <m/>
    <m/>
    <m/>
    <m/>
    <m/>
    <m/>
    <m/>
  </r>
  <r>
    <x v="8"/>
    <s v="STI-1368"/>
    <s v="Cambios en yml e implicaciones en el proceso"/>
    <s v="Cerrado"/>
    <d v="2026-01-23T00:00:00"/>
    <d v="2026-01-23T00:00:00"/>
    <n v="2.5"/>
    <n v="1"/>
    <n v="0"/>
    <n v="-0.6"/>
    <n v="0"/>
    <s v="Normal"/>
    <m/>
    <m/>
    <m/>
    <m/>
    <m/>
    <m/>
    <m/>
    <m/>
    <m/>
    <m/>
    <m/>
    <m/>
    <m/>
    <m/>
    <m/>
    <m/>
    <m/>
    <m/>
    <m/>
    <m/>
    <m/>
    <m/>
    <m/>
    <m/>
  </r>
  <r>
    <x v="8"/>
    <s v="STI-1376"/>
    <s v="[Accrual batch] - Sistema de Gestión de Registros Antiguos y Limpieza de Cola"/>
    <s v="Finalizado"/>
    <d v="2026-02-05T00:00:00"/>
    <d v="2026-02-02T00:00:00"/>
    <n v="24"/>
    <n v="0"/>
    <n v="0"/>
    <n v="-1"/>
    <n v="0"/>
    <s v="Normal"/>
    <m/>
    <m/>
    <m/>
    <m/>
    <m/>
    <m/>
    <m/>
    <m/>
    <m/>
    <m/>
    <m/>
    <m/>
    <m/>
    <m/>
    <m/>
    <m/>
    <m/>
    <m/>
    <m/>
    <m/>
    <m/>
    <m/>
    <m/>
    <m/>
  </r>
  <r>
    <x v="8"/>
    <s v="STI-1377"/>
    <s v="[Accrual api] - Mejoras de Configuración e Infraestructura"/>
    <s v="Finalizado"/>
    <d v="2026-02-03T00:00:00"/>
    <d v="2026-02-02T00:00:00"/>
    <n v="12"/>
    <n v="0"/>
    <n v="0"/>
    <n v="-1"/>
    <n v="0"/>
    <s v="Normal"/>
    <m/>
    <m/>
    <m/>
    <m/>
    <m/>
    <m/>
    <m/>
    <m/>
    <m/>
    <m/>
    <m/>
    <m/>
    <m/>
    <m/>
    <m/>
    <m/>
    <m/>
    <m/>
    <m/>
    <m/>
    <m/>
    <m/>
    <m/>
    <m/>
  </r>
  <r>
    <x v="8"/>
    <s v="STI-1387"/>
    <s v="Cambiar el tipo de Queues en SQS de FIFO a Standard"/>
    <s v="Finalizado"/>
    <d v="2026-02-03T00:00:00"/>
    <d v="2026-02-04T00:00:00"/>
    <n v="12"/>
    <n v="15"/>
    <n v="0"/>
    <n v="0.25"/>
    <n v="1"/>
    <s v="Normal"/>
    <m/>
    <m/>
    <m/>
    <m/>
    <m/>
    <m/>
    <m/>
    <m/>
    <m/>
    <m/>
    <m/>
    <m/>
    <m/>
    <m/>
    <m/>
    <m/>
    <m/>
    <m/>
    <m/>
    <m/>
    <m/>
    <m/>
    <m/>
    <m/>
  </r>
  <r>
    <x v="8"/>
    <s v="STI-1293"/>
    <s v="Acumulación Post Last Flight de Iberia"/>
    <s v="Comentarios"/>
    <d v="2026-05-05T00:00:00"/>
    <m/>
    <n v="64"/>
    <n v="48"/>
    <n v="0"/>
    <n v="-0.25"/>
    <n v="0"/>
    <s v="Normal"/>
    <m/>
    <m/>
    <m/>
    <m/>
    <m/>
    <m/>
    <m/>
    <m/>
    <m/>
    <m/>
    <m/>
    <m/>
    <m/>
    <m/>
    <m/>
    <m/>
    <m/>
    <m/>
    <m/>
    <m/>
    <m/>
    <m/>
    <m/>
    <m/>
  </r>
  <r>
    <x v="8"/>
    <s v="STI-1341"/>
    <s v="Acumular por segmentos de Alianzas"/>
    <s v="Finalizado"/>
    <d v="2026-02-06T00:00:00"/>
    <d v="2026-02-06T00:00:00"/>
    <n v="20"/>
    <n v="22"/>
    <n v="0"/>
    <n v="0.1"/>
    <n v="1"/>
    <s v="Normal"/>
    <m/>
    <m/>
    <m/>
    <m/>
    <m/>
    <m/>
    <m/>
    <m/>
    <m/>
    <m/>
    <m/>
    <m/>
    <m/>
    <m/>
    <m/>
    <m/>
    <m/>
    <m/>
    <m/>
    <m/>
    <m/>
    <m/>
    <m/>
    <m/>
  </r>
  <r>
    <x v="8"/>
    <s v="STI-1392"/>
    <s v="Daily Meetings - Febrero 2026"/>
    <s v="Finalizado"/>
    <d v="2026-02-27T00:00:00"/>
    <d v="2026-02-27T00:00:00"/>
    <n v="10"/>
    <n v="10"/>
    <n v="0"/>
    <n v="0"/>
    <n v="0"/>
    <s v="Normal"/>
    <m/>
    <m/>
    <m/>
    <m/>
    <m/>
    <m/>
    <m/>
    <m/>
    <m/>
    <m/>
    <m/>
    <m/>
    <m/>
    <m/>
    <m/>
    <m/>
    <m/>
    <m/>
    <m/>
    <m/>
    <m/>
    <m/>
    <m/>
    <m/>
  </r>
  <r>
    <x v="8"/>
    <s v="STI-1408"/>
    <s v="Liberacion Accrual API 1.1"/>
    <s v="Finalizado"/>
    <d v="2026-02-13T00:00:00"/>
    <d v="2026-02-13T00:00:00"/>
    <n v="16"/>
    <n v="11"/>
    <n v="0"/>
    <n v="-0.3125"/>
    <n v="0"/>
    <s v="Normal"/>
    <m/>
    <m/>
    <m/>
    <m/>
    <m/>
    <m/>
    <m/>
    <m/>
    <m/>
    <m/>
    <m/>
    <m/>
    <m/>
    <m/>
    <m/>
    <m/>
    <m/>
    <m/>
    <m/>
    <m/>
    <m/>
    <m/>
    <m/>
    <m/>
  </r>
  <r>
    <x v="8"/>
    <s v="STI-1410"/>
    <s v="Agregar variables de encolamiento y procesamiento en variables de GIT y Lambda"/>
    <s v="Finalizado"/>
    <d v="2026-02-11T00:00:00"/>
    <d v="2026-02-11T00:00:00"/>
    <n v="6"/>
    <n v="5"/>
    <n v="0"/>
    <n v="-0.16666666666666666"/>
    <n v="1"/>
    <s v="Normal"/>
    <m/>
    <m/>
    <m/>
    <m/>
    <m/>
    <m/>
    <m/>
    <m/>
    <m/>
    <m/>
    <m/>
    <m/>
    <m/>
    <m/>
    <m/>
    <m/>
    <m/>
    <m/>
    <m/>
    <m/>
    <m/>
    <m/>
    <m/>
    <m/>
  </r>
  <r>
    <x v="8"/>
    <s v="STI-1424"/>
    <s v="Ajuste de GitLab CI files en repositorio centralizado para usar variables"/>
    <s v="Finalizado"/>
    <d v="2026-02-13T00:00:00"/>
    <d v="2026-02-13T00:00:00"/>
    <n v="4"/>
    <n v="4"/>
    <n v="0"/>
    <n v="0"/>
    <n v="1"/>
    <s v="Normal"/>
    <m/>
    <m/>
    <m/>
    <m/>
    <m/>
    <m/>
    <m/>
    <m/>
    <m/>
    <m/>
    <m/>
    <m/>
    <m/>
    <m/>
    <m/>
    <m/>
    <m/>
    <m/>
    <m/>
    <m/>
    <m/>
    <m/>
    <m/>
    <m/>
  </r>
  <r>
    <x v="8"/>
    <s v="STI-1425"/>
    <s v="Seguimiento a error de API /booking/full en retro acumulaciones"/>
    <s v="Finalizado"/>
    <d v="2026-02-13T00:00:00"/>
    <d v="2026-02-13T00:00:00"/>
    <n v="3"/>
    <n v="3"/>
    <n v="0"/>
    <n v="0"/>
    <n v="1"/>
    <s v="Normal"/>
    <m/>
    <m/>
    <m/>
    <m/>
    <m/>
    <m/>
    <m/>
    <m/>
    <m/>
    <m/>
    <m/>
    <m/>
    <m/>
    <m/>
    <m/>
    <m/>
    <m/>
    <m/>
    <m/>
    <m/>
    <m/>
    <m/>
    <m/>
    <m/>
  </r>
  <r>
    <x v="8"/>
    <s v="STI-1421"/>
    <s v="Agregar métodos de pago aceptados por medio de variable en lambda"/>
    <s v="Finalizado"/>
    <d v="2026-02-18T00:00:00"/>
    <d v="2026-02-18T00:00:00"/>
    <n v="20"/>
    <n v="26"/>
    <n v="0"/>
    <n v="0.3"/>
    <n v="1"/>
    <s v="Desviado"/>
    <m/>
    <m/>
    <m/>
    <m/>
    <m/>
    <m/>
    <m/>
    <m/>
    <m/>
    <m/>
    <m/>
    <m/>
    <m/>
    <m/>
    <m/>
    <m/>
    <m/>
    <m/>
    <m/>
    <m/>
    <m/>
    <m/>
    <m/>
    <m/>
  </r>
  <r>
    <x v="8"/>
    <s v="STI-1434"/>
    <s v="Enviar el bundle del basket a Gravty_x000a__x000a__x000a__x000a_"/>
    <s v="Finalizado"/>
    <d v="2026-02-16T00:00:00"/>
    <d v="2026-02-17T00:00:00"/>
    <n v="4"/>
    <n v="4"/>
    <n v="0"/>
    <n v="0"/>
    <n v="1"/>
    <s v="Normal"/>
    <m/>
    <m/>
    <m/>
    <m/>
    <m/>
    <m/>
    <m/>
    <m/>
    <m/>
    <m/>
    <m/>
    <m/>
    <m/>
    <m/>
    <m/>
    <m/>
    <m/>
    <m/>
    <m/>
    <m/>
    <m/>
    <m/>
    <m/>
    <m/>
  </r>
  <r>
    <x v="8"/>
    <s v="STI-1423"/>
    <s v="[Doters] Creacion del Swagger de todos los endpoints de AccrualAPI"/>
    <s v="Finalizado"/>
    <d v="2026-02-27T00:00:00"/>
    <d v="2026-02-21T00:00:00"/>
    <n v="16"/>
    <n v="18"/>
    <n v="0"/>
    <n v="0.125"/>
    <n v="1"/>
    <s v="Normal"/>
    <m/>
    <m/>
    <m/>
    <m/>
    <m/>
    <m/>
    <m/>
    <m/>
    <m/>
    <m/>
    <m/>
    <m/>
    <m/>
    <m/>
    <m/>
    <m/>
    <m/>
    <m/>
    <m/>
    <m/>
    <m/>
    <m/>
    <m/>
    <m/>
  </r>
  <r>
    <x v="8"/>
    <s v="STI-1439"/>
    <s v="Crear servicio que haga la acumulación con PNR y Apellido"/>
    <s v="Finalizado"/>
    <d v="2026-03-02T00:00:00"/>
    <d v="2026-02-27T00:00:00"/>
    <n v="26"/>
    <n v="37"/>
    <n v="0"/>
    <n v="0.42307692307692307"/>
    <n v="1"/>
    <s v="Desviado"/>
    <m/>
    <m/>
    <m/>
    <m/>
    <m/>
    <m/>
    <m/>
    <m/>
    <m/>
    <m/>
    <m/>
    <m/>
    <m/>
    <m/>
    <m/>
    <m/>
    <m/>
    <m/>
    <m/>
    <m/>
    <m/>
    <m/>
    <m/>
    <m/>
  </r>
  <r>
    <x v="8"/>
    <s v="STI-1440"/>
    <s v="Agregar validacion de metodos de pago Offline para retroacumulacion"/>
    <s v="Finalizado"/>
    <d v="2026-02-23T00:00:00"/>
    <d v="2026-02-21T00:00:00"/>
    <n v="2.2999999999999998"/>
    <n v="0"/>
    <n v="0"/>
    <n v="-1"/>
    <n v="1"/>
    <s v="Normal"/>
    <m/>
    <m/>
    <m/>
    <m/>
    <m/>
    <m/>
    <m/>
    <m/>
    <m/>
    <m/>
    <m/>
    <m/>
    <m/>
    <m/>
    <m/>
    <m/>
    <m/>
    <m/>
    <m/>
    <m/>
    <m/>
    <m/>
    <m/>
    <m/>
  </r>
  <r>
    <x v="8"/>
    <s v="STI-1441"/>
    <s v="Agregar validación de &quot;Flight departed&quot; para retroacumulacion"/>
    <s v="Finalizado"/>
    <d v="2026-02-23T00:00:00"/>
    <d v="2026-02-21T00:00:00"/>
    <n v="1.3"/>
    <n v="0"/>
    <n v="0"/>
    <n v="-1"/>
    <n v="1"/>
    <s v="Normal"/>
    <m/>
    <m/>
    <m/>
    <m/>
    <m/>
    <m/>
    <m/>
    <m/>
    <m/>
    <m/>
    <m/>
    <m/>
    <m/>
    <m/>
    <m/>
    <m/>
    <m/>
    <m/>
    <m/>
    <m/>
    <m/>
    <m/>
    <m/>
    <m/>
  </r>
  <r>
    <x v="8"/>
    <s v="STI-1449"/>
    <s v="Modificar SP de Offline para las necesidades del proyecto de AccrualAPI"/>
    <s v="Finalizado"/>
    <d v="2026-02-25T00:00:00"/>
    <d v="2026-02-27T00:00:00"/>
    <n v="4"/>
    <n v="4"/>
    <n v="0"/>
    <n v="0"/>
    <n v="1"/>
    <s v="Normal"/>
    <m/>
    <m/>
    <m/>
    <m/>
    <m/>
    <m/>
    <m/>
    <m/>
    <m/>
    <m/>
    <m/>
    <m/>
    <m/>
    <m/>
    <m/>
    <m/>
    <m/>
    <m/>
    <m/>
    <m/>
    <m/>
    <m/>
    <m/>
    <m/>
  </r>
  <r>
    <x v="8"/>
    <s v="STI-1422"/>
    <s v="[Doters] Mejora en la busqueda de reservas"/>
    <s v="Finalizado"/>
    <d v="2026-02-27T00:00:00"/>
    <d v="2026-02-27T00:00:00"/>
    <n v="8"/>
    <n v="10"/>
    <n v="0"/>
    <n v="0.25"/>
    <n v="1"/>
    <s v="Normal"/>
    <m/>
    <m/>
    <m/>
    <m/>
    <m/>
    <m/>
    <m/>
    <m/>
    <m/>
    <m/>
    <m/>
    <m/>
    <m/>
    <m/>
    <m/>
    <m/>
    <m/>
    <m/>
    <m/>
    <m/>
    <m/>
    <m/>
    <m/>
    <m/>
  </r>
  <r>
    <x v="8"/>
    <s v="STI-1405"/>
    <s v="[Doters] Acumulacion con Hoteles"/>
    <s v="Pausado"/>
    <d v="2026-03-13T00:00:00"/>
    <m/>
    <n v="40"/>
    <n v="30"/>
    <n v="0"/>
    <n v="-0.25"/>
    <n v="0"/>
    <s v="Normal"/>
    <m/>
    <m/>
    <m/>
    <m/>
    <m/>
    <m/>
    <m/>
    <m/>
    <m/>
    <m/>
    <m/>
    <m/>
    <m/>
    <m/>
    <m/>
    <m/>
    <m/>
    <m/>
    <m/>
    <m/>
    <m/>
    <m/>
    <m/>
    <m/>
  </r>
  <r>
    <x v="8"/>
    <s v="STI-1458"/>
    <s v="Daily Meetings - Marzo 2026"/>
    <s v="Finalizado"/>
    <d v="2026-03-31T00:00:00"/>
    <d v="2026-03-31T00:00:00"/>
    <n v="10.5"/>
    <n v="0"/>
    <n v="0"/>
    <n v="-1"/>
    <n v="0"/>
    <s v="Normal"/>
    <m/>
    <m/>
    <m/>
    <m/>
    <m/>
    <m/>
    <m/>
    <m/>
    <m/>
    <m/>
    <m/>
    <m/>
    <m/>
    <m/>
    <m/>
    <m/>
    <m/>
    <m/>
    <m/>
    <m/>
    <m/>
    <m/>
    <m/>
    <m/>
  </r>
  <r>
    <x v="8"/>
    <s v="STI-1460"/>
    <s v="PerPassenger: Acumular puntos a los pasajeros"/>
    <s v="Ready for prod"/>
    <d v="2026-03-05T00:00:00"/>
    <d v="2026-03-05T00:00:00"/>
    <n v="16"/>
    <n v="16"/>
    <n v="0"/>
    <n v="0"/>
    <n v="0"/>
    <s v="Normal"/>
    <m/>
    <m/>
    <m/>
    <m/>
    <m/>
    <m/>
    <m/>
    <m/>
    <m/>
    <m/>
    <m/>
    <m/>
    <m/>
    <m/>
    <m/>
    <m/>
    <m/>
    <m/>
    <m/>
    <m/>
    <m/>
    <m/>
    <m/>
    <m/>
  </r>
  <r>
    <x v="8"/>
    <s v="STI-1494"/>
    <s v="Manejar variable en webhook VB-Doters: waphone_validated"/>
    <s v="Finalizado"/>
    <d v="2026-03-20T00:00:00"/>
    <d v="2026-03-20T00:00:00"/>
    <n v="4"/>
    <n v="4"/>
    <n v="0"/>
    <n v="0"/>
    <n v="0"/>
    <s v="Normal"/>
    <m/>
    <m/>
    <m/>
    <m/>
    <m/>
    <m/>
    <m/>
    <m/>
    <m/>
    <m/>
    <m/>
    <m/>
    <m/>
    <m/>
    <m/>
    <m/>
    <m/>
    <m/>
    <m/>
    <m/>
    <m/>
    <m/>
    <m/>
    <m/>
  </r>
  <r>
    <x v="8"/>
    <s v="STI-1498"/>
    <s v="Integración directa con API de Navitaire (quitar adaptadores) del Webhook VB-Doters"/>
    <s v="Ready for prod"/>
    <d v="2026-04-21T00:00:00"/>
    <d v="2026-03-25T00:00:00"/>
    <n v="44"/>
    <n v="42"/>
    <n v="0"/>
    <n v="-4.5454545454545456E-2"/>
    <n v="0"/>
    <s v="Normal"/>
    <m/>
    <m/>
    <m/>
    <m/>
    <m/>
    <m/>
    <m/>
    <m/>
    <m/>
    <m/>
    <m/>
    <m/>
    <m/>
    <m/>
    <m/>
    <m/>
    <m/>
    <m/>
    <m/>
    <m/>
    <m/>
    <m/>
    <m/>
    <m/>
  </r>
  <r>
    <x v="8"/>
    <s v="STI-1495"/>
    <s v="Manejar variable en webhook VB-Doters: profileUpdated"/>
    <s v="Ready for prod"/>
    <d v="2026-03-20T00:00:00"/>
    <d v="2026-03-20T00:00:00"/>
    <n v="10"/>
    <n v="12"/>
    <n v="0"/>
    <n v="0.2"/>
    <n v="0"/>
    <s v="Normal"/>
    <m/>
    <m/>
    <m/>
    <m/>
    <m/>
    <m/>
    <m/>
    <m/>
    <m/>
    <m/>
    <m/>
    <m/>
    <m/>
    <m/>
    <m/>
    <m/>
    <m/>
    <m/>
    <m/>
    <m/>
    <m/>
    <m/>
    <m/>
    <m/>
  </r>
  <r>
    <x v="8"/>
    <s v="STI-1492"/>
    <s v="Quitar limitante de fecha en la acumulación por PNR y Lastname"/>
    <s v="Finalizado"/>
    <d v="2026-03-20T00:00:00"/>
    <d v="2026-03-20T00:00:00"/>
    <n v="6"/>
    <n v="6"/>
    <n v="0"/>
    <n v="0"/>
    <n v="0"/>
    <s v="Normal"/>
    <m/>
    <m/>
    <m/>
    <m/>
    <m/>
    <m/>
    <m/>
    <m/>
    <m/>
    <m/>
    <m/>
    <m/>
    <m/>
    <m/>
    <m/>
    <m/>
    <m/>
    <m/>
    <m/>
    <m/>
    <m/>
    <m/>
    <m/>
    <m/>
  </r>
  <r>
    <x v="8"/>
    <s v="STI-1510"/>
    <s v="Cambiar el response del accrualDetails endpoint"/>
    <s v="Finalizado"/>
    <d v="2026-03-26T00:00:00"/>
    <d v="2026-03-26T00:00:00"/>
    <n v="4"/>
    <n v="5"/>
    <n v="0"/>
    <n v="0.25"/>
    <n v="0"/>
    <s v="Normal"/>
    <m/>
    <m/>
    <m/>
    <m/>
    <m/>
    <m/>
    <m/>
    <m/>
    <m/>
    <m/>
    <m/>
    <m/>
    <m/>
    <m/>
    <m/>
    <m/>
    <m/>
    <m/>
    <m/>
    <m/>
    <m/>
    <m/>
    <m/>
    <m/>
  </r>
  <r>
    <x v="8"/>
    <s v="STI-1511"/>
    <s v="Crear endpoint para validar token que es enviado con Generic API"/>
    <s v="Ready for prod"/>
    <d v="2026-04-08T00:00:00"/>
    <d v="2026-04-08T00:00:00"/>
    <n v="68"/>
    <n v="63"/>
    <n v="0"/>
    <n v="-7.3529411764705885E-2"/>
    <n v="0"/>
    <s v="Normal"/>
    <m/>
    <m/>
    <m/>
    <m/>
    <m/>
    <m/>
    <m/>
    <m/>
    <m/>
    <m/>
    <m/>
    <m/>
    <m/>
    <m/>
    <m/>
    <m/>
    <m/>
    <m/>
    <m/>
    <m/>
    <m/>
    <m/>
    <m/>
    <m/>
  </r>
  <r>
    <x v="8"/>
    <s v="STI-1517"/>
    <s v="Migración de pipeline de Generic API a Gitlab"/>
    <s v="UAT"/>
    <d v="2026-04-13T00:00:00"/>
    <d v="2026-04-08T00:00:00"/>
    <n v="24"/>
    <n v="28"/>
    <n v="0"/>
    <n v="0.16666666666666666"/>
    <n v="0"/>
    <s v="Normal"/>
    <m/>
    <m/>
    <m/>
    <m/>
    <m/>
    <m/>
    <m/>
    <m/>
    <m/>
    <m/>
    <m/>
    <m/>
    <m/>
    <m/>
    <m/>
    <m/>
    <m/>
    <m/>
    <m/>
    <m/>
    <m/>
    <m/>
    <m/>
    <m/>
  </r>
  <r>
    <x v="8"/>
    <s v="STI-1532"/>
    <s v="Error al enviar acumulaciones con tipo de moneda en retroacclaim"/>
    <s v="Ready for prod"/>
    <d v="2026-04-13T00:00:00"/>
    <d v="2026-04-13T00:00:00"/>
    <n v="8"/>
    <n v="8"/>
    <n v="0"/>
    <n v="0"/>
    <n v="0"/>
    <s v="Normal"/>
    <m/>
    <m/>
    <m/>
    <m/>
    <m/>
    <m/>
    <m/>
    <m/>
    <m/>
    <m/>
    <m/>
    <m/>
    <m/>
    <m/>
    <m/>
    <m/>
    <m/>
    <m/>
    <m/>
    <m/>
    <m/>
    <m/>
    <m/>
    <m/>
  </r>
  <r>
    <x v="8"/>
    <s v="STI-1535"/>
    <s v="Ajustes para salida a producción archivos de conciliación."/>
    <s v="Pausado"/>
    <d v="2026-04-13T00:00:00"/>
    <m/>
    <n v="24"/>
    <n v="16"/>
    <n v="0"/>
    <n v="-0.33333333333333331"/>
    <n v="0"/>
    <s v="Normal"/>
    <m/>
    <m/>
    <m/>
    <m/>
    <m/>
    <m/>
    <m/>
    <m/>
    <m/>
    <m/>
    <m/>
    <m/>
    <m/>
    <m/>
    <m/>
    <m/>
    <m/>
    <m/>
    <m/>
    <m/>
    <m/>
    <m/>
    <m/>
    <m/>
  </r>
  <r>
    <x v="8"/>
    <s v="STI-1519"/>
    <s v="Daily Meetings - Abril 2026"/>
    <s v="Finalizado"/>
    <d v="2026-04-30T00:00:00"/>
    <d v="2026-04-30T00:00:00"/>
    <n v="10"/>
    <n v="0"/>
    <n v="0"/>
    <n v="-1"/>
    <n v="0"/>
    <s v="Normal"/>
    <m/>
    <m/>
    <m/>
    <m/>
    <m/>
    <m/>
    <m/>
    <m/>
    <m/>
    <m/>
    <m/>
    <m/>
    <m/>
    <m/>
    <m/>
    <m/>
    <m/>
    <m/>
    <m/>
    <m/>
    <m/>
    <m/>
    <m/>
    <m/>
  </r>
  <r>
    <x v="8"/>
    <s v="STI-1540"/>
    <s v="Webhook de VB-Doters debe agregar comentario solo cuando se actualiza nombre, apellido y DoB"/>
    <s v="Ready for prod"/>
    <d v="2026-04-14T00:00:00"/>
    <d v="2026-04-14T00:00:00"/>
    <n v="8"/>
    <n v="8"/>
    <n v="0"/>
    <n v="0"/>
    <n v="0"/>
    <s v="Normal"/>
    <m/>
    <m/>
    <m/>
    <m/>
    <m/>
    <m/>
    <m/>
    <m/>
    <m/>
    <m/>
    <m/>
    <m/>
    <m/>
    <m/>
    <m/>
    <m/>
    <m/>
    <m/>
    <m/>
    <m/>
    <m/>
    <m/>
    <m/>
    <m/>
  </r>
  <r>
    <x v="8"/>
    <s v="STI-1541"/>
    <s v="Regresar error especifico cuando el tipo de moneda no es aceptado en retroacclaim"/>
    <s v="Ready for prod"/>
    <d v="2026-04-17T00:00:00"/>
    <d v="2026-04-17T00:00:00"/>
    <n v="8"/>
    <n v="8"/>
    <n v="0"/>
    <n v="0"/>
    <n v="0"/>
    <s v="Normal"/>
    <m/>
    <m/>
    <m/>
    <m/>
    <m/>
    <m/>
    <m/>
    <m/>
    <m/>
    <m/>
    <m/>
    <m/>
    <m/>
    <m/>
    <m/>
    <m/>
    <m/>
    <m/>
    <m/>
    <m/>
    <m/>
    <m/>
    <m/>
    <m/>
  </r>
  <r>
    <x v="8"/>
    <s v="STI-1545"/>
    <s v="Creacion de Swagger para los endpoints restantes"/>
    <s v="Finalizado"/>
    <d v="2026-04-21T00:00:00"/>
    <d v="2026-04-20T00:00:00"/>
    <n v="12"/>
    <n v="12"/>
    <n v="0"/>
    <n v="0"/>
    <n v="0"/>
    <s v="Normal"/>
    <m/>
    <m/>
    <m/>
    <m/>
    <m/>
    <m/>
    <m/>
    <m/>
    <m/>
    <m/>
    <m/>
    <m/>
    <m/>
    <m/>
    <m/>
    <m/>
    <m/>
    <m/>
    <m/>
    <m/>
    <m/>
    <m/>
    <m/>
    <m/>
  </r>
  <r>
    <x v="8"/>
    <s v="STI-1561"/>
    <s v="Encontrar el dueño de la reserva entre los pasajeros"/>
    <s v="Ready for prod"/>
    <d v="2026-05-11T00:00:00"/>
    <d v="2026-05-07T00:00:00"/>
    <n v="32"/>
    <n v="33"/>
    <n v="0"/>
    <n v="3.125E-2"/>
    <n v="0"/>
    <s v="Normal"/>
    <m/>
    <m/>
    <m/>
    <m/>
    <m/>
    <m/>
    <m/>
    <m/>
    <m/>
    <m/>
    <m/>
    <m/>
    <m/>
    <m/>
    <m/>
    <m/>
    <m/>
    <m/>
    <m/>
    <m/>
    <m/>
    <m/>
    <m/>
    <m/>
  </r>
  <r>
    <x v="8"/>
    <s v="STI-1567"/>
    <s v="Cambiar longitud en los campos de Numeros para el servicio del Webhook"/>
    <s v="Finalizado"/>
    <d v="2026-04-29T00:00:00"/>
    <d v="2026-04-29T00:00:00"/>
    <n v="4"/>
    <n v="4"/>
    <n v="0"/>
    <n v="0"/>
    <n v="0"/>
    <s v="Normal"/>
    <m/>
    <m/>
    <m/>
    <m/>
    <m/>
    <m/>
    <m/>
    <m/>
    <m/>
    <m/>
    <m/>
    <m/>
    <m/>
    <m/>
    <m/>
    <m/>
    <m/>
    <m/>
    <m/>
    <m/>
    <m/>
    <m/>
    <m/>
    <m/>
  </r>
  <r>
    <x v="8"/>
    <s v="STI-1569"/>
    <s v="Agregar campos al servicio para el Webhook del SSO"/>
    <s v="Ready for prod"/>
    <d v="2026-04-30T00:00:00"/>
    <d v="2026-04-30T00:00:00"/>
    <n v="5"/>
    <n v="5"/>
    <n v="0"/>
    <n v="0"/>
    <n v="0"/>
    <s v="Normal"/>
    <m/>
    <m/>
    <m/>
    <m/>
    <m/>
    <m/>
    <m/>
    <m/>
    <m/>
    <m/>
    <m/>
    <m/>
    <m/>
    <m/>
    <m/>
    <m/>
    <m/>
    <m/>
    <m/>
    <m/>
    <m/>
    <m/>
    <m/>
    <m/>
  </r>
  <r>
    <x v="8"/>
    <s v="STI-1572"/>
    <s v="Daily Meetings - Mayo 2026"/>
    <s v="Finalizado"/>
    <d v="2026-05-29T00:00:00"/>
    <d v="2026-05-29T00:00:00"/>
    <n v="9.5"/>
    <n v="9.5"/>
    <n v="0"/>
    <n v="0"/>
    <n v="0"/>
    <s v="Normal"/>
    <m/>
    <m/>
    <m/>
    <m/>
    <m/>
    <m/>
    <m/>
    <m/>
    <m/>
    <m/>
    <m/>
    <m/>
    <m/>
    <m/>
    <m/>
    <m/>
    <m/>
    <m/>
    <m/>
    <m/>
    <m/>
    <m/>
    <m/>
    <m/>
  </r>
  <r>
    <x v="8"/>
    <s v="STI-1578"/>
    <s v="Modificar pipeline de Viva Web para Angular mas reciente"/>
    <s v="Finalizado"/>
    <d v="2026-05-13T00:00:00"/>
    <d v="2026-05-12T00:00:00"/>
    <n v="16"/>
    <n v="12"/>
    <n v="0"/>
    <n v="-0.25"/>
    <n v="0"/>
    <s v="Normal"/>
    <m/>
    <m/>
    <m/>
    <m/>
    <m/>
    <m/>
    <m/>
    <m/>
    <m/>
    <m/>
    <m/>
    <m/>
    <m/>
    <m/>
    <m/>
    <m/>
    <m/>
    <m/>
    <m/>
    <m/>
    <m/>
    <m/>
    <m/>
    <m/>
  </r>
  <r>
    <x v="8"/>
    <s v="STI-1576"/>
    <s v="Analyze - Staff Travel V2.0"/>
    <s v="Finalizado"/>
    <d v="2026-05-18T00:00:00"/>
    <d v="2026-05-15T00:00:00"/>
    <n v="40"/>
    <n v="40"/>
    <n v="0"/>
    <n v="0"/>
    <n v="0"/>
    <s v="Normal"/>
    <m/>
    <m/>
    <m/>
    <m/>
    <m/>
    <m/>
    <m/>
    <m/>
    <m/>
    <m/>
    <m/>
    <m/>
    <m/>
    <m/>
    <m/>
    <m/>
    <m/>
    <m/>
    <m/>
    <m/>
    <m/>
    <m/>
    <m/>
    <m/>
  </r>
  <r>
    <x v="8"/>
    <s v="STI-1602"/>
    <s v="Fundación del proyecto - Estructura Clean Architecture, pipeline CI/CD, logging Serilog/Datadog y health check"/>
    <s v="UAT"/>
    <d v="2026-06-01T00:00:00"/>
    <d v="2026-05-28T00:00:00"/>
    <n v="20"/>
    <n v="23"/>
    <n v="0"/>
    <n v="0.15"/>
    <n v="0"/>
    <s v="Normal"/>
    <m/>
    <m/>
    <m/>
    <m/>
    <m/>
    <m/>
    <m/>
    <m/>
    <m/>
    <m/>
    <m/>
    <m/>
    <m/>
    <m/>
    <m/>
    <m/>
    <m/>
    <m/>
    <m/>
    <m/>
    <m/>
    <m/>
    <m/>
    <m/>
  </r>
  <r>
    <x v="8"/>
    <s v="STI-1597"/>
    <s v="CRUD Empleados - Listado con filtros, creación individual, actualización parcial, baja lógica, carga masiva CSV y auto-registro vía webhook SSO"/>
    <s v="UAT"/>
    <d v="2026-08-14T00:00:00"/>
    <d v="2026-08-24T00:00:00"/>
    <n v="32"/>
    <n v="24"/>
    <n v="8"/>
    <n v="0"/>
    <n v="0"/>
    <s v="Normal"/>
    <m/>
    <m/>
    <m/>
    <m/>
    <m/>
    <m/>
    <m/>
    <m/>
    <m/>
    <m/>
    <n v="8"/>
    <m/>
    <m/>
    <m/>
    <m/>
    <m/>
    <m/>
    <m/>
    <m/>
    <m/>
    <m/>
    <m/>
    <m/>
    <m/>
  </r>
  <r>
    <x v="8"/>
    <s v="STI-1598"/>
    <s v="CRUD Beneficiarios - Registro por slot por parte del empleado usuario y consulta administrativa con filtros por parte del administrador, con validación de temporada activa y límites por nivel"/>
    <s v="UAT"/>
    <d v="2026-08-31T00:00:00"/>
    <d v="2026-08-26T00:00:00"/>
    <n v="32"/>
    <n v="16"/>
    <n v="16"/>
    <n v="0"/>
    <n v="0"/>
    <s v="Normal"/>
    <m/>
    <m/>
    <m/>
    <m/>
    <m/>
    <m/>
    <m/>
    <m/>
    <m/>
    <m/>
    <m/>
    <m/>
    <m/>
    <m/>
    <m/>
    <n v="8"/>
    <m/>
    <m/>
    <n v="8"/>
    <m/>
    <m/>
    <m/>
    <m/>
    <m/>
  </r>
  <r>
    <x v="8"/>
    <s v="STI-1676"/>
    <s v="Agregar iniciales en los documentos"/>
    <s v="UAT"/>
    <d v="2026-08-28T00:00:00"/>
    <d v="2026-08-26T00:00:00"/>
    <n v="20"/>
    <n v="0"/>
    <n v="17.5"/>
    <n v="-0.125"/>
    <n v="0"/>
    <s v="Normal"/>
    <m/>
    <m/>
    <m/>
    <m/>
    <m/>
    <m/>
    <m/>
    <m/>
    <m/>
    <m/>
    <m/>
    <m/>
    <m/>
    <m/>
    <m/>
    <m/>
    <n v="8"/>
    <n v="8"/>
    <n v="0.5"/>
    <m/>
    <n v="0.5"/>
    <m/>
    <m/>
    <n v="0.5"/>
  </r>
  <r>
    <x v="8"/>
    <s v="STI-1594"/>
    <s v="CRUD Temporadas - Gestión de temporadas con fechas de vigencia y lista de empleados habilitados"/>
    <s v="Comentarios"/>
    <d v="2026-06-01T00:00:00"/>
    <m/>
    <n v="16"/>
    <n v="16"/>
    <n v="0"/>
    <n v="0"/>
    <n v="0"/>
    <s v="Normal"/>
    <m/>
    <m/>
    <m/>
    <m/>
    <m/>
    <m/>
    <m/>
    <m/>
    <m/>
    <m/>
    <m/>
    <m/>
    <m/>
    <m/>
    <m/>
    <m/>
    <m/>
    <m/>
    <m/>
    <m/>
    <m/>
    <m/>
    <m/>
    <m/>
  </r>
  <r>
    <x v="8"/>
    <s v="STI-1595"/>
    <s v="CRUD Relaciones - Gestión de tipos de parentesco y sus documentos requeridos por tipo"/>
    <s v="UAT"/>
    <d v="2026-06-12T00:00:00"/>
    <d v="2026-06-03T00:00:00"/>
    <n v="16"/>
    <n v="8"/>
    <n v="0"/>
    <n v="-0.5"/>
    <n v="0"/>
    <s v="Normal"/>
    <m/>
    <m/>
    <m/>
    <m/>
    <m/>
    <m/>
    <m/>
    <m/>
    <m/>
    <m/>
    <m/>
    <m/>
    <m/>
    <m/>
    <m/>
    <m/>
    <m/>
    <m/>
    <m/>
    <m/>
    <n v="8"/>
    <m/>
    <m/>
    <m/>
  </r>
  <r>
    <x v="8"/>
    <s v="STI-1596"/>
    <s v="CRUD Tipos de Documentos - Gestión de tipos de documentos con campos/tags de validación para Bedrock"/>
    <s v="UAT"/>
    <d v="2026-06-12T00:00:00"/>
    <d v="2026-06-03T00:00:00"/>
    <n v="8"/>
    <n v="8"/>
    <n v="0"/>
    <n v="0"/>
    <n v="0"/>
    <s v="Normal"/>
    <m/>
    <m/>
    <m/>
    <m/>
    <m/>
    <m/>
    <m/>
    <m/>
    <m/>
    <m/>
    <m/>
    <m/>
    <m/>
    <m/>
    <m/>
    <m/>
    <m/>
    <m/>
    <m/>
    <m/>
    <m/>
    <m/>
    <m/>
    <m/>
  </r>
  <r>
    <x v="8"/>
    <s v="STI-1605"/>
    <s v="Nuevos valores para basket de Iberia en Message Dispatcher"/>
    <s v="UAT"/>
    <d v="2026-06-08T00:00:00"/>
    <d v="2026-06-05T00:00:00"/>
    <n v="38"/>
    <n v="24"/>
    <n v="0"/>
    <n v="-0.36842105263157893"/>
    <n v="0"/>
    <s v="Normal"/>
    <m/>
    <m/>
    <m/>
    <m/>
    <m/>
    <m/>
    <m/>
    <m/>
    <m/>
    <m/>
    <m/>
    <m/>
    <m/>
    <m/>
    <m/>
    <m/>
    <m/>
    <m/>
    <m/>
    <m/>
    <m/>
    <m/>
    <m/>
    <m/>
  </r>
  <r>
    <x v="8"/>
    <s v="STI-1600"/>
    <s v="Flujos de administrador sobre beneficiarios: aprobación, rechazo y desactivación con notificaciones por email vía SendGrid"/>
    <s v="Comentarios"/>
    <d v="2026-06-12T00:00:00"/>
    <m/>
    <n v="24"/>
    <n v="24"/>
    <n v="0"/>
    <n v="0"/>
    <n v="0"/>
    <s v="Normal"/>
    <m/>
    <m/>
    <m/>
    <m/>
    <m/>
    <m/>
    <m/>
    <m/>
    <m/>
    <m/>
    <m/>
    <m/>
    <m/>
    <m/>
    <m/>
    <m/>
    <m/>
    <m/>
    <m/>
    <m/>
    <m/>
    <m/>
    <m/>
    <m/>
  </r>
  <r>
    <x v="8"/>
    <s v="STI-1601"/>
    <s v="Integración Navitaire (StaffTravelAPI) - Crear empleado, modificar y desactivar beneficiarios vía API interna"/>
    <s v="UAT"/>
    <d v="2026-07-10T00:00:00"/>
    <d v="2026-07-06T00:00:00"/>
    <n v="32"/>
    <n v="28"/>
    <n v="0"/>
    <n v="-0.125"/>
    <n v="0"/>
    <s v="Normal"/>
    <m/>
    <m/>
    <m/>
    <m/>
    <m/>
    <m/>
    <m/>
    <m/>
    <m/>
    <m/>
    <m/>
    <m/>
    <m/>
    <m/>
    <m/>
    <m/>
    <m/>
    <m/>
    <m/>
    <m/>
    <m/>
    <m/>
    <m/>
    <m/>
  </r>
  <r>
    <x v="8"/>
    <s v="STI-1615"/>
    <s v="Error en el SQS de AccrualAPI"/>
    <s v="UAT"/>
    <d v="2026-06-26T00:00:00"/>
    <d v="2026-06-24T00:00:00"/>
    <n v="16"/>
    <n v="16"/>
    <n v="0"/>
    <n v="0"/>
    <n v="0"/>
    <s v="Normal"/>
    <m/>
    <m/>
    <m/>
    <m/>
    <m/>
    <m/>
    <m/>
    <m/>
    <m/>
    <m/>
    <m/>
    <m/>
    <m/>
    <m/>
    <m/>
    <m/>
    <m/>
    <m/>
    <m/>
    <m/>
    <m/>
    <m/>
    <m/>
    <m/>
  </r>
  <r>
    <x v="8"/>
    <s v="STI-1612"/>
    <s v="Desplegar Angular 20 en ambientes restantes"/>
    <s v="Finalizado"/>
    <d v="2026-06-18T00:00:00"/>
    <d v="2026-06-18T00:00:00"/>
    <n v="4"/>
    <n v="4"/>
    <n v="0"/>
    <n v="0"/>
    <n v="0"/>
    <s v="Normal"/>
    <m/>
    <m/>
    <m/>
    <m/>
    <m/>
    <m/>
    <m/>
    <m/>
    <m/>
    <m/>
    <m/>
    <m/>
    <m/>
    <m/>
    <m/>
    <m/>
    <m/>
    <m/>
    <m/>
    <m/>
    <m/>
    <m/>
    <m/>
    <m/>
  </r>
  <r>
    <x v="8"/>
    <s v="STI-1619"/>
    <s v="Desplegar Angular 20 en ambiente productivo"/>
    <s v="Pausado"/>
    <d v="2026-06-18T00:00:00"/>
    <d v="2026-06-18T00:00:00"/>
    <n v="5"/>
    <n v="5"/>
    <n v="0"/>
    <n v="0"/>
    <n v="0"/>
    <s v="Normal"/>
    <m/>
    <m/>
    <m/>
    <m/>
    <m/>
    <m/>
    <m/>
    <m/>
    <m/>
    <m/>
    <m/>
    <m/>
    <m/>
    <m/>
    <m/>
    <m/>
    <m/>
    <m/>
    <m/>
    <m/>
    <m/>
    <m/>
    <m/>
    <m/>
  </r>
  <r>
    <x v="8"/>
    <s v="STI-1589"/>
    <s v="Enviar a Gravty del flujo de donde viene la acumulación"/>
    <s v="Ready for prod"/>
    <d v="2026-06-26T00:00:00"/>
    <d v="2026-06-26T00:00:00"/>
    <n v="24"/>
    <n v="24"/>
    <n v="0"/>
    <n v="0"/>
    <n v="0"/>
    <s v="Normal"/>
    <m/>
    <m/>
    <m/>
    <m/>
    <m/>
    <m/>
    <m/>
    <m/>
    <m/>
    <m/>
    <m/>
    <m/>
    <m/>
    <m/>
    <m/>
    <m/>
    <m/>
    <m/>
    <m/>
    <m/>
    <m/>
    <m/>
    <m/>
    <m/>
  </r>
  <r>
    <x v="8"/>
    <s v="STI-1581"/>
    <s v="Compliance en Datos Personales"/>
    <s v="UAT"/>
    <d v="2026-07-03T00:00:00"/>
    <d v="2026-07-06T00:00:00"/>
    <n v="16"/>
    <n v="16"/>
    <n v="0"/>
    <n v="0"/>
    <n v="0"/>
    <s v="Normal"/>
    <m/>
    <m/>
    <m/>
    <m/>
    <m/>
    <m/>
    <m/>
    <m/>
    <m/>
    <m/>
    <m/>
    <m/>
    <m/>
    <m/>
    <m/>
    <m/>
    <m/>
    <m/>
    <m/>
    <m/>
    <m/>
    <m/>
    <m/>
    <m/>
  </r>
  <r>
    <x v="8"/>
    <s v="STI-1604"/>
    <s v="Daily Meetings - Junio 2026"/>
    <s v="Finalizado"/>
    <d v="2026-06-30T00:00:00"/>
    <d v="2026-06-30T00:00:00"/>
    <n v="9.5"/>
    <n v="9.5"/>
    <n v="0"/>
    <n v="0"/>
    <n v="0"/>
    <s v="Normal"/>
    <m/>
    <m/>
    <m/>
    <m/>
    <m/>
    <m/>
    <m/>
    <m/>
    <m/>
    <m/>
    <m/>
    <m/>
    <m/>
    <m/>
    <m/>
    <m/>
    <m/>
    <m/>
    <m/>
    <m/>
    <m/>
    <m/>
    <m/>
    <m/>
  </r>
  <r>
    <x v="8"/>
    <s v="STI-1624"/>
    <s v="Acumulaciones con formas de pago Y6 y VO"/>
    <s v="Ready for prod"/>
    <d v="2026-07-08T00:00:00"/>
    <d v="2026-07-08T00:00:00"/>
    <n v="16"/>
    <n v="16"/>
    <n v="0"/>
    <n v="0"/>
    <n v="0"/>
    <s v="Normal"/>
    <m/>
    <m/>
    <m/>
    <m/>
    <m/>
    <m/>
    <m/>
    <m/>
    <m/>
    <m/>
    <m/>
    <m/>
    <m/>
    <m/>
    <m/>
    <m/>
    <m/>
    <m/>
    <m/>
    <m/>
    <m/>
    <m/>
    <m/>
    <m/>
  </r>
  <r>
    <x v="8"/>
    <s v="STI-1629"/>
    <s v="Configurar máximo de reintentos por acumulación para cancelación automática"/>
    <s v="UAT"/>
    <d v="2026-07-17T00:00:00"/>
    <d v="2026-08-21T00:00:00"/>
    <n v="24"/>
    <n v="24"/>
    <n v="0"/>
    <n v="0"/>
    <n v="0"/>
    <s v="Normal"/>
    <m/>
    <m/>
    <m/>
    <m/>
    <m/>
    <m/>
    <m/>
    <m/>
    <m/>
    <m/>
    <m/>
    <m/>
    <m/>
    <m/>
    <m/>
    <m/>
    <m/>
    <m/>
    <m/>
    <m/>
    <m/>
    <m/>
    <m/>
    <m/>
  </r>
  <r>
    <x v="8"/>
    <s v="STI-1573"/>
    <s v="Regresar error en /retroacclaim endpoint"/>
    <s v="UAT"/>
    <d v="2026-07-17T00:00:00"/>
    <d v="2026-08-21T00:00:00"/>
    <n v="8"/>
    <n v="8"/>
    <n v="0"/>
    <n v="0"/>
    <n v="0"/>
    <s v="Normal"/>
    <m/>
    <m/>
    <m/>
    <m/>
    <m/>
    <m/>
    <m/>
    <m/>
    <m/>
    <m/>
    <m/>
    <m/>
    <m/>
    <m/>
    <m/>
    <m/>
    <m/>
    <m/>
    <m/>
    <m/>
    <m/>
    <m/>
    <m/>
    <m/>
  </r>
  <r>
    <x v="8"/>
    <s v="STI-1630"/>
    <s v="Crear frontend temporal para pruebas de SSO con Staff Travel"/>
    <s v="UAT"/>
    <d v="2026-07-20T00:00:00"/>
    <d v="2026-07-21T00:00:00"/>
    <n v="32"/>
    <n v="28.5"/>
    <n v="0"/>
    <n v="-0.109375"/>
    <n v="0"/>
    <s v="Normal"/>
    <m/>
    <m/>
    <m/>
    <m/>
    <m/>
    <m/>
    <m/>
    <m/>
    <m/>
    <m/>
    <m/>
    <m/>
    <m/>
    <m/>
    <m/>
    <m/>
    <m/>
    <m/>
    <m/>
    <m/>
    <m/>
    <m/>
    <m/>
    <m/>
  </r>
  <r>
    <x v="8"/>
    <s v="STI-1633"/>
    <s v="[Accrual Doters] Aceptar el valor de null en campo de pointsAmount"/>
    <s v="UAT"/>
    <d v="2026-07-16T00:00:00"/>
    <d v="2026-07-16T00:00:00"/>
    <n v="3.5"/>
    <n v="3.5"/>
    <n v="0"/>
    <n v="0"/>
    <n v="0"/>
    <s v="Normal"/>
    <m/>
    <m/>
    <m/>
    <m/>
    <m/>
    <m/>
    <m/>
    <m/>
    <m/>
    <m/>
    <m/>
    <m/>
    <m/>
    <m/>
    <m/>
    <m/>
    <m/>
    <m/>
    <m/>
    <m/>
    <m/>
    <m/>
    <m/>
    <m/>
  </r>
  <r>
    <x v="8"/>
    <s v="STI-1640"/>
    <s v="Agregar parámetro en git para cambiar acumulacion Iberia"/>
    <s v="UAT"/>
    <d v="2026-07-27T00:00:00"/>
    <d v="2026-07-24T00:00:00"/>
    <n v="12"/>
    <n v="12"/>
    <n v="0"/>
    <n v="0"/>
    <n v="0"/>
    <s v="Normal"/>
    <m/>
    <m/>
    <m/>
    <m/>
    <m/>
    <m/>
    <m/>
    <m/>
    <m/>
    <m/>
    <m/>
    <m/>
    <m/>
    <m/>
    <m/>
    <m/>
    <m/>
    <m/>
    <m/>
    <m/>
    <m/>
    <m/>
    <m/>
    <m/>
  </r>
  <r>
    <x v="8"/>
    <s v="STI-1606"/>
    <s v="Evitar acumular reservas de Staff y EVT/TVT"/>
    <s v="UAT"/>
    <d v="2026-07-31T00:00:00"/>
    <d v="2026-07-28T00:00:00"/>
    <n v="16"/>
    <n v="16"/>
    <n v="0"/>
    <n v="0"/>
    <n v="0"/>
    <s v="Normal"/>
    <m/>
    <m/>
    <m/>
    <m/>
    <m/>
    <m/>
    <m/>
    <m/>
    <m/>
    <m/>
    <m/>
    <m/>
    <m/>
    <m/>
    <m/>
    <m/>
    <m/>
    <m/>
    <m/>
    <m/>
    <m/>
    <m/>
    <m/>
    <m/>
  </r>
  <r>
    <x v="8"/>
    <s v="STI-1645"/>
    <s v="Reducir numero de logs en Datadog para Accrual API y Accrual Batch"/>
    <s v="Comentarios"/>
    <d v="2026-08-06T00:00:00"/>
    <d v="2026-08-03T00:00:00"/>
    <n v="28"/>
    <n v="28"/>
    <n v="0"/>
    <n v="0"/>
    <n v="0"/>
    <s v="Normal"/>
    <m/>
    <m/>
    <m/>
    <m/>
    <m/>
    <m/>
    <m/>
    <m/>
    <m/>
    <m/>
    <m/>
    <m/>
    <m/>
    <m/>
    <m/>
    <m/>
    <m/>
    <m/>
    <m/>
    <m/>
    <m/>
    <m/>
    <m/>
    <m/>
  </r>
  <r>
    <x v="8"/>
    <s v="STI-1628"/>
    <s v="Daily Meetings - Julio 2026"/>
    <s v="Finalizado"/>
    <d v="2026-07-31T00:00:00"/>
    <d v="2026-07-31T00:00:00"/>
    <n v="10.5"/>
    <n v="10.5"/>
    <n v="0"/>
    <n v="0"/>
    <n v="0"/>
    <s v="Normal"/>
    <m/>
    <m/>
    <m/>
    <m/>
    <m/>
    <m/>
    <m/>
    <m/>
    <m/>
    <m/>
    <m/>
    <m/>
    <m/>
    <m/>
    <m/>
    <m/>
    <m/>
    <m/>
    <m/>
    <m/>
    <m/>
    <m/>
    <m/>
    <m/>
  </r>
  <r>
    <x v="8"/>
    <s v="STI-1649"/>
    <s v="Daily Meetings - Agosto 2026"/>
    <s v="Finalizada"/>
    <d v="2026-08-31T00:00:00"/>
    <m/>
    <n v="10.5"/>
    <n v="0"/>
    <n v="8.5"/>
    <n v="-0.19047619047619047"/>
    <m/>
    <s v="Normal"/>
    <m/>
    <n v="0.5"/>
    <n v="0.5"/>
    <n v="0.5"/>
    <n v="0.5"/>
    <m/>
    <n v="0.5"/>
    <n v="0.5"/>
    <n v="0.5"/>
    <n v="0.5"/>
    <n v="0.5"/>
    <m/>
    <n v="0.5"/>
    <n v="0.5"/>
    <n v="0.5"/>
    <n v="0.5"/>
    <n v="0.5"/>
    <n v="0.5"/>
    <n v="0.5"/>
    <n v="0.5"/>
    <m/>
    <m/>
    <m/>
    <m/>
  </r>
  <r>
    <x v="8"/>
    <s v="STI-1599"/>
    <s v="Carga y validación de documentos: upload multipart, análisis con AWS Bedrock y almacenamiento en S3"/>
    <s v="UAT"/>
    <d v="2026-08-06T00:00:00"/>
    <d v="2026-08-04T00:00:00"/>
    <n v="16"/>
    <n v="0"/>
    <n v="16"/>
    <n v="0"/>
    <n v="0"/>
    <s v="Normal"/>
    <m/>
    <n v="8"/>
    <n v="8"/>
    <m/>
    <m/>
    <m/>
    <m/>
    <m/>
    <m/>
    <m/>
    <m/>
    <m/>
    <m/>
    <m/>
    <m/>
    <m/>
    <m/>
    <m/>
    <m/>
    <m/>
    <m/>
    <m/>
    <m/>
    <m/>
  </r>
  <r>
    <x v="8"/>
    <s v="STI-1646"/>
    <s v="Agregar nuevo status para reservas no procesadas"/>
    <s v="UAT"/>
    <d v="2026-08-10T00:00:00"/>
    <d v="2026-08-13T00:00:00"/>
    <n v="24"/>
    <n v="0"/>
    <n v="24"/>
    <n v="0"/>
    <n v="0"/>
    <s v="Normal"/>
    <m/>
    <m/>
    <m/>
    <n v="8"/>
    <n v="4"/>
    <m/>
    <n v="8"/>
    <n v="4"/>
    <m/>
    <m/>
    <m/>
    <m/>
    <m/>
    <m/>
    <m/>
    <m/>
    <m/>
    <m/>
    <m/>
    <m/>
    <m/>
    <m/>
    <m/>
    <m/>
  </r>
  <r>
    <x v="8"/>
    <s v="STI-1661"/>
    <s v="[Iberia] Se esta mandando el payment_id vacio hacia Gravty"/>
    <s v="UAT"/>
    <d v="2026-08-13T00:00:00"/>
    <d v="2026-08-13T00:00:00"/>
    <n v="4"/>
    <n v="0"/>
    <n v="4"/>
    <n v="0"/>
    <n v="0"/>
    <s v="Normal"/>
    <m/>
    <m/>
    <m/>
    <m/>
    <m/>
    <m/>
    <m/>
    <n v="4"/>
    <m/>
    <m/>
    <m/>
    <m/>
    <m/>
    <m/>
    <m/>
    <m/>
    <m/>
    <m/>
    <m/>
    <m/>
    <m/>
    <m/>
    <m/>
    <m/>
  </r>
  <r>
    <x v="8"/>
    <s v="STI-1658"/>
    <s v="Servicio que regrese el Token de MyIdTravel validando el JWT del Generic API"/>
    <s v="UAT"/>
    <d v="2026-08-17T00:00:00"/>
    <d v="2026-08-13T00:00:00"/>
    <n v="16"/>
    <n v="0"/>
    <n v="16"/>
    <n v="0"/>
    <n v="0"/>
    <s v="Normal"/>
    <m/>
    <m/>
    <m/>
    <m/>
    <m/>
    <m/>
    <m/>
    <m/>
    <n v="8"/>
    <n v="8"/>
    <m/>
    <m/>
    <m/>
    <m/>
    <m/>
    <m/>
    <m/>
    <m/>
    <m/>
    <m/>
    <m/>
    <m/>
    <m/>
    <m/>
  </r>
  <r>
    <x v="8"/>
    <s v="STI-1660"/>
    <s v="Manejo de sesiones con el OTP, para que puedan editar todo lo necesario en un periodo de tiempo"/>
    <s v="UAT"/>
    <d v="2026-08-20T00:00:00"/>
    <d v="2026-08-18T00:00:00"/>
    <n v="16"/>
    <n v="0"/>
    <n v="16"/>
    <n v="0"/>
    <n v="0"/>
    <s v="Normal"/>
    <m/>
    <m/>
    <m/>
    <m/>
    <m/>
    <m/>
    <m/>
    <m/>
    <m/>
    <m/>
    <m/>
    <n v="8"/>
    <n v="8"/>
    <m/>
    <m/>
    <m/>
    <m/>
    <m/>
    <m/>
    <m/>
    <m/>
    <m/>
    <m/>
    <m/>
  </r>
  <r>
    <x v="8"/>
    <s v="STI-1664"/>
    <s v="Unificar Empleados con Beneficiarios"/>
    <s v="UAT"/>
    <d v="2026-08-20T00:00:00"/>
    <d v="2026-08-20T00:00:00"/>
    <n v="16"/>
    <n v="0"/>
    <n v="16"/>
    <n v="0"/>
    <n v="0"/>
    <s v="Normal"/>
    <m/>
    <m/>
    <m/>
    <m/>
    <m/>
    <m/>
    <m/>
    <m/>
    <m/>
    <m/>
    <m/>
    <m/>
    <m/>
    <n v="8"/>
    <n v="8"/>
    <m/>
    <m/>
    <m/>
    <m/>
    <m/>
    <m/>
    <m/>
    <m/>
    <m/>
  </r>
  <r>
    <x v="6"/>
    <s v="STI-1688"/>
    <s v="[Transactions] Revisión de casos operativos"/>
    <s v="En revisión "/>
    <d v="2026-09-01T00:00:00"/>
    <m/>
    <n v="8"/>
    <n v="0"/>
    <n v="4"/>
    <n v="-0.5"/>
    <n v="0"/>
    <s v="Normal"/>
    <m/>
    <m/>
    <m/>
    <m/>
    <n v="4"/>
    <m/>
    <m/>
    <m/>
    <m/>
    <m/>
    <m/>
    <m/>
    <m/>
    <m/>
    <m/>
    <m/>
    <m/>
    <m/>
    <m/>
    <m/>
    <m/>
    <m/>
    <m/>
    <m/>
  </r>
  <r>
    <x v="7"/>
    <s v="STI-1683"/>
    <s v="Nuevo servicio standby list"/>
    <s v="To be discussed"/>
    <m/>
    <m/>
    <m/>
    <n v="0"/>
    <n v="8"/>
    <s v=""/>
    <m/>
    <s v="Sin estimación"/>
    <m/>
    <m/>
    <m/>
    <m/>
    <m/>
    <m/>
    <m/>
    <m/>
    <m/>
    <m/>
    <m/>
    <m/>
    <m/>
    <m/>
    <m/>
    <m/>
    <m/>
    <m/>
    <m/>
    <m/>
    <m/>
    <m/>
    <m/>
    <n v="8"/>
  </r>
  <r>
    <x v="8"/>
    <s v="STI-1595"/>
    <s v="CRUD Relaciones - Gestión de tipos de parentesco y sus documentos requeridos por tipo"/>
    <s v="UAT"/>
    <d v="2026-08-27T00:00:00"/>
    <d v="2026-08-27T00:00:00"/>
    <n v="16"/>
    <n v="0"/>
    <n v="8"/>
    <n v="-0.5"/>
    <n v="0"/>
    <s v="Normal"/>
    <m/>
    <m/>
    <m/>
    <m/>
    <m/>
    <m/>
    <m/>
    <m/>
    <m/>
    <m/>
    <m/>
    <m/>
    <m/>
    <m/>
    <m/>
    <m/>
    <m/>
    <m/>
    <m/>
    <m/>
    <n v="8"/>
    <m/>
    <m/>
    <m/>
  </r>
  <r>
    <x v="8"/>
    <s v="STI-1677"/>
    <s v="Nuevo endpoint de estadisticas"/>
    <s v="UAT"/>
    <d v="2026-08-28T00:00:00"/>
    <d v="2026-08-27T00:00:00"/>
    <n v="8"/>
    <n v="0"/>
    <n v="8"/>
    <n v="0"/>
    <n v="0"/>
    <s v="Normal"/>
    <m/>
    <m/>
    <m/>
    <m/>
    <m/>
    <m/>
    <m/>
    <m/>
    <m/>
    <m/>
    <m/>
    <m/>
    <m/>
    <m/>
    <m/>
    <m/>
    <m/>
    <m/>
    <m/>
    <n v="8"/>
    <m/>
    <m/>
    <m/>
    <m/>
  </r>
  <r>
    <x v="8"/>
    <s v="STI-1689"/>
    <s v="Agregar nuevos endpoints al OTP session"/>
    <s v="En proceso"/>
    <m/>
    <m/>
    <n v="4"/>
    <n v="0"/>
    <n v="4"/>
    <n v="0"/>
    <n v="0"/>
    <s v="Normal"/>
    <m/>
    <m/>
    <m/>
    <m/>
    <m/>
    <m/>
    <m/>
    <m/>
    <m/>
    <m/>
    <m/>
    <m/>
    <m/>
    <m/>
    <m/>
    <m/>
    <m/>
    <m/>
    <m/>
    <m/>
    <m/>
    <m/>
    <m/>
    <n v="4"/>
  </r>
  <r>
    <x v="8"/>
    <s v="STI-1694"/>
    <s v="Revisar CORS de Staff Travel API y validación de Beneficiario"/>
    <s v="En proceso"/>
    <d v="2026-09-02T00:00:00"/>
    <m/>
    <n v="20"/>
    <n v="0"/>
    <n v="4"/>
    <n v="-0.8"/>
    <n v="0"/>
    <s v="Normal"/>
    <m/>
    <m/>
    <m/>
    <m/>
    <m/>
    <m/>
    <m/>
    <m/>
    <m/>
    <m/>
    <m/>
    <m/>
    <m/>
    <m/>
    <m/>
    <m/>
    <m/>
    <m/>
    <m/>
    <m/>
    <m/>
    <m/>
    <m/>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A01D3-5A22-4857-8848-D09C9E91E943}" name="TablaDinámica1" cacheId="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1" firstHeaderRow="1" firstDataRow="1" firstDataCol="1"/>
  <pivotFields count="37">
    <pivotField axis="axisRow" showAll="0">
      <items count="8">
        <item x="0"/>
        <item x="4"/>
        <item x="5"/>
        <item x="1"/>
        <item x="2"/>
        <item x="3"/>
        <item x="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a de Registrado Dic 25"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FA3ED0-D5C1-4B13-B549-76C5AE65349B}" name="Tabla dinámica1" cacheId="11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10" firstHeaderRow="1" firstDataRow="1" firstDataCol="1"/>
  <pivotFields count="36">
    <pivotField axis="axisRow" compact="0" outline="0" showAll="0">
      <items count="10">
        <item x="4"/>
        <item h="1" x="0"/>
        <item x="6"/>
        <item x="5"/>
        <item x="7"/>
        <item x="1"/>
        <item h="1" x="2"/>
        <item x="8"/>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4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7">
    <i>
      <x/>
    </i>
    <i>
      <x v="2"/>
    </i>
    <i>
      <x v="3"/>
    </i>
    <i>
      <x v="4"/>
    </i>
    <i>
      <x v="5"/>
    </i>
    <i>
      <x v="7"/>
    </i>
    <i t="grand">
      <x/>
    </i>
  </rowItems>
  <colItems count="1">
    <i/>
  </colItems>
  <dataFields count="1">
    <dataField name="Suma de Registrado Agosto26" fld="8"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51FC7-4992-4183-972B-C3951616F82B}" name="Riesgos" displayName="Riesgos" ref="A7:S10" totalsRowShown="0" headerRowDxfId="40" dataDxfId="39" headerRowBorderDxfId="37" tableBorderDxfId="38">
  <autoFilter ref="A7:S10" xr:uid="{00651FC7-4992-4183-972B-C3951616F82B}"/>
  <tableColumns count="19">
    <tableColumn id="1" xr3:uid="{B75173B1-A195-4A60-BDCC-41A659B54F0D}" name="ID" dataDxfId="36"/>
    <tableColumn id="2" xr3:uid="{1557F1D3-9AD5-4BE3-B2AF-7920BF372A4E}" name="Riesgo" dataDxfId="35"/>
    <tableColumn id="3" xr3:uid="{B1FF9584-C1BF-4F28-8DD2-AEA1F826C8DE}" name="Causas" dataDxfId="34"/>
    <tableColumn id="4" xr3:uid="{98041A9E-A168-462C-9C73-4A958CFC6BB7}" name="Consecuencias" dataDxfId="33"/>
    <tableColumn id="19" xr3:uid="{5D9721AA-DB04-4EF3-B071-3714784079A8}" name="Status" dataDxfId="32"/>
    <tableColumn id="5" xr3:uid="{1E8247C7-6102-48C3-9048-414EE118357C}" name="Prob In" dataDxfId="31"/>
    <tableColumn id="6" xr3:uid="{B4309F0A-8CD3-4DBD-AF71-271EE1355F89}" name="Imp" dataDxfId="30"/>
    <tableColumn id="7" xr3:uid="{5E4F23E0-9D71-49B2-BF4C-3FE3D36B9575}" name="Nivel Prob" dataDxfId="29">
      <calculatedColumnFormula>IF(F8&lt;&gt;"",IF(F8&lt;0.33,"Baja",IF(F8&lt;0.67,"Media","Alta")),"")</calculatedColumnFormula>
    </tableColumn>
    <tableColumn id="8" xr3:uid="{F53DE028-80A4-4F38-BA30-F039A61EAB5B}" name="Nivel Imp" dataDxfId="28">
      <calculatedColumnFormula>IF(G8&lt;&gt;"",IF(G8&lt;4,"Bajo",IF(G8&lt;=7,"Medio","Alto")),"")</calculatedColumnFormula>
    </tableColumn>
    <tableColumn id="9" xr3:uid="{3B4982C7-3D76-430A-8879-920D0DD272AB}" name="Nivel Riesgo" dataDxfId="27">
      <calculatedColumnFormula>IF(AND(F8&lt;&gt;"",G8&lt;&gt;""),IF(AND(H8="Alta",I8="Alto"),"Alto",IF(AND(H8="Alta",I8="Medio"),"Alto",IF(AND(H8="Alta",I8="Bajo"),"Medio",IF(AND(H8="Media",I8="Alto"),"Alto",IF(AND(H8="Media",I8="Medio"),"Medio",IF(AND(H8="Media",I8="Bajo"),"Bajo",IF(AND(H8="Baja",I8="Alto"),"Medio",IF(AND(H8="Baja",I8="Medio"),"Bajo",IF(AND(H8="Baja",I8="Bajo"),"Bajo"))))))))),"")</calculatedColumnFormula>
    </tableColumn>
    <tableColumn id="10" xr3:uid="{3557C3ED-633D-4CFA-A046-5C7EB063E662}" name="¿Comunicar al cliente?" dataDxfId="26"/>
    <tableColumn id="11" xr3:uid="{9402B5AE-FF08-42C2-9A75-4925C102F471}" name="Responsable" dataDxfId="25"/>
    <tableColumn id="12" xr3:uid="{8634E2C1-8A43-40A5-A64F-9E570B486AB6}" name="Controles /Contingencias" dataDxfId="24"/>
    <tableColumn id="13" xr3:uid="{56676D09-1952-4018-B8D9-880A2364F029}" name="Prob Res" dataDxfId="23"/>
    <tableColumn id="14" xr3:uid="{1FAD9365-B8AC-45BF-BBF2-A62785DD9D83}" name="Imp Res" dataDxfId="22"/>
    <tableColumn id="15" xr3:uid="{45DAD79E-8102-4384-AA10-1DDBAC77F790}" name="Nivel ProbR" dataDxfId="21">
      <calculatedColumnFormula>IF(N8&lt;&gt;"",IF(N8&lt;0.33,"Baja",IF(N8&lt;0.67,"Media","Alta")),"")</calculatedColumnFormula>
    </tableColumn>
    <tableColumn id="16" xr3:uid="{AFBB8C73-E17B-44A4-8647-1A6C42093A27}" name="Nivel ImpR" dataDxfId="20">
      <calculatedColumnFormula>IF(O8&lt;&gt;"",IF(O8&lt;4,"Bajo",IF(O8&lt;=7,"Medio","Alto")),"")</calculatedColumnFormula>
    </tableColumn>
    <tableColumn id="17" xr3:uid="{A589A56E-91A5-47E7-A7F5-01B18E568775}" name="Riesgo Residual" dataDxfId="19">
      <calculatedColumnFormula>IF(AND(N8&lt;&gt;"",O8&lt;&gt;""),IF(AND(P8="Alta",Q8="Alto"),"Alto",IF(AND(P8="Alta",Q8="Medio"),"Alto",IF(AND(P8="Alta",Q8="Bajo"),"Medio",IF(AND(P8="Media",Q8="Alto"),"Alto",IF(AND(P8="Media",Q8="Medio"),"Medio",IF(AND(P8="Media",Q8="Bajo"),"Bajo",IF(AND(P8="Baja",Q8="Alto"),"Medio",IF(AND(P8="Baja",Q8="Medio"),"Bajo",IF(AND(P8="Baja",Q8="Bajo"),"Bajo"))))))))),"")</calculatedColumnFormula>
    </tableColumn>
    <tableColumn id="18" xr3:uid="{F727D413-EA84-4997-82CC-BFDBC8CAF78D}" name="Seguimiento" dataDxfId="18"/>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5-11-04T13:55:42.04" personId="{00000000-0000-0000-0000-000000000000}" id="{510F5215-EDF7-422F-BF4C-6BE0AE457DAB}">
    <text>Agosto-Sep-Oct-Nov-Dic25-En26-Feb26-Mar26-Abril26-Mayo26-Junio26-Julio26</text>
  </threadedComment>
  <threadedComment ref="R1" dT="2026-07-08T20:40:21.38" personId="{AAF3FDEC-9D65-46F4-B578-CA7E104364B3}" id="{639DD4F3-7518-4841-B30A-0844812046B7}">
    <text>Festivo</text>
  </threadedComment>
  <threadedComment ref="X1" dT="2026-08-27T22:15:20.67" personId="{AAF3FDEC-9D65-46F4-B578-CA7E104364B3}" id="{18CFC6C3-E902-43FD-B32B-C0AEA39628F4}">
    <text>Festivo</text>
  </threadedComment>
  <threadedComment ref="G4" dT="2026-04-14T22:36:33.28" personId="{AAF3FDEC-9D65-46F4-B578-CA7E104364B3}" id="{EEAB92BD-1B59-4D2B-8F01-1CA86D5A95D4}">
    <text>0904: Se adicionan 5h</text>
  </threadedComment>
  <threadedComment ref="K40" dT="2025-12-11T01:23:31.75" personId="{00000000-0000-0000-0000-000000000000}" id="{4E7AFDCB-5419-4584-AE96-F95DF0EFCE9F}">
    <text>Existe una in review, sin embargo no corresponde a Eric</text>
  </threadedComment>
  <threadedComment ref="K40" dT="2025-12-22T15:43:52.28" personId="{00000000-0000-0000-0000-000000000000}" id="{D3CAC054-683E-4676-B78D-E37EB25F61B4}" parentId="{4E7AFDCB-5419-4584-AE96-F95DF0EFCE9F}">
    <text>Refactorización de viva</text>
  </threadedComment>
  <threadedComment ref="C45" dT="2025-12-19T22:50:43.80" personId="{00000000-0000-0000-0000-000000000000}" id="{0DA6700D-5140-496B-B53B-BA5600727157}">
    <text>Ticket de investigación, no se estima</text>
  </threadedComment>
  <threadedComment ref="G50" dT="2026-01-23T14:53:30.62" personId="{AAF3FDEC-9D65-46F4-B578-CA7E104364B3}" id="{8A2B9137-D2C9-4851-AB95-FCE72262E328}">
    <text>2602 Piotor adiciona 3h- S1302- Se adicionan 8h  por cambios solicitados - 0302- Se sumaron 2h por cambios solicitados en PR. 2301-Se suman 8h al ticket inicial por concepto de cambio de alcance 6+8</text>
  </threadedComment>
  <threadedComment ref="D52" dT="2026-06-25T15:36:47.82" personId="{AAF3FDEC-9D65-46F4-B578-CA7E104364B3}" id="{7A3A0DFF-44F5-4BF9-9F68-C8D90C342525}">
    <text>Reasigando en junio</text>
  </threadedComment>
  <threadedComment ref="G53" dT="2026-02-05T14:37:44.91" personId="{AAF3FDEC-9D65-46F4-B578-CA7E104364B3}" id="{C0E07545-5CB6-46FF-8B43-8E9D4041CA0F}">
    <text>0502-Se corrige después de enviar,dado que hubo un error en el ingreso del valor inicial que estaba en 16.</text>
  </threadedComment>
  <threadedComment ref="D67" dT="2026-06-25T15:36:47.82" personId="{AAF3FDEC-9D65-46F4-B578-CA7E104364B3}" id="{3BBD1AEF-E6CF-4B97-8CD8-1FFA6FF340EE}">
    <text>Reasigando en junio</text>
  </threadedComment>
  <threadedComment ref="G74" dT="2026-05-13T14:53:31.42" personId="{AAF3FDEC-9D65-46F4-B578-CA7E104364B3}" id="{7E21BACC-9CCE-4EAC-A69B-CDF637657B9D}">
    <text>0105: Piotor aumenta 2h: 24 +2</text>
  </threadedComment>
  <threadedComment ref="K82" dT="2025-12-11T02:37:56.34" personId="{00000000-0000-0000-0000-000000000000}" id="{C71EE97F-9BDE-45CC-9366-1DCB38062EF4}">
    <text>No hay in review registrada para Luis, si hay registros de Eric</text>
  </threadedComment>
  <threadedComment ref="K103" dT="2025-12-10T04:33:56.23" personId="{00000000-0000-0000-0000-000000000000}" id="{2B6BA45B-8283-4429-B64C-5E9D653789B4}">
    <text>0912- Se reporta a polonia pq el pipeline de despliegue está fallando</text>
  </threadedComment>
  <threadedComment ref="K106" dT="2025-12-10T04:35:26.70" personId="{00000000-0000-0000-0000-000000000000}" id="{124AB8A0-39AD-4B98-A3B6-3DF82266137D}">
    <text>0912- pequeño feedback de un ajuste para no mantener código legacy</text>
  </threadedComment>
  <threadedComment ref="G109" dT="2026-02-27T22:29:21.05" personId="{AAF3FDEC-9D65-46F4-B578-CA7E104364B3}" id="{A9B18E07-56BD-48FD-B5A4-35DE767CC399}">
    <text>2502-Se adicionan 6 horas, 28+6</text>
  </threadedComment>
  <threadedComment ref="G110" dT="2025-11-22T01:09:44.85" personId="{00000000-0000-0000-0000-000000000000}" id="{B25CC38C-1237-4A41-9AA1-FB062E9EE3C9}">
    <text>2111- Se suman 16 horas adicionales por cambio de alcance, previamente socializadas con Alex pq el ticket viene de un año atrás.</text>
  </threadedComment>
  <threadedComment ref="G111" dT="2026-02-27T22:32:22.87" personId="{AAF3FDEC-9D65-46F4-B578-CA7E104364B3}" id="{F0F9EF19-5B08-4EA8-8BDF-7BBD0EDC4D7A}">
    <text>0902: Se adicionan 2horas- 35+2-2301: se adicionan 3 horas 32+3</text>
  </threadedComment>
  <threadedComment ref="D145" dT="2026-06-25T15:36:47.82" personId="{AAF3FDEC-9D65-46F4-B578-CA7E104364B3}" id="{804B0737-B877-4C7A-AF39-61AA3D8AF3A7}">
    <text>Reasigando en junio</text>
  </threadedComment>
  <threadedComment ref="K156" dT="2025-12-11T02:37:56.34" personId="{00000000-0000-0000-0000-000000000000}" id="{59644086-9C6E-49B3-8ADA-63560C23A3BB}">
    <text>No hay in review registrada para Luis, si hay registros de Eric</text>
  </threadedComment>
  <threadedComment ref="K157" dT="2025-12-11T02:37:56.34" personId="{00000000-0000-0000-0000-000000000000}" id="{18EA1354-B82D-483D-B9F3-CF6E660E9200}">
    <text>No hay in review registrada para Luis, si hay registros de Eric</text>
  </threadedComment>
  <threadedComment ref="K158" dT="2025-12-11T02:37:56.34" personId="{00000000-0000-0000-0000-000000000000}" id="{7870B02D-BC35-4F89-8327-AFA6323398AF}">
    <text>No hay in review registrada para Luis, si hay registros de Eric</text>
  </threadedComment>
  <threadedComment ref="K159" dT="2025-12-11T02:37:56.34" personId="{00000000-0000-0000-0000-000000000000}" id="{7337D058-4B25-44DE-8A43-D4D7BD904432}">
    <text>No hay in review registrada para Luis, si hay registros de Eric</text>
  </threadedComment>
  <threadedComment ref="D184" dT="2026-06-25T15:36:47.82" personId="{AAF3FDEC-9D65-46F4-B578-CA7E104364B3}" id="{D2A5DEE3-D368-4492-A291-38911640B0C0}">
    <text>Reasigando en junio</text>
  </threadedComment>
  <threadedComment ref="G229" dT="2026-02-20T23:35:07.14" personId="{AAF3FDEC-9D65-46F4-B578-CA7E104364B3}" id="{19D4CAAD-B229-4507-9E6B-6DDF35D8E448}">
    <text>2602: Se agregan 8h más por alcances adicionales: 40+8. Se adicionan 12 horas más a la estimación original 28+12</text>
  </threadedComment>
  <threadedComment ref="G260" dT="2026-04-24T23:14:52.21" personId="{AAF3FDEC-9D65-46F4-B578-CA7E104364B3}" id="{64C38CAE-6813-4D7C-987C-D27980BF085C}">
    <text>2404: Se agrega 1 d: 32+8</text>
  </threadedComment>
  <threadedComment ref="G261" dT="2026-03-06T18:13:22.74" personId="{AAF3FDEC-9D65-46F4-B578-CA7E104364B3}" id="{76D72BDB-51EA-4130-9297-F6994BE822D3}">
    <text>0503-Se adicionaron 20 horas porq se amplío el requerimiento 36+20</text>
  </threadedComment>
  <threadedComment ref="G264" dT="2026-03-21T23:33:07.57" personId="{AAF3FDEC-9D65-46F4-B578-CA7E104364B3}" id="{128CB127-4176-4B15-ACA6-D44A804E4935}">
    <text>2003: Se adiciona 1d por cambio de alcance: 48+8-2602:Se adiciona 1d por cambio de alcance- 40+8</text>
  </threadedComment>
  <threadedComment ref="G269" dT="2026-02-28T00:10:23.16" personId="{AAF3FDEC-9D65-46F4-B578-CA7E104364B3}" id="{D5190365-38FB-436F-9415-6E6D39F0C551}">
    <text xml:space="preserve">2602: Se agregan 11 horas a la estimación original - 11+5
</text>
  </threadedComment>
  <threadedComment ref="G270" dT="2026-02-28T00:13:50.12" personId="{AAF3FDEC-9D65-46F4-B578-CA7E104364B3}" id="{E436C966-2A66-459A-A4D0-5959273EAADA}">
    <text>2602: Se agregan 2 horas por cambios- 5+2</text>
  </threadedComment>
  <threadedComment ref="G273" dT="2026-03-06T18:44:38.52" personId="{AAF3FDEC-9D65-46F4-B578-CA7E104364B3}" id="{150B5DBE-AD6E-4DB4-A58A-7A6F8D42535D}">
    <text>0503-Se adicionan 4 horas 8+4</text>
  </threadedComment>
  <threadedComment ref="G274" dT="2026-03-21T23:30:23.99" personId="{AAF3FDEC-9D65-46F4-B578-CA7E104364B3}" id="{2C996FA5-ED92-4CC6-984A-FF01A7709E15}">
    <text>1803: Se corrige la estimación que estaba por 4 días: 32h</text>
  </threadedComment>
  <threadedComment ref="I278" dT="2026-04-06T21:36:31.76" personId="{AAF3FDEC-9D65-46F4-B578-CA7E104364B3}" id="{9F496A0D-2D68-4A3F-8D89-615A079D290D}">
    <text>0604-Se corrige valor de 16 a 8 por error de digitación enviado el 3103</text>
  </threadedComment>
  <threadedComment ref="G279" dT="2026-05-16T00:21:15.38" personId="{AAF3FDEC-9D65-46F4-B578-CA7E104364B3}" id="{77F6DD22-B231-4D5C-80CC-0F81F19F7081}">
    <text>1505: se agregan 8h por cambio de alcance- 32+8</text>
  </threadedComment>
  <threadedComment ref="H279" dT="2026-05-13T14:30:40.71" personId="{AAF3FDEC-9D65-46F4-B578-CA7E104364B3}" id="{A4F3986B-FFFF-4DF6-B3AF-19AE04EF50BA}">
    <text>1305: Se corrige el valor de 8 a 3 por error en la digitación</text>
  </threadedComment>
  <threadedComment ref="G281" dT="2026-03-31T23:22:57.90" personId="{AAF3FDEC-9D65-46F4-B578-CA7E104364B3}" id="{CDA41282-D1D3-4965-B98D-A977935D75EC}">
    <text>3103: Se incrementan 16h por cambios de alcance: 32+16</text>
  </threadedComment>
  <threadedComment ref="H291" dT="2026-05-13T14:31:00.54" personId="{AAF3FDEC-9D65-46F4-B578-CA7E104364B3}" id="{D5104BA7-BC48-402F-84B1-94D1AED81FC4}">
    <text>1305: Se corrige el valor de 0 a 5 por error en la digitación</text>
  </threadedComment>
  <threadedComment ref="G335" dT="2025-11-14T01:50:47.08" personId="{00000000-0000-0000-0000-000000000000}" id="{F9701F7A-A620-4E9C-87DC-989A5DD577FA}">
    <text>2811 se agregan 8h por fix- S13112025 36+10h por cambios solicitados por Belem</text>
  </threadedComment>
  <threadedComment ref="D336" dT="2025-12-06T00:25:42.12" personId="{00000000-0000-0000-0000-000000000000}" id="{022A4BA8-0D95-4124-BE3C-7A28DF7206B6}">
    <text>03122025-Se coloca en pausa hasta redefinir el alcance nuevo del servicio</text>
  </threadedComment>
  <threadedComment ref="G342" dT="2026-03-06T18:55:08.51" personId="{AAF3FDEC-9D65-46F4-B578-CA7E104364B3}" id="{36FA21C2-683E-40C9-B78A-8C9B389DF161}">
    <text>0503: Se adicionan 38h a la estimación original por nuevas funcionalidades- 40+38</text>
  </threadedComment>
  <threadedComment ref="G344" dT="2025-11-14T02:40:28.86" personId="{00000000-0000-0000-0000-000000000000}" id="{F05E7F3F-AD9E-40E3-9D6E-3B99798B63CF}">
    <text>1211- se aumentan 8 horas 46+8</text>
  </threadedComment>
  <threadedComment ref="G344" dT="2025-12-13T00:11:28.33" personId="{00000000-0000-0000-0000-000000000000}" id="{81615611-327D-4FA2-BD51-437B2BED9D3F}" parentId="{F05E7F3F-AD9E-40E3-9D6E-3B99798B63CF}">
    <text>Se agregan 4 horas -Se adicionó una nueva validación para el fee WBAAWP</text>
  </threadedComment>
  <threadedComment ref="G346" dT="2026-02-20T13:49:12.77" personId="{AAF3FDEC-9D65-46F4-B578-CA7E104364B3}" id="{0896E3D8-4657-4468-8F30-DC78EAEF6517}">
    <text>0503: Se agregan 8 horas: 556+8- S1902-Se agregan 31 horas a la estimación original. 25+31</text>
  </threadedComment>
  <threadedComment ref="D348" dT="2025-12-05T19:57:24.43" personId="{00000000-0000-0000-0000-000000000000}" id="{DBDD2142-0343-4B62-AB22-964B58934003}">
    <text>05122025 Se regresa por solicitud de Belém</text>
  </threadedComment>
  <threadedComment ref="D348" dT="2026-08-19T01:12:16.71" personId="{AAF3FDEC-9D65-46F4-B578-CA7E104364B3}" id="{11104E89-9958-4F3F-852A-C3E1500B8F8D}" parentId="{DBDD2142-0343-4B62-AB22-964B58934003}">
    <text xml:space="preserve">Se retoma en julio 2026
</text>
  </threadedComment>
  <threadedComment ref="E348" dT="2026-08-19T01:11:34.04" personId="{AAF3FDEC-9D65-46F4-B578-CA7E104364B3}" id="{E4B5C30C-A031-4478-8F21-31267C779091}">
    <text>Se cambia la feha del 30/01 al 14/08</text>
  </threadedComment>
  <threadedComment ref="G348" dT="2025-12-05T23:41:29.93" personId="{00000000-0000-0000-0000-000000000000}" id="{AF9A2AAD-C95E-4163-BDDD-76849CD8CCB8}">
    <text xml:space="preserve">05122025 + 24 horas por nuevas funcionalidades de Belém
</text>
  </threadedComment>
  <threadedComment ref="G348" dT="2026-01-30T22:03:03.25" personId="{AAF3FDEC-9D65-46F4-B578-CA7E104364B3}" id="{E0FCACCF-D0B8-4635-9968-101C1F8DA21F}" parentId="{AF9A2AAD-C95E-4163-BDDD-76849CD8CCB8}">
    <text>Se agregan 24 horas por nuevas funcionalidades solcitadas por Belem 51+24</text>
  </threadedComment>
  <threadedComment ref="G348" dT="2026-08-19T01:10:33.38" personId="{AAF3FDEC-9D65-46F4-B578-CA7E104364B3}" id="{365C43B7-3C9E-41B3-8F81-E4FB64ABDA4B}" parentId="{AF9A2AAD-C95E-4163-BDDD-76849CD8CCB8}">
    <text xml:space="preserve">se aumentan horas: total 227 desde el 10/07
</text>
  </threadedComment>
  <threadedComment ref="G349" dT="2025-12-03T14:04:54.58" personId="{00000000-0000-0000-0000-000000000000}" id="{A9A67127-6ED0-498B-8679-5A4808239A8C}">
    <text>Se incrementaron 24 hr comprende configuración, liberación y monitoreo a PRod</text>
  </threadedComment>
  <threadedComment ref="G349" dT="2025-12-12T02:40:17.37" personId="{00000000-0000-0000-0000-000000000000}" id="{D3765D49-F226-49D5-9882-7A2BBC5F2806}" parentId="{A9A67127-6ED0-498B-8679-5A4808239A8C}">
    <text>A petición de @edgar.gallegos se realizó un cambio para obtener todos los estados de la maleta sin excepción. Se añadió 8 horas de desarrollo.</text>
  </threadedComment>
  <threadedComment ref="E359" dT="2026-08-19T01:22:13.93" personId="{AAF3FDEC-9D65-46F4-B578-CA7E104364B3}" id="{9A13AC54-B455-4FAD-8A85-DA29E215DE96}">
    <text>junio 26, cambia a 26/06</text>
  </threadedComment>
  <threadedComment ref="G359" dT="2026-08-19T01:21:27.01" personId="{AAF3FDEC-9D65-46F4-B578-CA7E104364B3}" id="{9B1642E8-3EE8-4121-A5E6-AD134CEB825A}">
    <text>24/06 pasa de 72 a 104 horas</text>
  </threadedComment>
  <threadedComment ref="G360" dT="2026-01-21T15:49:44.27" personId="{AAF3FDEC-9D65-46F4-B578-CA7E104364B3}" id="{2918D25A-3D3C-43E3-868A-37A3B4DFA0AB}">
    <text>2001- Se agregan 13 horas al ticket</text>
  </threadedComment>
  <threadedComment ref="G365" dT="2026-04-17T22:16:03.98" personId="{AAF3FDEC-9D65-46F4-B578-CA7E104364B3}" id="{122EDE0C-26A1-473C-AE68-5312B50A935B}">
    <text>1704: Se agregan 5h por cambio de alcance</text>
  </threadedComment>
  <threadedComment ref="G368" dT="2026-02-28T00:39:13.35" personId="{AAF3FDEC-9D65-46F4-B578-CA7E104364B3}" id="{E2663721-8523-48EB-B1CC-260D5544AE06}">
    <text>1004: Se suman 16 horas adicionales por bugfix 101+16-2602: Se suman 32 horas cambio de alcance- 69+32</text>
  </threadedComment>
  <threadedComment ref="G368" dT="2026-04-17T22:16:32.00" personId="{AAF3FDEC-9D65-46F4-B578-CA7E104364B3}" id="{BE353762-8624-435F-B8F2-CF128B06A739}" parentId="{E2663721-8523-48EB-B1CC-260D5544AE06}">
    <text>1704: Se agregan 10h por cambio de alcance: 117+10</text>
  </threadedComment>
  <threadedComment ref="E373" dT="2026-08-19T01:16:22.62" personId="{AAF3FDEC-9D65-46F4-B578-CA7E104364B3}" id="{3DC3640F-FDF2-4792-B4AE-5EFF3AA9B743}">
    <text>cambia de 25/05 a 11/08</text>
  </threadedComment>
  <threadedComment ref="G373" dT="2026-08-19T01:15:38.32" personId="{AAF3FDEC-9D65-46F4-B578-CA7E104364B3}" id="{3876360D-0BBD-4B03-97E3-D4E92B63F03F}">
    <text>17/07 se cambia estimación de 135 a 167 horas</text>
  </threadedComment>
  <threadedComment ref="G374" dT="2026-05-30T01:04:54.39" personId="{AAF3FDEC-9D65-46F4-B578-CA7E104364B3}" id="{A63A8B78-1D11-4956-A7B1-923FF555FF42}">
    <text>0606: se añaden 48 h más - 2905: Se añaden 24h por cambio de alcance 56+24+48</text>
  </threadedComment>
  <threadedComment ref="D402" dT="2025-12-19T22:32:24.88" personId="{00000000-0000-0000-0000-000000000000}" id="{5CC68143-23B0-4B20-8609-159093E2143C}">
    <text>e realiza implementación de componentes iniciales, se requieren data de ejemplo para validar el funcionamiento del ticket. se asigna el ticket a @Victor Gardea para desbloquear este paso.</text>
  </threadedComment>
  <threadedComment ref="G402" dT="2026-03-13T19:24:42.61" personId="{AAF3FDEC-9D65-46F4-B578-CA7E104364B3}" id="{9D757EE6-4FFD-4052-B663-5CC295804033}">
    <text>1203: Se adicionan 8h por cambios solicitados: 32+8</text>
  </threadedComment>
  <threadedComment ref="G408" dT="2025-11-06T15:49:42.80" personId="{00000000-0000-0000-0000-000000000000}" id="{BBCA9B9C-A598-4A66-8E39-2CBE9A5F4483}">
    <text xml:space="preserve">Estaba en 1 s 2d 4h ahora en 2 s (60 a 80)- 1811- se suman 5 días más (40 horas por solicitudes de alcance)
</text>
  </threadedComment>
  <threadedComment ref="D409" dT="2026-08-19T00:47:42.30" personId="{AAF3FDEC-9D65-46F4-B578-CA7E104364B3}" id="{A14E206F-437E-4CD3-9441-AACC96F74749}">
    <text>15/07 Se retoma con cambio de alcance</text>
  </threadedComment>
  <threadedComment ref="G409" dT="2026-08-19T00:48:56.88" personId="{AAF3FDEC-9D65-46F4-B578-CA7E104364B3}" id="{D6290944-B8BD-4996-897A-7430B8083582}">
    <text>Se adiciona 27.5 horas - 40 horas total - 15/07</text>
  </threadedComment>
  <threadedComment ref="G444" dT="2026-04-24T22:25:25.82" personId="{AAF3FDEC-9D65-46F4-B578-CA7E104364B3}" id="{E200D2E0-8BDF-4716-AA3A-5065E71F6545}">
    <text>2404: Se reestima en 4d más: 32+32</text>
  </threadedComment>
  <threadedComment ref="G454" dT="2026-03-13T20:35:21.82" personId="{AAF3FDEC-9D65-46F4-B578-CA7E104364B3}" id="{936E1EFD-D965-4D06-8FC2-EC1640E70C5E}">
    <text>0403:Se agregan 2h por cambio de alcance. 24+2</text>
  </threadedComment>
  <threadedComment ref="G463" dT="2026-04-17T21:40:32.12" personId="{AAF3FDEC-9D65-46F4-B578-CA7E104364B3}" id="{BF0551E2-F680-4165-8250-DD39A1C58F89}">
    <text>1604: Se adicionan 12 horas por adaptadores adicionales solicitados - 32+12 - 1304:Se adicionan 8 horas por ajustes solicitados- 24+8</text>
  </threadedComment>
  <threadedComment ref="G464" dT="2026-05-08T23:44:29.77" personId="{AAF3FDEC-9D65-46F4-B578-CA7E104364B3}" id="{3C1CBD58-3D46-440A-8A7E-B4399A47030D}">
    <text>0705: Se aumentan 4 horas por cambio de alcance- 6+3</text>
  </threadedComment>
  <threadedComment ref="G467" dT="2026-05-08T23:41:55.26" personId="{AAF3FDEC-9D65-46F4-B578-CA7E104364B3}" id="{C56F0D36-9A7A-464B-BCD4-37E5857F7443}">
    <text>0705: Se adiciona 20h por cambio de alcance- 48+20</text>
  </threadedComment>
  <threadedComment ref="G494" dT="2026-08-19T00:44:04.00" personId="{AAF3FDEC-9D65-46F4-B578-CA7E104364B3}" id="{498FF0C6-9E0E-40C3-9668-38EBF3A613FF}">
    <text xml:space="preserve">24/07 Se agrega 1 día más de 16 a 24
</text>
  </threadedComment>
  <threadedComment ref="X511" dT="2026-08-28T17:40:30.70" personId="{AAF3FDEC-9D65-46F4-B578-CA7E104364B3}" id="{EFEB2B84-9F0B-4019-905E-A2AF58F33475}">
    <text>Este festivo laboró Marvin y se repondrá en septiembre como día libre</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vivaaerobus.atlassian.net/browse/STI-604"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F9B4-83B5-4E6A-BD2C-69BE08AE1451}">
  <dimension ref="A1:AH109"/>
  <sheetViews>
    <sheetView topLeftCell="B12" workbookViewId="0">
      <selection activeCell="B14" sqref="B14"/>
    </sheetView>
  </sheetViews>
  <sheetFormatPr defaultColWidth="8.7109375" defaultRowHeight="14.45"/>
  <cols>
    <col min="2" max="2" width="28.140625" customWidth="1"/>
    <col min="3" max="3" width="37.85546875" customWidth="1"/>
    <col min="4" max="5" width="40.140625" customWidth="1"/>
    <col min="6" max="6" width="7.5703125" customWidth="1"/>
    <col min="8" max="8" width="9" customWidth="1"/>
    <col min="9" max="9" width="6.42578125" customWidth="1"/>
    <col min="12" max="12" width="10.42578125" customWidth="1"/>
    <col min="13" max="13" width="31.5703125" customWidth="1"/>
    <col min="14" max="14" width="5.7109375" customWidth="1"/>
    <col min="15" max="15" width="5.42578125" customWidth="1"/>
    <col min="19" max="19" width="36.7109375" customWidth="1"/>
  </cols>
  <sheetData>
    <row r="1" spans="1:34" ht="8.25" customHeight="1">
      <c r="A1" s="163"/>
      <c r="B1" s="163"/>
      <c r="C1" s="164" t="s">
        <v>0</v>
      </c>
      <c r="D1" s="165"/>
      <c r="E1" s="165"/>
      <c r="F1" s="165"/>
      <c r="G1" s="165"/>
      <c r="H1" s="165"/>
      <c r="I1" s="165"/>
      <c r="J1" s="165"/>
      <c r="K1" s="165"/>
      <c r="L1" s="165"/>
      <c r="M1" s="165"/>
      <c r="N1" s="165"/>
      <c r="O1" s="165"/>
      <c r="P1" s="165"/>
      <c r="Q1" s="165"/>
      <c r="R1" s="166"/>
      <c r="S1" s="7" t="s">
        <v>1</v>
      </c>
      <c r="V1" s="173" t="s">
        <v>2</v>
      </c>
      <c r="W1" s="270"/>
      <c r="X1" s="270"/>
      <c r="Y1" s="270"/>
      <c r="AA1" s="8" t="s">
        <v>3</v>
      </c>
      <c r="AD1" s="173" t="s">
        <v>4</v>
      </c>
      <c r="AE1" s="270"/>
      <c r="AF1" s="270"/>
      <c r="AG1" s="270"/>
    </row>
    <row r="2" spans="1:34" ht="8.25" customHeight="1">
      <c r="A2" s="163"/>
      <c r="B2" s="163"/>
      <c r="C2" s="167"/>
      <c r="D2" s="168"/>
      <c r="E2" s="168"/>
      <c r="F2" s="168"/>
      <c r="G2" s="168"/>
      <c r="H2" s="168"/>
      <c r="I2" s="168"/>
      <c r="J2" s="168"/>
      <c r="K2" s="168"/>
      <c r="L2" s="168"/>
      <c r="M2" s="168"/>
      <c r="N2" s="168"/>
      <c r="O2" s="168"/>
      <c r="P2" s="168"/>
      <c r="Q2" s="168"/>
      <c r="R2" s="169"/>
      <c r="S2" s="7" t="s">
        <v>5</v>
      </c>
      <c r="U2" s="174" t="s">
        <v>6</v>
      </c>
      <c r="V2" s="9" t="s">
        <v>7</v>
      </c>
      <c r="W2" s="10">
        <f>IF(AA2="Si",COUNTIFS(H:H,"Alta",I:I,"Bajo",K:K,"Si"),COUNTIFS(H:H,"Alta",I:I,"Bajo"))</f>
        <v>0</v>
      </c>
      <c r="X2" s="11">
        <f>IF(AA2="Si",COUNTIFS(H:H,"Alta",I:I,"Medio",K:K,"Si"),COUNTIFS(H:H,"Alta",I:I,"Medio"))</f>
        <v>0</v>
      </c>
      <c r="Y2" s="12">
        <f>IF(AA2="Si",COUNTIFS(H:H,"Alta",I:I,"Alto",K:K,"Si"),COUNTIFS(H:H,"Alta",I:I,"Alto"))</f>
        <v>6</v>
      </c>
      <c r="AA2" t="s">
        <v>8</v>
      </c>
      <c r="AC2" s="174" t="s">
        <v>6</v>
      </c>
      <c r="AD2" s="9" t="s">
        <v>7</v>
      </c>
      <c r="AE2" s="10">
        <f>IF(AA2="Si",COUNTIFS(P:P,"Alta",Q:Q,"Bajo",K:K,"Si"),COUNTIFS(P:P,"Alta",Q:Q,"Bajo"))</f>
        <v>0</v>
      </c>
      <c r="AF2" s="11">
        <f>IF(AA2="Si",COUNTIFS(P:P,"Alta",Q:Q,"Medio",K:K,"Si"),COUNTIFS(P:P,"Alta",Q:Q,"Medio"))</f>
        <v>0</v>
      </c>
      <c r="AG2" s="12">
        <f>IF(AA2="Si",COUNTIFS(P:P,"Alta",Q:Q,"Alto",K:K,"Si"),COUNTIFS(P:P,"Alta",Q:Q,"Alto"))</f>
        <v>0</v>
      </c>
    </row>
    <row r="3" spans="1:34" ht="8.25" customHeight="1">
      <c r="A3" s="163"/>
      <c r="B3" s="163"/>
      <c r="C3" s="167"/>
      <c r="D3" s="168"/>
      <c r="E3" s="168"/>
      <c r="F3" s="168"/>
      <c r="G3" s="168"/>
      <c r="H3" s="168"/>
      <c r="I3" s="168"/>
      <c r="J3" s="168"/>
      <c r="K3" s="168"/>
      <c r="L3" s="168"/>
      <c r="M3" s="168"/>
      <c r="N3" s="168"/>
      <c r="O3" s="168"/>
      <c r="P3" s="168"/>
      <c r="Q3" s="168"/>
      <c r="R3" s="169"/>
      <c r="S3" s="7" t="s">
        <v>9</v>
      </c>
      <c r="U3" s="174"/>
      <c r="V3" s="9" t="s">
        <v>10</v>
      </c>
      <c r="W3" s="13">
        <f>IF(AA2="Si",COUNTIFS(H:H,"Media",I:I,"Bajo",K:K,"Si"),COUNTIFS(H:H,"Media",I:I,"Bajo"))</f>
        <v>0</v>
      </c>
      <c r="X3" s="10">
        <f>IF(AA2="Si",COUNTIFS(H:H,"Media",I:I,"Medio",K:K,"Si"),COUNTIFS(H:H,"Media",I:I,"Medio"))</f>
        <v>0</v>
      </c>
      <c r="Y3" s="11">
        <f>IF(AA2="Si",COUNTIFS(H:H,"Media",I:I,"Alto",K:K,"Si"),COUNTIFS(H:H,"Media",I:I,"Alto"))</f>
        <v>0</v>
      </c>
      <c r="AC3" s="174"/>
      <c r="AD3" s="9" t="s">
        <v>10</v>
      </c>
      <c r="AE3" s="13">
        <f>IF(AA2="Si",COUNTIFS(P:P,"Media",Q:Q,"Bajo",K:K,"Si"),COUNTIFS(P:P,"Media",Q:Q,"Bajo"))</f>
        <v>0</v>
      </c>
      <c r="AF3" s="10">
        <f>IF(AA2="Si",COUNTIFS(P:P,"Media",Q:Q,"Medio",K:K,"Si"),COUNTIFS(P:P,"Media",Q:Q,"Medio"))</f>
        <v>2</v>
      </c>
      <c r="AG3" s="11">
        <f>IF(AA2="Si",COUNTIFS(P:P,"Media",Q:Q,"Alto",K:K,"Si"),COUNTIFS(P:P,"Media",Q:Q,"Alto"))</f>
        <v>4</v>
      </c>
    </row>
    <row r="4" spans="1:34" ht="8.25" customHeight="1">
      <c r="A4" s="163"/>
      <c r="B4" s="163"/>
      <c r="C4" s="167"/>
      <c r="D4" s="168"/>
      <c r="E4" s="168"/>
      <c r="F4" s="168"/>
      <c r="G4" s="168"/>
      <c r="H4" s="168"/>
      <c r="I4" s="168"/>
      <c r="J4" s="168"/>
      <c r="K4" s="168"/>
      <c r="L4" s="168"/>
      <c r="M4" s="168"/>
      <c r="N4" s="168"/>
      <c r="O4" s="168"/>
      <c r="P4" s="168"/>
      <c r="Q4" s="168"/>
      <c r="R4" s="169"/>
      <c r="S4" s="14" t="s">
        <v>11</v>
      </c>
      <c r="U4" s="174"/>
      <c r="V4" s="9" t="s">
        <v>12</v>
      </c>
      <c r="W4" s="13">
        <f>IF(AA2="Si",COUNTIFS(H:H,"Baja",I:I,"Bajo",K:K,"Si"),COUNTIFS(H:H,"Baja",I:I,"Bajo"))</f>
        <v>0</v>
      </c>
      <c r="X4" s="13">
        <f>IF(AA2="Si",COUNTIFS(H:H,"Baja",I:I,"Medio",K:K,"Si"),COUNTIFS(H:H,"Baja",I:I,"Medio"))</f>
        <v>0</v>
      </c>
      <c r="Y4" s="10">
        <f>IF(AA2="Si",COUNTIFS(H:H,"Baja",I:I,"Alto",K:K,"Si"),COUNTIFS(H:H,"Baja",I:I,"Alto"))</f>
        <v>0</v>
      </c>
      <c r="AC4" s="174"/>
      <c r="AD4" s="9" t="s">
        <v>12</v>
      </c>
      <c r="AE4" s="13">
        <f>IF(AA2="Si",COUNTIFS(P:P,"Baja",Q:Q,"Bajo",K:K,"Si"),COUNTIFS(P:P,"Baja",Q:Q,"Bajo"))</f>
        <v>0</v>
      </c>
      <c r="AF4" s="13">
        <f>IF(AA2="Si",COUNTIFS(P:P,"Baja",Q:Q,"Medio",K:K,"Si"),COUNTIFS(P:P,"Baja",Q:Q,"Medio"))</f>
        <v>0</v>
      </c>
      <c r="AG4" s="10">
        <f>IF(AA2="Si",COUNTIFS(P:P,"Baja",Q:Q,"Alto",K:K,"Si"),COUNTIFS(P:P,"Baja",Q:Q,"Alto"))</f>
        <v>0</v>
      </c>
    </row>
    <row r="5" spans="1:34" ht="8.25" customHeight="1">
      <c r="A5" s="163"/>
      <c r="B5" s="163"/>
      <c r="C5" s="170"/>
      <c r="D5" s="171"/>
      <c r="E5" s="171"/>
      <c r="F5" s="171"/>
      <c r="G5" s="171"/>
      <c r="H5" s="171"/>
      <c r="I5" s="171"/>
      <c r="J5" s="171"/>
      <c r="K5" s="171"/>
      <c r="L5" s="171"/>
      <c r="M5" s="171"/>
      <c r="N5" s="171"/>
      <c r="O5" s="171"/>
      <c r="P5" s="171"/>
      <c r="Q5" s="171"/>
      <c r="R5" s="172"/>
      <c r="S5" s="15" t="s">
        <v>13</v>
      </c>
      <c r="U5" s="174"/>
      <c r="V5" s="16"/>
      <c r="W5" s="17" t="s">
        <v>14</v>
      </c>
      <c r="X5" s="17" t="s">
        <v>15</v>
      </c>
      <c r="Y5" s="17" t="s">
        <v>16</v>
      </c>
      <c r="AC5" s="174"/>
      <c r="AD5" s="16"/>
      <c r="AE5" s="17" t="s">
        <v>14</v>
      </c>
      <c r="AF5" s="17" t="s">
        <v>15</v>
      </c>
      <c r="AG5" s="17" t="s">
        <v>16</v>
      </c>
    </row>
    <row r="6" spans="1:34">
      <c r="A6" s="18"/>
      <c r="W6" s="162" t="s">
        <v>17</v>
      </c>
      <c r="X6" s="162"/>
      <c r="Y6" s="162"/>
      <c r="AE6" s="162" t="s">
        <v>17</v>
      </c>
      <c r="AF6" s="162"/>
      <c r="AG6" s="162"/>
    </row>
    <row r="7" spans="1:34" ht="43.5">
      <c r="A7" s="19" t="s">
        <v>18</v>
      </c>
      <c r="B7" s="20" t="s">
        <v>19</v>
      </c>
      <c r="C7" s="20" t="s">
        <v>20</v>
      </c>
      <c r="D7" s="20" t="s">
        <v>21</v>
      </c>
      <c r="E7" s="20" t="s">
        <v>22</v>
      </c>
      <c r="F7" s="21" t="s">
        <v>23</v>
      </c>
      <c r="G7" s="20" t="s">
        <v>24</v>
      </c>
      <c r="H7" s="21" t="s">
        <v>25</v>
      </c>
      <c r="I7" s="21" t="s">
        <v>26</v>
      </c>
      <c r="J7" s="21" t="s">
        <v>27</v>
      </c>
      <c r="K7" s="21" t="s">
        <v>28</v>
      </c>
      <c r="L7" s="21" t="s">
        <v>29</v>
      </c>
      <c r="M7" s="20" t="s">
        <v>30</v>
      </c>
      <c r="N7" s="21" t="s">
        <v>31</v>
      </c>
      <c r="O7" s="21" t="s">
        <v>32</v>
      </c>
      <c r="P7" s="21" t="s">
        <v>33</v>
      </c>
      <c r="Q7" s="21" t="s">
        <v>34</v>
      </c>
      <c r="R7" s="21" t="s">
        <v>35</v>
      </c>
      <c r="S7" s="20" t="s">
        <v>36</v>
      </c>
    </row>
    <row r="8" spans="1:34" ht="168">
      <c r="A8" s="22" t="s">
        <v>37</v>
      </c>
      <c r="B8" s="23" t="s">
        <v>38</v>
      </c>
      <c r="C8" s="23" t="s">
        <v>39</v>
      </c>
      <c r="D8" s="23" t="s">
        <v>40</v>
      </c>
      <c r="E8" s="46" t="s">
        <v>41</v>
      </c>
      <c r="F8" s="24">
        <v>0.8</v>
      </c>
      <c r="G8" s="25">
        <v>8</v>
      </c>
      <c r="H8" s="25" t="str">
        <f t="shared" ref="H8:H71" si="0">IF(F8&lt;&gt;"",IF(F8&lt;0.33,"Baja",IF(F8&lt;0.67,"Media","Alta")),"")</f>
        <v>Alta</v>
      </c>
      <c r="I8" s="25" t="str">
        <f t="shared" ref="I8:I71" si="1">IF(G8&lt;&gt;"",IF(G8&lt;4,"Bajo",IF(G8&lt;=7,"Medio","Alto")),"")</f>
        <v>Alto</v>
      </c>
      <c r="J8" s="25" t="str">
        <f>IF(AND(F8&lt;&gt;"",G8&lt;&gt;""),IF(AND(H8="Alta",I8="Alto"),"Alto",IF(AND(H8="Alta",I8="Medio"),"Alto",IF(AND(H8="Alta",I8="Bajo"),"Medio",IF(AND(H8="Media",I8="Alto"),"Alto",IF(AND(H8="Media",I8="Medio"),"Medio",IF(AND(H8="Media",I8="Bajo"),"Bajo",IF(AND(H8="Baja",I8="Alto"),"Medio",IF(AND(H8="Baja",I8="Medio"),"Bajo",IF(AND(H8="Baja",I8="Bajo"),"Bajo"))))))))),"")</f>
        <v>Alto</v>
      </c>
      <c r="K8" s="25" t="s">
        <v>8</v>
      </c>
      <c r="L8" s="25" t="s">
        <v>42</v>
      </c>
      <c r="M8" s="23" t="s">
        <v>43</v>
      </c>
      <c r="N8" s="24">
        <v>0.5</v>
      </c>
      <c r="O8" s="25">
        <v>8</v>
      </c>
      <c r="P8" s="25" t="str">
        <f t="shared" ref="P8:P71" si="2">IF(N8&lt;&gt;"",IF(N8&lt;0.33,"Baja",IF(N8&lt;0.67,"Media","Alta")),"")</f>
        <v>Media</v>
      </c>
      <c r="Q8" s="25" t="str">
        <f t="shared" ref="Q8:Q71" si="3">IF(O8&lt;&gt;"",IF(O8&lt;4,"Bajo",IF(O8&lt;=7,"Medio","Alto")),"")</f>
        <v>Alto</v>
      </c>
      <c r="R8" s="25" t="str">
        <f t="shared" ref="R8:R71" si="4">IF(AND(N8&lt;&gt;"",O8&lt;&gt;""),IF(AND(P8="Alta",Q8="Alto"),"Alto",IF(AND(P8="Alta",Q8="Medio"),"Alto",IF(AND(P8="Alta",Q8="Bajo"),"Medio",IF(AND(P8="Media",Q8="Alto"),"Alto",IF(AND(P8="Media",Q8="Medio"),"Medio",IF(AND(P8="Media",Q8="Bajo"),"Bajo",IF(AND(P8="Baja",Q8="Alto"),"Medio",IF(AND(P8="Baja",Q8="Medio"),"Bajo",IF(AND(P8="Baja",Q8="Bajo"),"Bajo"))))))))),"")</f>
        <v>Alto</v>
      </c>
      <c r="S8" s="26" t="s">
        <v>44</v>
      </c>
      <c r="T8" s="18"/>
      <c r="U8" s="18"/>
      <c r="V8" s="18"/>
      <c r="W8" s="18"/>
      <c r="X8" s="18"/>
      <c r="Y8" s="18"/>
      <c r="Z8" s="18"/>
      <c r="AA8" s="18"/>
      <c r="AB8" s="18"/>
      <c r="AC8" s="18"/>
      <c r="AD8" s="18"/>
      <c r="AE8" s="18"/>
      <c r="AF8" s="18"/>
      <c r="AG8" s="18"/>
      <c r="AH8" s="18"/>
    </row>
    <row r="9" spans="1:34" ht="240">
      <c r="A9" s="23" t="s">
        <v>37</v>
      </c>
      <c r="B9" s="23" t="s">
        <v>45</v>
      </c>
      <c r="C9" s="23" t="s">
        <v>46</v>
      </c>
      <c r="D9" s="23" t="s">
        <v>47</v>
      </c>
      <c r="E9" s="47" t="s">
        <v>48</v>
      </c>
      <c r="F9" s="24">
        <v>0.8</v>
      </c>
      <c r="G9" s="25">
        <v>9</v>
      </c>
      <c r="H9" s="25" t="str">
        <f>IF(F9&lt;&gt;"",IF(F9&lt;0.33,"Baja",IF(F9&lt;0.67,"Media","Alta")),"")</f>
        <v>Alta</v>
      </c>
      <c r="I9" s="25" t="str">
        <f>IF(G9&lt;&gt;"",IF(G9&lt;4,"Bajo",IF(G9&lt;=7,"Medio","Alto")),"")</f>
        <v>Alto</v>
      </c>
      <c r="J9" s="25" t="str">
        <f>IF(AND(F9&lt;&gt;"",G9&lt;&gt;""),IF(AND(H9="Alta",I9="Alto"),"Alto",IF(AND(H9="Alta",I9="Medio"),"Alto",IF(AND(H9="Alta",I9="Bajo"),"Medio",IF(AND(H9="Media",I9="Alto"),"Alto",IF(AND(H9="Media",I9="Medio"),"Medio",IF(AND(H9="Media",I9="Bajo"),"Bajo",IF(AND(H9="Baja",I9="Alto"),"Medio",IF(AND(H9="Baja",I9="Medio"),"Bajo",IF(AND(H9="Baja",I9="Bajo"),"Bajo"))))))))),"")</f>
        <v>Alto</v>
      </c>
      <c r="K9" s="25" t="s">
        <v>8</v>
      </c>
      <c r="L9" s="25" t="s">
        <v>42</v>
      </c>
      <c r="M9" s="23" t="s">
        <v>49</v>
      </c>
      <c r="N9" s="24">
        <v>0.5</v>
      </c>
      <c r="O9" s="25">
        <v>8</v>
      </c>
      <c r="P9" s="25" t="str">
        <f>IF(N9&lt;&gt;"",IF(N9&lt;0.33,"Baja",IF(N9&lt;0.67,"Media","Alta")),"")</f>
        <v>Media</v>
      </c>
      <c r="Q9" s="25" t="str">
        <f>IF(O9&lt;&gt;"",IF(O9&lt;4,"Bajo",IF(O9&lt;=7,"Medio","Alto")),"")</f>
        <v>Alto</v>
      </c>
      <c r="R9" s="25" t="str">
        <f>IF(AND(N9&lt;&gt;"",O9&lt;&gt;""),IF(AND(P9="Alta",Q9="Alto"),"Alto",IF(AND(P9="Alta",Q9="Medio"),"Alto",IF(AND(P9="Alta",Q9="Bajo"),"Medio",IF(AND(P9="Media",Q9="Alto"),"Alto",IF(AND(P9="Media",Q9="Medio"),"Medio",IF(AND(P9="Media",Q9="Bajo"),"Bajo",IF(AND(P9="Baja",Q9="Alto"),"Medio",IF(AND(P9="Baja",Q9="Medio"),"Bajo",IF(AND(P9="Baja",Q9="Bajo"),"Bajo"))))))))),"")</f>
        <v>Alto</v>
      </c>
      <c r="S9" s="26" t="s">
        <v>50</v>
      </c>
      <c r="T9" s="18"/>
      <c r="U9" s="18"/>
      <c r="V9" s="18"/>
      <c r="W9" s="18"/>
      <c r="X9" s="18"/>
      <c r="Y9" s="18"/>
      <c r="Z9" s="18"/>
      <c r="AA9" s="18"/>
      <c r="AB9" s="18"/>
      <c r="AC9" s="18"/>
      <c r="AD9" s="18"/>
      <c r="AE9" s="18"/>
      <c r="AF9" s="18"/>
      <c r="AG9" s="18"/>
      <c r="AH9" s="18"/>
    </row>
    <row r="10" spans="1:34" ht="168.95">
      <c r="A10" s="23" t="s">
        <v>51</v>
      </c>
      <c r="B10" s="23" t="s">
        <v>52</v>
      </c>
      <c r="C10" s="23" t="s">
        <v>53</v>
      </c>
      <c r="D10" s="23" t="s">
        <v>54</v>
      </c>
      <c r="E10" s="46" t="s">
        <v>55</v>
      </c>
      <c r="F10" s="24">
        <v>0.8</v>
      </c>
      <c r="G10" s="25">
        <v>9</v>
      </c>
      <c r="H10" s="25" t="str">
        <f t="shared" si="0"/>
        <v>Alta</v>
      </c>
      <c r="I10" s="25" t="str">
        <f t="shared" si="1"/>
        <v>Alto</v>
      </c>
      <c r="J10" s="25" t="str">
        <f t="shared" ref="J10:J73" si="5">IF(AND(F10&lt;&gt;"",G10&lt;&gt;""),IF(AND(H10="Alta",I10="Alto"),"Alto",IF(AND(H10="Alta",I10="Medio"),"Alto",IF(AND(H10="Alta",I10="Bajo"),"Medio",IF(AND(H10="Media",I10="Alto"),"Alto",IF(AND(H10="Media",I10="Medio"),"Medio",IF(AND(H10="Media",I10="Bajo"),"Bajo",IF(AND(H10="Baja",I10="Alto"),"Medio",IF(AND(H10="Baja",I10="Medio"),"Bajo",IF(AND(H10="Baja",I10="Bajo"),"Bajo"))))))))),"")</f>
        <v>Alto</v>
      </c>
      <c r="K10" s="25" t="s">
        <v>8</v>
      </c>
      <c r="L10" s="25" t="s">
        <v>42</v>
      </c>
      <c r="M10" s="23" t="s">
        <v>56</v>
      </c>
      <c r="N10" s="24">
        <v>0.5</v>
      </c>
      <c r="O10" s="25">
        <v>8</v>
      </c>
      <c r="P10" s="25" t="str">
        <f t="shared" si="2"/>
        <v>Media</v>
      </c>
      <c r="Q10" s="25" t="str">
        <f t="shared" si="3"/>
        <v>Alto</v>
      </c>
      <c r="R10" s="25" t="str">
        <f t="shared" si="4"/>
        <v>Alto</v>
      </c>
      <c r="S10" s="23" t="s">
        <v>57</v>
      </c>
      <c r="T10" s="18"/>
      <c r="U10" s="18"/>
      <c r="V10" s="18"/>
      <c r="W10" s="18"/>
      <c r="X10" s="18"/>
      <c r="Y10" s="18"/>
      <c r="Z10" s="18"/>
      <c r="AA10" s="18"/>
      <c r="AB10" s="18"/>
      <c r="AC10" s="18"/>
      <c r="AD10" s="18"/>
      <c r="AE10" s="18"/>
      <c r="AF10" s="18"/>
      <c r="AG10" s="18"/>
      <c r="AH10" s="18"/>
    </row>
    <row r="11" spans="1:34" ht="156">
      <c r="A11" s="27" t="s">
        <v>58</v>
      </c>
      <c r="B11" s="28" t="s">
        <v>59</v>
      </c>
      <c r="C11" s="28" t="s">
        <v>60</v>
      </c>
      <c r="D11" s="28" t="s">
        <v>61</v>
      </c>
      <c r="E11" s="48" t="s">
        <v>62</v>
      </c>
      <c r="F11" s="29">
        <v>0.8</v>
      </c>
      <c r="G11" s="30">
        <v>8</v>
      </c>
      <c r="H11" s="30" t="str">
        <f t="shared" si="0"/>
        <v>Alta</v>
      </c>
      <c r="I11" s="30" t="str">
        <f t="shared" si="1"/>
        <v>Alto</v>
      </c>
      <c r="J11" s="25" t="str">
        <f t="shared" si="5"/>
        <v>Alto</v>
      </c>
      <c r="K11" s="30" t="s">
        <v>8</v>
      </c>
      <c r="L11" s="31" t="s">
        <v>42</v>
      </c>
      <c r="M11" s="28" t="s">
        <v>63</v>
      </c>
      <c r="N11" s="29">
        <v>0.5</v>
      </c>
      <c r="O11" s="30">
        <v>7</v>
      </c>
      <c r="P11" s="25" t="str">
        <f t="shared" si="2"/>
        <v>Media</v>
      </c>
      <c r="Q11" s="25" t="str">
        <f t="shared" si="3"/>
        <v>Medio</v>
      </c>
      <c r="R11" s="25" t="str">
        <f t="shared" si="4"/>
        <v>Medio</v>
      </c>
      <c r="S11" s="32" t="s">
        <v>64</v>
      </c>
      <c r="T11" s="18"/>
      <c r="U11" s="18"/>
      <c r="V11" s="18"/>
      <c r="W11" s="18"/>
      <c r="X11" s="18"/>
      <c r="Y11" s="18"/>
      <c r="Z11" s="18"/>
      <c r="AA11" s="18"/>
      <c r="AB11" s="18"/>
      <c r="AC11" s="18"/>
      <c r="AD11" s="18"/>
      <c r="AE11" s="18"/>
      <c r="AF11" s="18"/>
      <c r="AG11" s="18"/>
    </row>
    <row r="12" spans="1:34" ht="90.95">
      <c r="A12" s="33" t="s">
        <v>65</v>
      </c>
      <c r="B12" s="34" t="s">
        <v>66</v>
      </c>
      <c r="C12" s="34" t="s">
        <v>67</v>
      </c>
      <c r="D12" s="34" t="s">
        <v>68</v>
      </c>
      <c r="E12" s="49" t="s">
        <v>69</v>
      </c>
      <c r="F12" s="35">
        <v>0.8</v>
      </c>
      <c r="G12" s="36">
        <v>8</v>
      </c>
      <c r="H12" s="36" t="str">
        <f t="shared" si="0"/>
        <v>Alta</v>
      </c>
      <c r="I12" s="36" t="str">
        <f t="shared" si="1"/>
        <v>Alto</v>
      </c>
      <c r="J12" s="36" t="str">
        <f t="shared" si="5"/>
        <v>Alto</v>
      </c>
      <c r="K12" s="36" t="s">
        <v>8</v>
      </c>
      <c r="L12" s="37" t="s">
        <v>42</v>
      </c>
      <c r="M12" s="34" t="s">
        <v>70</v>
      </c>
      <c r="N12" s="35">
        <v>0.5</v>
      </c>
      <c r="O12" s="36">
        <v>6</v>
      </c>
      <c r="P12" s="36" t="str">
        <f t="shared" si="2"/>
        <v>Media</v>
      </c>
      <c r="Q12" s="36" t="str">
        <f t="shared" si="3"/>
        <v>Medio</v>
      </c>
      <c r="R12" s="36" t="str">
        <f t="shared" si="4"/>
        <v>Medio</v>
      </c>
      <c r="S12" s="34" t="s">
        <v>70</v>
      </c>
      <c r="T12" s="38"/>
      <c r="U12" s="38"/>
      <c r="V12" s="38"/>
      <c r="W12" s="38"/>
      <c r="X12" s="38"/>
      <c r="Y12" s="38"/>
      <c r="Z12" s="38"/>
      <c r="AA12" s="38"/>
      <c r="AB12" s="38"/>
      <c r="AC12" s="38"/>
      <c r="AD12" s="38"/>
      <c r="AE12" s="38"/>
      <c r="AF12" s="38"/>
      <c r="AG12" s="38"/>
      <c r="AH12" s="39"/>
    </row>
    <row r="13" spans="1:34" ht="117">
      <c r="A13" s="28" t="s">
        <v>71</v>
      </c>
      <c r="B13" s="28" t="s">
        <v>72</v>
      </c>
      <c r="C13" s="28" t="s">
        <v>73</v>
      </c>
      <c r="D13" s="28" t="s">
        <v>74</v>
      </c>
      <c r="E13" s="49" t="s">
        <v>75</v>
      </c>
      <c r="F13" s="29">
        <v>0.8</v>
      </c>
      <c r="G13" s="30">
        <v>9</v>
      </c>
      <c r="H13" s="30" t="str">
        <f t="shared" si="0"/>
        <v>Alta</v>
      </c>
      <c r="I13" s="30" t="str">
        <f t="shared" si="1"/>
        <v>Alto</v>
      </c>
      <c r="J13" s="30" t="str">
        <f t="shared" si="5"/>
        <v>Alto</v>
      </c>
      <c r="K13" s="30" t="s">
        <v>8</v>
      </c>
      <c r="L13" s="30" t="s">
        <v>42</v>
      </c>
      <c r="M13" s="28" t="s">
        <v>76</v>
      </c>
      <c r="N13" s="29">
        <v>0.5</v>
      </c>
      <c r="O13" s="30">
        <v>8</v>
      </c>
      <c r="P13" s="30" t="str">
        <f t="shared" si="2"/>
        <v>Media</v>
      </c>
      <c r="Q13" s="30" t="str">
        <f t="shared" si="3"/>
        <v>Alto</v>
      </c>
      <c r="R13" s="30" t="str">
        <f t="shared" si="4"/>
        <v>Alto</v>
      </c>
      <c r="S13" s="28" t="s">
        <v>76</v>
      </c>
      <c r="T13" s="40"/>
      <c r="U13" s="40"/>
      <c r="V13" s="40"/>
      <c r="W13" s="40"/>
      <c r="X13" s="40"/>
      <c r="Y13" s="40"/>
      <c r="Z13" s="40"/>
      <c r="AA13" s="40"/>
      <c r="AB13" s="40"/>
      <c r="AC13" s="40"/>
      <c r="AD13" s="40"/>
      <c r="AE13" s="40"/>
      <c r="AF13" s="40"/>
      <c r="AG13" s="40"/>
      <c r="AH13" s="41"/>
    </row>
    <row r="14" spans="1:34">
      <c r="A14" s="42"/>
      <c r="B14" s="43"/>
      <c r="C14" s="43"/>
      <c r="D14" s="43"/>
      <c r="E14" s="43"/>
      <c r="F14" s="44"/>
      <c r="G14" s="44"/>
      <c r="H14" s="45" t="str">
        <f t="shared" si="0"/>
        <v/>
      </c>
      <c r="I14" s="45" t="str">
        <f t="shared" si="1"/>
        <v/>
      </c>
      <c r="J14" s="45" t="str">
        <f t="shared" si="5"/>
        <v/>
      </c>
      <c r="K14" s="44"/>
      <c r="L14" s="44"/>
      <c r="M14" s="43"/>
      <c r="N14" s="44"/>
      <c r="O14" s="44"/>
      <c r="P14" s="45" t="str">
        <f t="shared" si="2"/>
        <v/>
      </c>
      <c r="Q14" s="45" t="str">
        <f t="shared" si="3"/>
        <v/>
      </c>
      <c r="R14" s="45" t="str">
        <f t="shared" si="4"/>
        <v/>
      </c>
    </row>
    <row r="15" spans="1:34">
      <c r="A15" s="42"/>
      <c r="B15" s="43"/>
      <c r="C15" s="43"/>
      <c r="D15" s="43"/>
      <c r="E15" s="43"/>
      <c r="F15" s="44"/>
      <c r="G15" s="44"/>
      <c r="H15" s="45" t="str">
        <f t="shared" si="0"/>
        <v/>
      </c>
      <c r="I15" s="45" t="str">
        <f t="shared" si="1"/>
        <v/>
      </c>
      <c r="J15" s="45" t="str">
        <f t="shared" si="5"/>
        <v/>
      </c>
      <c r="K15" s="44"/>
      <c r="L15" s="44"/>
      <c r="M15" s="43"/>
      <c r="N15" s="44"/>
      <c r="O15" s="44"/>
      <c r="P15" s="45" t="str">
        <f t="shared" si="2"/>
        <v/>
      </c>
      <c r="Q15" s="45" t="str">
        <f t="shared" si="3"/>
        <v/>
      </c>
      <c r="R15" s="45" t="str">
        <f t="shared" si="4"/>
        <v/>
      </c>
    </row>
    <row r="16" spans="1:34">
      <c r="A16" s="42"/>
      <c r="B16" s="43"/>
      <c r="C16" s="43"/>
      <c r="D16" s="43"/>
      <c r="E16" s="43"/>
      <c r="F16" s="44"/>
      <c r="G16" s="44"/>
      <c r="H16" s="45" t="str">
        <f t="shared" si="0"/>
        <v/>
      </c>
      <c r="I16" s="45" t="str">
        <f t="shared" si="1"/>
        <v/>
      </c>
      <c r="J16" s="45" t="str">
        <f t="shared" si="5"/>
        <v/>
      </c>
      <c r="K16" s="44"/>
      <c r="L16" s="44"/>
      <c r="M16" s="43"/>
      <c r="N16" s="44"/>
      <c r="O16" s="44"/>
      <c r="P16" s="45" t="str">
        <f t="shared" si="2"/>
        <v/>
      </c>
      <c r="Q16" s="45" t="str">
        <f t="shared" si="3"/>
        <v/>
      </c>
      <c r="R16" s="45" t="str">
        <f t="shared" si="4"/>
        <v/>
      </c>
    </row>
    <row r="17" spans="1:18">
      <c r="A17" s="42"/>
      <c r="B17" s="43"/>
      <c r="C17" s="43"/>
      <c r="D17" s="43"/>
      <c r="E17" s="43"/>
      <c r="F17" s="43"/>
      <c r="G17" s="43"/>
      <c r="H17" s="45" t="str">
        <f t="shared" si="0"/>
        <v/>
      </c>
      <c r="I17" s="45" t="str">
        <f t="shared" si="1"/>
        <v/>
      </c>
      <c r="J17" s="45" t="str">
        <f t="shared" si="5"/>
        <v/>
      </c>
      <c r="K17" s="43"/>
      <c r="L17" s="43"/>
      <c r="M17" s="43"/>
      <c r="N17" s="43"/>
      <c r="O17" s="43"/>
      <c r="P17" s="45" t="str">
        <f t="shared" si="2"/>
        <v/>
      </c>
      <c r="Q17" s="45" t="str">
        <f t="shared" si="3"/>
        <v/>
      </c>
      <c r="R17" s="45" t="str">
        <f t="shared" si="4"/>
        <v/>
      </c>
    </row>
    <row r="18" spans="1:18">
      <c r="A18" s="42"/>
      <c r="B18" s="43"/>
      <c r="C18" s="43"/>
      <c r="D18" s="43"/>
      <c r="E18" s="43"/>
      <c r="F18" s="43"/>
      <c r="G18" s="43"/>
      <c r="H18" s="45" t="str">
        <f t="shared" si="0"/>
        <v/>
      </c>
      <c r="I18" s="45" t="str">
        <f t="shared" si="1"/>
        <v/>
      </c>
      <c r="J18" s="45" t="str">
        <f t="shared" si="5"/>
        <v/>
      </c>
      <c r="K18" s="43"/>
      <c r="L18" s="43"/>
      <c r="M18" s="43"/>
      <c r="N18" s="43"/>
      <c r="O18" s="43"/>
      <c r="P18" s="45" t="str">
        <f t="shared" si="2"/>
        <v/>
      </c>
      <c r="Q18" s="45" t="str">
        <f t="shared" si="3"/>
        <v/>
      </c>
      <c r="R18" s="45" t="str">
        <f t="shared" si="4"/>
        <v/>
      </c>
    </row>
    <row r="19" spans="1:18">
      <c r="A19" s="42"/>
      <c r="B19" s="43"/>
      <c r="C19" s="43"/>
      <c r="D19" s="43"/>
      <c r="E19" s="43"/>
      <c r="F19" s="43"/>
      <c r="G19" s="43"/>
      <c r="H19" s="45" t="str">
        <f t="shared" si="0"/>
        <v/>
      </c>
      <c r="I19" s="45" t="str">
        <f t="shared" si="1"/>
        <v/>
      </c>
      <c r="J19" s="45" t="str">
        <f t="shared" si="5"/>
        <v/>
      </c>
      <c r="K19" s="43"/>
      <c r="L19" s="43"/>
      <c r="M19" s="43"/>
      <c r="N19" s="43"/>
      <c r="O19" s="43"/>
      <c r="P19" s="45" t="str">
        <f t="shared" si="2"/>
        <v/>
      </c>
      <c r="Q19" s="45" t="str">
        <f t="shared" si="3"/>
        <v/>
      </c>
      <c r="R19" s="45" t="str">
        <f t="shared" si="4"/>
        <v/>
      </c>
    </row>
    <row r="20" spans="1:18">
      <c r="A20" s="42"/>
      <c r="B20" s="43"/>
      <c r="C20" s="43"/>
      <c r="D20" s="43"/>
      <c r="E20" s="43"/>
      <c r="F20" s="43"/>
      <c r="G20" s="43"/>
      <c r="H20" s="45" t="str">
        <f t="shared" si="0"/>
        <v/>
      </c>
      <c r="I20" s="45" t="str">
        <f t="shared" si="1"/>
        <v/>
      </c>
      <c r="J20" s="45" t="str">
        <f t="shared" si="5"/>
        <v/>
      </c>
      <c r="K20" s="43"/>
      <c r="L20" s="43"/>
      <c r="M20" s="43"/>
      <c r="N20" s="43"/>
      <c r="O20" s="43"/>
      <c r="P20" s="45" t="str">
        <f t="shared" si="2"/>
        <v/>
      </c>
      <c r="Q20" s="45" t="str">
        <f t="shared" si="3"/>
        <v/>
      </c>
      <c r="R20" s="45" t="str">
        <f t="shared" si="4"/>
        <v/>
      </c>
    </row>
    <row r="21" spans="1:18">
      <c r="A21" s="42"/>
      <c r="B21" s="43"/>
      <c r="C21" s="43"/>
      <c r="D21" s="43"/>
      <c r="E21" s="43"/>
      <c r="F21" s="43"/>
      <c r="G21" s="43"/>
      <c r="H21" s="45" t="str">
        <f t="shared" si="0"/>
        <v/>
      </c>
      <c r="I21" s="45" t="str">
        <f t="shared" si="1"/>
        <v/>
      </c>
      <c r="J21" s="45" t="str">
        <f t="shared" si="5"/>
        <v/>
      </c>
      <c r="K21" s="43"/>
      <c r="L21" s="43"/>
      <c r="M21" s="43"/>
      <c r="N21" s="43"/>
      <c r="O21" s="43"/>
      <c r="P21" s="45" t="str">
        <f t="shared" si="2"/>
        <v/>
      </c>
      <c r="Q21" s="45" t="str">
        <f t="shared" si="3"/>
        <v/>
      </c>
      <c r="R21" s="45" t="str">
        <f t="shared" si="4"/>
        <v/>
      </c>
    </row>
    <row r="22" spans="1:18">
      <c r="A22" s="42"/>
      <c r="B22" s="43"/>
      <c r="C22" s="43"/>
      <c r="D22" s="43"/>
      <c r="E22" s="43"/>
      <c r="F22" s="43"/>
      <c r="G22" s="43"/>
      <c r="H22" s="45" t="str">
        <f t="shared" si="0"/>
        <v/>
      </c>
      <c r="I22" s="45" t="str">
        <f t="shared" si="1"/>
        <v/>
      </c>
      <c r="J22" s="45" t="str">
        <f t="shared" si="5"/>
        <v/>
      </c>
      <c r="K22" s="43"/>
      <c r="L22" s="43"/>
      <c r="M22" s="43"/>
      <c r="N22" s="43"/>
      <c r="O22" s="43"/>
      <c r="P22" s="45" t="str">
        <f t="shared" si="2"/>
        <v/>
      </c>
      <c r="Q22" s="45" t="str">
        <f t="shared" si="3"/>
        <v/>
      </c>
      <c r="R22" s="45" t="str">
        <f t="shared" si="4"/>
        <v/>
      </c>
    </row>
    <row r="23" spans="1:18">
      <c r="A23" s="42"/>
      <c r="B23" s="43"/>
      <c r="C23" s="43"/>
      <c r="D23" s="43"/>
      <c r="E23" s="43"/>
      <c r="F23" s="43"/>
      <c r="G23" s="43"/>
      <c r="H23" s="45" t="str">
        <f t="shared" si="0"/>
        <v/>
      </c>
      <c r="I23" s="45" t="str">
        <f t="shared" si="1"/>
        <v/>
      </c>
      <c r="J23" s="45" t="str">
        <f t="shared" si="5"/>
        <v/>
      </c>
      <c r="K23" s="43"/>
      <c r="L23" s="43"/>
      <c r="M23" s="43"/>
      <c r="N23" s="43"/>
      <c r="O23" s="43"/>
      <c r="P23" s="45" t="str">
        <f t="shared" si="2"/>
        <v/>
      </c>
      <c r="Q23" s="45" t="str">
        <f t="shared" si="3"/>
        <v/>
      </c>
      <c r="R23" s="45" t="str">
        <f t="shared" si="4"/>
        <v/>
      </c>
    </row>
    <row r="24" spans="1:18">
      <c r="A24" s="42"/>
      <c r="B24" s="43"/>
      <c r="C24" s="43"/>
      <c r="D24" s="43"/>
      <c r="E24" s="43"/>
      <c r="F24" s="43"/>
      <c r="G24" s="43"/>
      <c r="H24" s="45" t="str">
        <f t="shared" si="0"/>
        <v/>
      </c>
      <c r="I24" s="45" t="str">
        <f t="shared" si="1"/>
        <v/>
      </c>
      <c r="J24" s="45" t="str">
        <f t="shared" si="5"/>
        <v/>
      </c>
      <c r="K24" s="43"/>
      <c r="L24" s="43"/>
      <c r="M24" s="43"/>
      <c r="N24" s="43"/>
      <c r="O24" s="43"/>
      <c r="P24" s="45" t="str">
        <f t="shared" si="2"/>
        <v/>
      </c>
      <c r="Q24" s="45" t="str">
        <f t="shared" si="3"/>
        <v/>
      </c>
      <c r="R24" s="45" t="str">
        <f t="shared" si="4"/>
        <v/>
      </c>
    </row>
    <row r="25" spans="1:18">
      <c r="A25" s="42"/>
      <c r="B25" s="43"/>
      <c r="C25" s="43"/>
      <c r="D25" s="43"/>
      <c r="E25" s="43"/>
      <c r="F25" s="43"/>
      <c r="G25" s="43"/>
      <c r="H25" s="45" t="str">
        <f t="shared" si="0"/>
        <v/>
      </c>
      <c r="I25" s="45" t="str">
        <f t="shared" si="1"/>
        <v/>
      </c>
      <c r="J25" s="45" t="str">
        <f t="shared" si="5"/>
        <v/>
      </c>
      <c r="K25" s="43"/>
      <c r="L25" s="43"/>
      <c r="M25" s="43"/>
      <c r="N25" s="43"/>
      <c r="O25" s="43"/>
      <c r="P25" s="45" t="str">
        <f t="shared" si="2"/>
        <v/>
      </c>
      <c r="Q25" s="45" t="str">
        <f t="shared" si="3"/>
        <v/>
      </c>
      <c r="R25" s="45" t="str">
        <f t="shared" si="4"/>
        <v/>
      </c>
    </row>
    <row r="26" spans="1:18">
      <c r="A26" s="42"/>
      <c r="B26" s="43"/>
      <c r="C26" s="43"/>
      <c r="D26" s="43"/>
      <c r="E26" s="43"/>
      <c r="F26" s="43"/>
      <c r="G26" s="43"/>
      <c r="H26" s="45" t="str">
        <f t="shared" si="0"/>
        <v/>
      </c>
      <c r="I26" s="45" t="str">
        <f t="shared" si="1"/>
        <v/>
      </c>
      <c r="J26" s="45" t="str">
        <f t="shared" si="5"/>
        <v/>
      </c>
      <c r="K26" s="43"/>
      <c r="L26" s="43"/>
      <c r="M26" s="43"/>
      <c r="N26" s="43"/>
      <c r="O26" s="43"/>
      <c r="P26" s="45" t="str">
        <f t="shared" si="2"/>
        <v/>
      </c>
      <c r="Q26" s="45" t="str">
        <f t="shared" si="3"/>
        <v/>
      </c>
      <c r="R26" s="45" t="str">
        <f t="shared" si="4"/>
        <v/>
      </c>
    </row>
    <row r="27" spans="1:18">
      <c r="A27" s="42"/>
      <c r="B27" s="43"/>
      <c r="C27" s="43"/>
      <c r="D27" s="43"/>
      <c r="E27" s="43"/>
      <c r="F27" s="43"/>
      <c r="G27" s="43"/>
      <c r="H27" s="45" t="str">
        <f t="shared" si="0"/>
        <v/>
      </c>
      <c r="I27" s="45" t="str">
        <f t="shared" si="1"/>
        <v/>
      </c>
      <c r="J27" s="45" t="str">
        <f t="shared" si="5"/>
        <v/>
      </c>
      <c r="K27" s="43"/>
      <c r="L27" s="43"/>
      <c r="M27" s="43"/>
      <c r="N27" s="43"/>
      <c r="O27" s="43"/>
      <c r="P27" s="45" t="str">
        <f t="shared" si="2"/>
        <v/>
      </c>
      <c r="Q27" s="45" t="str">
        <f t="shared" si="3"/>
        <v/>
      </c>
      <c r="R27" s="45" t="str">
        <f t="shared" si="4"/>
        <v/>
      </c>
    </row>
    <row r="28" spans="1:18">
      <c r="A28" s="18"/>
      <c r="H28" s="45" t="str">
        <f t="shared" si="0"/>
        <v/>
      </c>
      <c r="I28" s="45" t="str">
        <f t="shared" si="1"/>
        <v/>
      </c>
      <c r="J28" s="45" t="str">
        <f t="shared" si="5"/>
        <v/>
      </c>
      <c r="P28" s="45" t="str">
        <f t="shared" si="2"/>
        <v/>
      </c>
      <c r="Q28" s="45" t="str">
        <f t="shared" si="3"/>
        <v/>
      </c>
      <c r="R28" s="45" t="str">
        <f t="shared" si="4"/>
        <v/>
      </c>
    </row>
    <row r="29" spans="1:18">
      <c r="A29" s="18"/>
      <c r="H29" s="45" t="str">
        <f t="shared" si="0"/>
        <v/>
      </c>
      <c r="I29" s="45" t="str">
        <f t="shared" si="1"/>
        <v/>
      </c>
      <c r="J29" s="45" t="str">
        <f t="shared" si="5"/>
        <v/>
      </c>
      <c r="P29" s="45" t="str">
        <f t="shared" si="2"/>
        <v/>
      </c>
      <c r="Q29" s="45" t="str">
        <f t="shared" si="3"/>
        <v/>
      </c>
      <c r="R29" s="45" t="str">
        <f t="shared" si="4"/>
        <v/>
      </c>
    </row>
    <row r="30" spans="1:18">
      <c r="A30" s="18"/>
      <c r="H30" s="45" t="str">
        <f t="shared" si="0"/>
        <v/>
      </c>
      <c r="I30" s="45" t="str">
        <f t="shared" si="1"/>
        <v/>
      </c>
      <c r="J30" s="45" t="str">
        <f t="shared" si="5"/>
        <v/>
      </c>
      <c r="P30" s="45" t="str">
        <f t="shared" si="2"/>
        <v/>
      </c>
      <c r="Q30" s="45" t="str">
        <f t="shared" si="3"/>
        <v/>
      </c>
      <c r="R30" s="45" t="str">
        <f t="shared" si="4"/>
        <v/>
      </c>
    </row>
    <row r="31" spans="1:18">
      <c r="A31" s="18"/>
      <c r="H31" s="45" t="str">
        <f t="shared" si="0"/>
        <v/>
      </c>
      <c r="I31" s="45" t="str">
        <f t="shared" si="1"/>
        <v/>
      </c>
      <c r="J31" s="45" t="str">
        <f t="shared" si="5"/>
        <v/>
      </c>
      <c r="P31" s="45" t="str">
        <f t="shared" si="2"/>
        <v/>
      </c>
      <c r="Q31" s="45" t="str">
        <f t="shared" si="3"/>
        <v/>
      </c>
      <c r="R31" s="45" t="str">
        <f t="shared" si="4"/>
        <v/>
      </c>
    </row>
    <row r="32" spans="1:18">
      <c r="A32" s="18"/>
      <c r="H32" s="45" t="str">
        <f t="shared" si="0"/>
        <v/>
      </c>
      <c r="I32" s="45" t="str">
        <f t="shared" si="1"/>
        <v/>
      </c>
      <c r="J32" s="45" t="str">
        <f t="shared" si="5"/>
        <v/>
      </c>
      <c r="P32" s="45" t="str">
        <f t="shared" si="2"/>
        <v/>
      </c>
      <c r="Q32" s="45" t="str">
        <f t="shared" si="3"/>
        <v/>
      </c>
      <c r="R32" s="45" t="str">
        <f t="shared" si="4"/>
        <v/>
      </c>
    </row>
    <row r="33" spans="1:18">
      <c r="A33" s="18"/>
      <c r="H33" s="45" t="str">
        <f t="shared" si="0"/>
        <v/>
      </c>
      <c r="I33" s="45" t="str">
        <f t="shared" si="1"/>
        <v/>
      </c>
      <c r="J33" s="45" t="str">
        <f t="shared" si="5"/>
        <v/>
      </c>
      <c r="P33" s="45" t="str">
        <f t="shared" si="2"/>
        <v/>
      </c>
      <c r="Q33" s="45" t="str">
        <f t="shared" si="3"/>
        <v/>
      </c>
      <c r="R33" s="45" t="str">
        <f t="shared" si="4"/>
        <v/>
      </c>
    </row>
    <row r="34" spans="1:18">
      <c r="A34" s="18"/>
      <c r="H34" s="45" t="str">
        <f t="shared" si="0"/>
        <v/>
      </c>
      <c r="I34" s="45" t="str">
        <f t="shared" si="1"/>
        <v/>
      </c>
      <c r="J34" s="45" t="str">
        <f t="shared" si="5"/>
        <v/>
      </c>
      <c r="P34" s="45" t="str">
        <f t="shared" si="2"/>
        <v/>
      </c>
      <c r="Q34" s="45" t="str">
        <f t="shared" si="3"/>
        <v/>
      </c>
      <c r="R34" s="45" t="str">
        <f t="shared" si="4"/>
        <v/>
      </c>
    </row>
    <row r="35" spans="1:18">
      <c r="A35" s="18"/>
      <c r="H35" s="45" t="str">
        <f t="shared" si="0"/>
        <v/>
      </c>
      <c r="I35" s="45" t="str">
        <f t="shared" si="1"/>
        <v/>
      </c>
      <c r="J35" s="45" t="str">
        <f t="shared" si="5"/>
        <v/>
      </c>
      <c r="P35" s="45" t="str">
        <f t="shared" si="2"/>
        <v/>
      </c>
      <c r="Q35" s="45" t="str">
        <f t="shared" si="3"/>
        <v/>
      </c>
      <c r="R35" s="45" t="str">
        <f t="shared" si="4"/>
        <v/>
      </c>
    </row>
    <row r="36" spans="1:18">
      <c r="A36" s="18"/>
      <c r="H36" s="45" t="str">
        <f t="shared" si="0"/>
        <v/>
      </c>
      <c r="I36" s="45" t="str">
        <f t="shared" si="1"/>
        <v/>
      </c>
      <c r="J36" s="45" t="str">
        <f t="shared" si="5"/>
        <v/>
      </c>
      <c r="P36" s="45" t="str">
        <f t="shared" si="2"/>
        <v/>
      </c>
      <c r="Q36" s="45" t="str">
        <f t="shared" si="3"/>
        <v/>
      </c>
      <c r="R36" s="45" t="str">
        <f t="shared" si="4"/>
        <v/>
      </c>
    </row>
    <row r="37" spans="1:18">
      <c r="A37" s="18"/>
      <c r="H37" s="45" t="str">
        <f t="shared" si="0"/>
        <v/>
      </c>
      <c r="I37" s="45" t="str">
        <f t="shared" si="1"/>
        <v/>
      </c>
      <c r="J37" s="45" t="str">
        <f t="shared" si="5"/>
        <v/>
      </c>
      <c r="P37" s="45" t="str">
        <f t="shared" si="2"/>
        <v/>
      </c>
      <c r="Q37" s="45" t="str">
        <f t="shared" si="3"/>
        <v/>
      </c>
      <c r="R37" s="45" t="str">
        <f t="shared" si="4"/>
        <v/>
      </c>
    </row>
    <row r="38" spans="1:18">
      <c r="A38" s="18"/>
      <c r="H38" s="45" t="str">
        <f t="shared" si="0"/>
        <v/>
      </c>
      <c r="I38" s="45" t="str">
        <f t="shared" si="1"/>
        <v/>
      </c>
      <c r="J38" s="45" t="str">
        <f t="shared" si="5"/>
        <v/>
      </c>
      <c r="P38" s="45" t="str">
        <f t="shared" si="2"/>
        <v/>
      </c>
      <c r="Q38" s="45" t="str">
        <f t="shared" si="3"/>
        <v/>
      </c>
      <c r="R38" s="45" t="str">
        <f t="shared" si="4"/>
        <v/>
      </c>
    </row>
    <row r="39" spans="1:18">
      <c r="A39" s="18"/>
      <c r="H39" s="45" t="str">
        <f t="shared" si="0"/>
        <v/>
      </c>
      <c r="I39" s="45" t="str">
        <f t="shared" si="1"/>
        <v/>
      </c>
      <c r="J39" s="45" t="str">
        <f t="shared" si="5"/>
        <v/>
      </c>
      <c r="P39" s="45" t="str">
        <f t="shared" si="2"/>
        <v/>
      </c>
      <c r="Q39" s="45" t="str">
        <f t="shared" si="3"/>
        <v/>
      </c>
      <c r="R39" s="45" t="str">
        <f t="shared" si="4"/>
        <v/>
      </c>
    </row>
    <row r="40" spans="1:18">
      <c r="A40" s="18"/>
      <c r="H40" s="45" t="str">
        <f t="shared" si="0"/>
        <v/>
      </c>
      <c r="I40" s="45" t="str">
        <f t="shared" si="1"/>
        <v/>
      </c>
      <c r="J40" s="45" t="str">
        <f t="shared" si="5"/>
        <v/>
      </c>
      <c r="P40" s="45" t="str">
        <f t="shared" si="2"/>
        <v/>
      </c>
      <c r="Q40" s="45" t="str">
        <f t="shared" si="3"/>
        <v/>
      </c>
      <c r="R40" s="45" t="str">
        <f t="shared" si="4"/>
        <v/>
      </c>
    </row>
    <row r="41" spans="1:18">
      <c r="A41" s="18"/>
      <c r="H41" s="45" t="str">
        <f t="shared" si="0"/>
        <v/>
      </c>
      <c r="I41" s="45" t="str">
        <f t="shared" si="1"/>
        <v/>
      </c>
      <c r="J41" s="45" t="str">
        <f t="shared" si="5"/>
        <v/>
      </c>
      <c r="P41" s="45" t="str">
        <f t="shared" si="2"/>
        <v/>
      </c>
      <c r="Q41" s="45" t="str">
        <f t="shared" si="3"/>
        <v/>
      </c>
      <c r="R41" s="45" t="str">
        <f t="shared" si="4"/>
        <v/>
      </c>
    </row>
    <row r="42" spans="1:18">
      <c r="A42" s="18"/>
      <c r="H42" s="45" t="str">
        <f t="shared" si="0"/>
        <v/>
      </c>
      <c r="I42" s="45" t="str">
        <f t="shared" si="1"/>
        <v/>
      </c>
      <c r="J42" s="45" t="str">
        <f t="shared" si="5"/>
        <v/>
      </c>
      <c r="P42" s="45" t="str">
        <f t="shared" si="2"/>
        <v/>
      </c>
      <c r="Q42" s="45" t="str">
        <f t="shared" si="3"/>
        <v/>
      </c>
      <c r="R42" s="45" t="str">
        <f t="shared" si="4"/>
        <v/>
      </c>
    </row>
    <row r="43" spans="1:18">
      <c r="A43" s="18"/>
      <c r="H43" s="45" t="str">
        <f t="shared" si="0"/>
        <v/>
      </c>
      <c r="I43" s="45" t="str">
        <f t="shared" si="1"/>
        <v/>
      </c>
      <c r="J43" s="45" t="str">
        <f t="shared" si="5"/>
        <v/>
      </c>
      <c r="P43" s="45" t="str">
        <f t="shared" si="2"/>
        <v/>
      </c>
      <c r="Q43" s="45" t="str">
        <f t="shared" si="3"/>
        <v/>
      </c>
      <c r="R43" s="45" t="str">
        <f t="shared" si="4"/>
        <v/>
      </c>
    </row>
    <row r="44" spans="1:18">
      <c r="A44" s="18"/>
      <c r="H44" s="45" t="str">
        <f t="shared" si="0"/>
        <v/>
      </c>
      <c r="I44" s="45" t="str">
        <f t="shared" si="1"/>
        <v/>
      </c>
      <c r="J44" s="45" t="str">
        <f t="shared" si="5"/>
        <v/>
      </c>
      <c r="P44" s="45" t="str">
        <f t="shared" si="2"/>
        <v/>
      </c>
      <c r="Q44" s="45" t="str">
        <f t="shared" si="3"/>
        <v/>
      </c>
      <c r="R44" s="45" t="str">
        <f t="shared" si="4"/>
        <v/>
      </c>
    </row>
    <row r="45" spans="1:18">
      <c r="A45" s="18"/>
      <c r="H45" s="45" t="str">
        <f t="shared" si="0"/>
        <v/>
      </c>
      <c r="I45" s="45" t="str">
        <f t="shared" si="1"/>
        <v/>
      </c>
      <c r="J45" s="45" t="str">
        <f t="shared" si="5"/>
        <v/>
      </c>
      <c r="P45" s="45" t="str">
        <f t="shared" si="2"/>
        <v/>
      </c>
      <c r="Q45" s="45" t="str">
        <f t="shared" si="3"/>
        <v/>
      </c>
      <c r="R45" s="45" t="str">
        <f t="shared" si="4"/>
        <v/>
      </c>
    </row>
    <row r="46" spans="1:18">
      <c r="A46" s="18"/>
      <c r="H46" s="45" t="str">
        <f t="shared" si="0"/>
        <v/>
      </c>
      <c r="I46" s="45" t="str">
        <f t="shared" si="1"/>
        <v/>
      </c>
      <c r="J46" s="45" t="str">
        <f t="shared" si="5"/>
        <v/>
      </c>
      <c r="P46" s="45" t="str">
        <f t="shared" si="2"/>
        <v/>
      </c>
      <c r="Q46" s="45" t="str">
        <f t="shared" si="3"/>
        <v/>
      </c>
      <c r="R46" s="45" t="str">
        <f t="shared" si="4"/>
        <v/>
      </c>
    </row>
    <row r="47" spans="1:18">
      <c r="A47" s="18"/>
      <c r="H47" s="45" t="str">
        <f t="shared" si="0"/>
        <v/>
      </c>
      <c r="I47" s="45" t="str">
        <f t="shared" si="1"/>
        <v/>
      </c>
      <c r="J47" s="45" t="str">
        <f t="shared" si="5"/>
        <v/>
      </c>
      <c r="P47" s="45" t="str">
        <f t="shared" si="2"/>
        <v/>
      </c>
      <c r="Q47" s="45" t="str">
        <f t="shared" si="3"/>
        <v/>
      </c>
      <c r="R47" s="45" t="str">
        <f t="shared" si="4"/>
        <v/>
      </c>
    </row>
    <row r="48" spans="1:18">
      <c r="A48" s="18"/>
      <c r="H48" s="45" t="str">
        <f t="shared" si="0"/>
        <v/>
      </c>
      <c r="I48" s="45" t="str">
        <f t="shared" si="1"/>
        <v/>
      </c>
      <c r="J48" s="45" t="str">
        <f t="shared" si="5"/>
        <v/>
      </c>
      <c r="P48" s="45" t="str">
        <f t="shared" si="2"/>
        <v/>
      </c>
      <c r="Q48" s="45" t="str">
        <f t="shared" si="3"/>
        <v/>
      </c>
      <c r="R48" s="45" t="str">
        <f t="shared" si="4"/>
        <v/>
      </c>
    </row>
    <row r="49" spans="1:18">
      <c r="A49" s="18"/>
      <c r="H49" s="45" t="str">
        <f t="shared" si="0"/>
        <v/>
      </c>
      <c r="I49" s="45" t="str">
        <f t="shared" si="1"/>
        <v/>
      </c>
      <c r="J49" s="45" t="str">
        <f t="shared" si="5"/>
        <v/>
      </c>
      <c r="P49" s="45" t="str">
        <f t="shared" si="2"/>
        <v/>
      </c>
      <c r="Q49" s="45" t="str">
        <f t="shared" si="3"/>
        <v/>
      </c>
      <c r="R49" s="45" t="str">
        <f t="shared" si="4"/>
        <v/>
      </c>
    </row>
    <row r="50" spans="1:18">
      <c r="A50" s="18"/>
      <c r="H50" s="45" t="str">
        <f t="shared" si="0"/>
        <v/>
      </c>
      <c r="I50" s="45" t="str">
        <f t="shared" si="1"/>
        <v/>
      </c>
      <c r="J50" s="45" t="str">
        <f t="shared" si="5"/>
        <v/>
      </c>
      <c r="P50" s="45" t="str">
        <f t="shared" si="2"/>
        <v/>
      </c>
      <c r="Q50" s="45" t="str">
        <f t="shared" si="3"/>
        <v/>
      </c>
      <c r="R50" s="45" t="str">
        <f t="shared" si="4"/>
        <v/>
      </c>
    </row>
    <row r="51" spans="1:18">
      <c r="A51" s="18"/>
      <c r="H51" s="45" t="str">
        <f t="shared" si="0"/>
        <v/>
      </c>
      <c r="I51" s="45" t="str">
        <f t="shared" si="1"/>
        <v/>
      </c>
      <c r="J51" s="45" t="str">
        <f t="shared" si="5"/>
        <v/>
      </c>
      <c r="P51" s="45" t="str">
        <f t="shared" si="2"/>
        <v/>
      </c>
      <c r="Q51" s="45" t="str">
        <f t="shared" si="3"/>
        <v/>
      </c>
      <c r="R51" s="45" t="str">
        <f t="shared" si="4"/>
        <v/>
      </c>
    </row>
    <row r="52" spans="1:18">
      <c r="A52" s="18"/>
      <c r="H52" s="45" t="str">
        <f t="shared" si="0"/>
        <v/>
      </c>
      <c r="I52" s="45" t="str">
        <f t="shared" si="1"/>
        <v/>
      </c>
      <c r="J52" s="45" t="str">
        <f t="shared" si="5"/>
        <v/>
      </c>
      <c r="P52" s="45" t="str">
        <f t="shared" si="2"/>
        <v/>
      </c>
      <c r="Q52" s="45" t="str">
        <f t="shared" si="3"/>
        <v/>
      </c>
      <c r="R52" s="45" t="str">
        <f t="shared" si="4"/>
        <v/>
      </c>
    </row>
    <row r="53" spans="1:18">
      <c r="A53" s="18"/>
      <c r="H53" s="45" t="str">
        <f t="shared" si="0"/>
        <v/>
      </c>
      <c r="I53" s="45" t="str">
        <f t="shared" si="1"/>
        <v/>
      </c>
      <c r="J53" s="45" t="str">
        <f t="shared" si="5"/>
        <v/>
      </c>
      <c r="P53" s="45" t="str">
        <f t="shared" si="2"/>
        <v/>
      </c>
      <c r="Q53" s="45" t="str">
        <f t="shared" si="3"/>
        <v/>
      </c>
      <c r="R53" s="45" t="str">
        <f t="shared" si="4"/>
        <v/>
      </c>
    </row>
    <row r="54" spans="1:18">
      <c r="A54" s="18"/>
      <c r="H54" s="45" t="str">
        <f t="shared" si="0"/>
        <v/>
      </c>
      <c r="I54" s="45" t="str">
        <f t="shared" si="1"/>
        <v/>
      </c>
      <c r="J54" s="45" t="str">
        <f t="shared" si="5"/>
        <v/>
      </c>
      <c r="P54" s="45" t="str">
        <f t="shared" si="2"/>
        <v/>
      </c>
      <c r="Q54" s="45" t="str">
        <f t="shared" si="3"/>
        <v/>
      </c>
      <c r="R54" s="45" t="str">
        <f t="shared" si="4"/>
        <v/>
      </c>
    </row>
    <row r="55" spans="1:18">
      <c r="A55" s="18"/>
      <c r="H55" s="45" t="str">
        <f t="shared" si="0"/>
        <v/>
      </c>
      <c r="I55" s="45" t="str">
        <f t="shared" si="1"/>
        <v/>
      </c>
      <c r="J55" s="45" t="str">
        <f t="shared" si="5"/>
        <v/>
      </c>
      <c r="P55" s="45" t="str">
        <f t="shared" si="2"/>
        <v/>
      </c>
      <c r="Q55" s="45" t="str">
        <f t="shared" si="3"/>
        <v/>
      </c>
      <c r="R55" s="45" t="str">
        <f t="shared" si="4"/>
        <v/>
      </c>
    </row>
    <row r="56" spans="1:18">
      <c r="A56" s="18"/>
      <c r="H56" s="45" t="str">
        <f t="shared" si="0"/>
        <v/>
      </c>
      <c r="I56" s="45" t="str">
        <f t="shared" si="1"/>
        <v/>
      </c>
      <c r="J56" s="45" t="str">
        <f t="shared" si="5"/>
        <v/>
      </c>
      <c r="P56" s="45" t="str">
        <f t="shared" si="2"/>
        <v/>
      </c>
      <c r="Q56" s="45" t="str">
        <f t="shared" si="3"/>
        <v/>
      </c>
      <c r="R56" s="45" t="str">
        <f t="shared" si="4"/>
        <v/>
      </c>
    </row>
    <row r="57" spans="1:18">
      <c r="A57" s="18"/>
      <c r="H57" s="45" t="str">
        <f t="shared" si="0"/>
        <v/>
      </c>
      <c r="I57" s="45" t="str">
        <f t="shared" si="1"/>
        <v/>
      </c>
      <c r="J57" s="45" t="str">
        <f t="shared" si="5"/>
        <v/>
      </c>
      <c r="P57" s="45" t="str">
        <f t="shared" si="2"/>
        <v/>
      </c>
      <c r="Q57" s="45" t="str">
        <f t="shared" si="3"/>
        <v/>
      </c>
      <c r="R57" s="45" t="str">
        <f t="shared" si="4"/>
        <v/>
      </c>
    </row>
    <row r="58" spans="1:18">
      <c r="A58" s="18"/>
      <c r="H58" s="45" t="str">
        <f t="shared" si="0"/>
        <v/>
      </c>
      <c r="I58" s="45" t="str">
        <f t="shared" si="1"/>
        <v/>
      </c>
      <c r="J58" s="45" t="str">
        <f t="shared" si="5"/>
        <v/>
      </c>
      <c r="P58" s="45" t="str">
        <f t="shared" si="2"/>
        <v/>
      </c>
      <c r="Q58" s="45" t="str">
        <f t="shared" si="3"/>
        <v/>
      </c>
      <c r="R58" s="45" t="str">
        <f t="shared" si="4"/>
        <v/>
      </c>
    </row>
    <row r="59" spans="1:18">
      <c r="A59" s="18"/>
      <c r="H59" s="45" t="str">
        <f t="shared" si="0"/>
        <v/>
      </c>
      <c r="I59" s="45" t="str">
        <f t="shared" si="1"/>
        <v/>
      </c>
      <c r="J59" s="45" t="str">
        <f t="shared" si="5"/>
        <v/>
      </c>
      <c r="P59" s="45" t="str">
        <f t="shared" si="2"/>
        <v/>
      </c>
      <c r="Q59" s="45" t="str">
        <f t="shared" si="3"/>
        <v/>
      </c>
      <c r="R59" s="45" t="str">
        <f t="shared" si="4"/>
        <v/>
      </c>
    </row>
    <row r="60" spans="1:18">
      <c r="A60" s="18"/>
      <c r="H60" s="45" t="str">
        <f t="shared" si="0"/>
        <v/>
      </c>
      <c r="I60" s="45" t="str">
        <f t="shared" si="1"/>
        <v/>
      </c>
      <c r="J60" s="45" t="str">
        <f t="shared" si="5"/>
        <v/>
      </c>
      <c r="P60" s="45" t="str">
        <f t="shared" si="2"/>
        <v/>
      </c>
      <c r="Q60" s="45" t="str">
        <f t="shared" si="3"/>
        <v/>
      </c>
      <c r="R60" s="45" t="str">
        <f t="shared" si="4"/>
        <v/>
      </c>
    </row>
    <row r="61" spans="1:18">
      <c r="A61" s="18"/>
      <c r="H61" s="45" t="str">
        <f t="shared" si="0"/>
        <v/>
      </c>
      <c r="I61" s="45" t="str">
        <f t="shared" si="1"/>
        <v/>
      </c>
      <c r="J61" s="45" t="str">
        <f t="shared" si="5"/>
        <v/>
      </c>
      <c r="P61" s="45" t="str">
        <f t="shared" si="2"/>
        <v/>
      </c>
      <c r="Q61" s="45" t="str">
        <f t="shared" si="3"/>
        <v/>
      </c>
      <c r="R61" s="45" t="str">
        <f t="shared" si="4"/>
        <v/>
      </c>
    </row>
    <row r="62" spans="1:18">
      <c r="A62" s="18"/>
      <c r="H62" s="45" t="str">
        <f t="shared" si="0"/>
        <v/>
      </c>
      <c r="I62" s="45" t="str">
        <f t="shared" si="1"/>
        <v/>
      </c>
      <c r="J62" s="45" t="str">
        <f t="shared" si="5"/>
        <v/>
      </c>
      <c r="P62" s="45" t="str">
        <f t="shared" si="2"/>
        <v/>
      </c>
      <c r="Q62" s="45" t="str">
        <f t="shared" si="3"/>
        <v/>
      </c>
      <c r="R62" s="45" t="str">
        <f t="shared" si="4"/>
        <v/>
      </c>
    </row>
    <row r="63" spans="1:18">
      <c r="A63" s="18"/>
      <c r="H63" s="45" t="str">
        <f t="shared" si="0"/>
        <v/>
      </c>
      <c r="I63" s="45" t="str">
        <f t="shared" si="1"/>
        <v/>
      </c>
      <c r="J63" s="45" t="str">
        <f t="shared" si="5"/>
        <v/>
      </c>
      <c r="P63" s="45" t="str">
        <f t="shared" si="2"/>
        <v/>
      </c>
      <c r="Q63" s="45" t="str">
        <f t="shared" si="3"/>
        <v/>
      </c>
      <c r="R63" s="45" t="str">
        <f t="shared" si="4"/>
        <v/>
      </c>
    </row>
    <row r="64" spans="1:18">
      <c r="A64" s="18"/>
      <c r="H64" s="45" t="str">
        <f t="shared" si="0"/>
        <v/>
      </c>
      <c r="I64" s="45" t="str">
        <f t="shared" si="1"/>
        <v/>
      </c>
      <c r="J64" s="45" t="str">
        <f t="shared" si="5"/>
        <v/>
      </c>
      <c r="P64" s="45" t="str">
        <f t="shared" si="2"/>
        <v/>
      </c>
      <c r="Q64" s="45" t="str">
        <f t="shared" si="3"/>
        <v/>
      </c>
      <c r="R64" s="45" t="str">
        <f t="shared" si="4"/>
        <v/>
      </c>
    </row>
    <row r="65" spans="1:18">
      <c r="A65" s="18"/>
      <c r="H65" s="45" t="str">
        <f t="shared" si="0"/>
        <v/>
      </c>
      <c r="I65" s="45" t="str">
        <f t="shared" si="1"/>
        <v/>
      </c>
      <c r="J65" s="45" t="str">
        <f t="shared" si="5"/>
        <v/>
      </c>
      <c r="P65" s="45" t="str">
        <f t="shared" si="2"/>
        <v/>
      </c>
      <c r="Q65" s="45" t="str">
        <f t="shared" si="3"/>
        <v/>
      </c>
      <c r="R65" s="45" t="str">
        <f t="shared" si="4"/>
        <v/>
      </c>
    </row>
    <row r="66" spans="1:18">
      <c r="A66" s="18"/>
      <c r="H66" s="45" t="str">
        <f t="shared" si="0"/>
        <v/>
      </c>
      <c r="I66" s="45" t="str">
        <f t="shared" si="1"/>
        <v/>
      </c>
      <c r="J66" s="45" t="str">
        <f t="shared" si="5"/>
        <v/>
      </c>
      <c r="P66" s="45" t="str">
        <f t="shared" si="2"/>
        <v/>
      </c>
      <c r="Q66" s="45" t="str">
        <f t="shared" si="3"/>
        <v/>
      </c>
      <c r="R66" s="45" t="str">
        <f t="shared" si="4"/>
        <v/>
      </c>
    </row>
    <row r="67" spans="1:18">
      <c r="A67" s="18"/>
      <c r="H67" s="45" t="str">
        <f t="shared" si="0"/>
        <v/>
      </c>
      <c r="I67" s="45" t="str">
        <f t="shared" si="1"/>
        <v/>
      </c>
      <c r="J67" s="45" t="str">
        <f t="shared" si="5"/>
        <v/>
      </c>
      <c r="P67" s="45" t="str">
        <f t="shared" si="2"/>
        <v/>
      </c>
      <c r="Q67" s="45" t="str">
        <f t="shared" si="3"/>
        <v/>
      </c>
      <c r="R67" s="45" t="str">
        <f t="shared" si="4"/>
        <v/>
      </c>
    </row>
    <row r="68" spans="1:18">
      <c r="A68" s="18"/>
      <c r="H68" s="45" t="str">
        <f t="shared" si="0"/>
        <v/>
      </c>
      <c r="I68" s="45" t="str">
        <f t="shared" si="1"/>
        <v/>
      </c>
      <c r="J68" s="45" t="str">
        <f t="shared" si="5"/>
        <v/>
      </c>
      <c r="P68" s="45" t="str">
        <f t="shared" si="2"/>
        <v/>
      </c>
      <c r="Q68" s="45" t="str">
        <f t="shared" si="3"/>
        <v/>
      </c>
      <c r="R68" s="45" t="str">
        <f t="shared" si="4"/>
        <v/>
      </c>
    </row>
    <row r="69" spans="1:18">
      <c r="A69" s="18"/>
      <c r="H69" s="45" t="str">
        <f t="shared" si="0"/>
        <v/>
      </c>
      <c r="I69" s="45" t="str">
        <f t="shared" si="1"/>
        <v/>
      </c>
      <c r="J69" s="45" t="str">
        <f t="shared" si="5"/>
        <v/>
      </c>
      <c r="P69" s="45" t="str">
        <f t="shared" si="2"/>
        <v/>
      </c>
      <c r="Q69" s="45" t="str">
        <f t="shared" si="3"/>
        <v/>
      </c>
      <c r="R69" s="45" t="str">
        <f t="shared" si="4"/>
        <v/>
      </c>
    </row>
    <row r="70" spans="1:18">
      <c r="A70" s="18"/>
      <c r="H70" s="45" t="str">
        <f t="shared" si="0"/>
        <v/>
      </c>
      <c r="I70" s="45" t="str">
        <f t="shared" si="1"/>
        <v/>
      </c>
      <c r="J70" s="45" t="str">
        <f t="shared" si="5"/>
        <v/>
      </c>
      <c r="P70" s="45" t="str">
        <f t="shared" si="2"/>
        <v/>
      </c>
      <c r="Q70" s="45" t="str">
        <f t="shared" si="3"/>
        <v/>
      </c>
      <c r="R70" s="45" t="str">
        <f t="shared" si="4"/>
        <v/>
      </c>
    </row>
    <row r="71" spans="1:18">
      <c r="A71" s="18"/>
      <c r="H71" s="45" t="str">
        <f t="shared" si="0"/>
        <v/>
      </c>
      <c r="I71" s="45" t="str">
        <f t="shared" si="1"/>
        <v/>
      </c>
      <c r="J71" s="45" t="str">
        <f t="shared" si="5"/>
        <v/>
      </c>
      <c r="P71" s="45" t="str">
        <f t="shared" si="2"/>
        <v/>
      </c>
      <c r="Q71" s="45" t="str">
        <f t="shared" si="3"/>
        <v/>
      </c>
      <c r="R71" s="45" t="str">
        <f t="shared" si="4"/>
        <v/>
      </c>
    </row>
    <row r="72" spans="1:18">
      <c r="A72" s="18"/>
      <c r="H72" s="45" t="str">
        <f t="shared" ref="H72:H94" si="6">IF(F72&lt;&gt;"",IF(F72&lt;0.33,"Baja",IF(F72&lt;0.67,"Media","Alta")),"")</f>
        <v/>
      </c>
      <c r="I72" s="45" t="str">
        <f t="shared" ref="I72:I94" si="7">IF(G72&lt;&gt;"",IF(G72&lt;4,"Bajo",IF(G72&lt;=7,"Medio","Alto")),"")</f>
        <v/>
      </c>
      <c r="J72" s="45" t="str">
        <f t="shared" si="5"/>
        <v/>
      </c>
      <c r="P72" s="45" t="str">
        <f t="shared" ref="P72:P94" si="8">IF(N72&lt;&gt;"",IF(N72&lt;0.33,"Baja",IF(N72&lt;0.67,"Media","Alta")),"")</f>
        <v/>
      </c>
      <c r="Q72" s="45" t="str">
        <f t="shared" ref="Q72:Q94" si="9">IF(O72&lt;&gt;"",IF(O72&lt;4,"Bajo",IF(O72&lt;=7,"Medio","Alto")),"")</f>
        <v/>
      </c>
      <c r="R72" s="45" t="str">
        <f t="shared" ref="R72:R94" si="10">IF(AND(N72&lt;&gt;"",O72&lt;&gt;""),IF(AND(P72="Alta",Q72="Alto"),"Alto",IF(AND(P72="Alta",Q72="Medio"),"Alto",IF(AND(P72="Alta",Q72="Bajo"),"Medio",IF(AND(P72="Media",Q72="Alto"),"Alto",IF(AND(P72="Media",Q72="Medio"),"Medio",IF(AND(P72="Media",Q72="Bajo"),"Bajo",IF(AND(P72="Baja",Q72="Alto"),"Medio",IF(AND(P72="Baja",Q72="Medio"),"Bajo",IF(AND(P72="Baja",Q72="Bajo"),"Bajo"))))))))),"")</f>
        <v/>
      </c>
    </row>
    <row r="73" spans="1:18">
      <c r="A73" s="18"/>
      <c r="H73" s="45" t="str">
        <f t="shared" si="6"/>
        <v/>
      </c>
      <c r="I73" s="45" t="str">
        <f t="shared" si="7"/>
        <v/>
      </c>
      <c r="J73" s="45" t="str">
        <f t="shared" si="5"/>
        <v/>
      </c>
      <c r="P73" s="45" t="str">
        <f t="shared" si="8"/>
        <v/>
      </c>
      <c r="Q73" s="45" t="str">
        <f t="shared" si="9"/>
        <v/>
      </c>
      <c r="R73" s="45" t="str">
        <f t="shared" si="10"/>
        <v/>
      </c>
    </row>
    <row r="74" spans="1:18">
      <c r="A74" s="18"/>
      <c r="H74" s="45" t="str">
        <f t="shared" si="6"/>
        <v/>
      </c>
      <c r="I74" s="45" t="str">
        <f t="shared" si="7"/>
        <v/>
      </c>
      <c r="J74" s="45" t="str">
        <f t="shared" ref="J74:J94" si="11">IF(AND(F74&lt;&gt;"",G74&lt;&gt;""),IF(AND(H74="Alta",I74="Alto"),"Alto",IF(AND(H74="Alta",I74="Medio"),"Alto",IF(AND(H74="Alta",I74="Bajo"),"Medio",IF(AND(H74="Media",I74="Alto"),"Alto",IF(AND(H74="Media",I74="Medio"),"Medio",IF(AND(H74="Media",I74="Bajo"),"Bajo",IF(AND(H74="Baja",I74="Alto"),"Medio",IF(AND(H74="Baja",I74="Medio"),"Bajo",IF(AND(H74="Baja",I74="Bajo"),"Bajo"))))))))),"")</f>
        <v/>
      </c>
      <c r="P74" s="45" t="str">
        <f t="shared" si="8"/>
        <v/>
      </c>
      <c r="Q74" s="45" t="str">
        <f t="shared" si="9"/>
        <v/>
      </c>
      <c r="R74" s="45" t="str">
        <f t="shared" si="10"/>
        <v/>
      </c>
    </row>
    <row r="75" spans="1:18">
      <c r="A75" s="18"/>
      <c r="H75" s="45" t="str">
        <f t="shared" si="6"/>
        <v/>
      </c>
      <c r="I75" s="45" t="str">
        <f t="shared" si="7"/>
        <v/>
      </c>
      <c r="J75" s="45" t="str">
        <f t="shared" si="11"/>
        <v/>
      </c>
      <c r="P75" s="45" t="str">
        <f t="shared" si="8"/>
        <v/>
      </c>
      <c r="Q75" s="45" t="str">
        <f t="shared" si="9"/>
        <v/>
      </c>
      <c r="R75" s="45" t="str">
        <f t="shared" si="10"/>
        <v/>
      </c>
    </row>
    <row r="76" spans="1:18">
      <c r="A76" s="18"/>
      <c r="H76" s="45" t="str">
        <f t="shared" si="6"/>
        <v/>
      </c>
      <c r="I76" s="45" t="str">
        <f t="shared" si="7"/>
        <v/>
      </c>
      <c r="J76" s="45" t="str">
        <f t="shared" si="11"/>
        <v/>
      </c>
      <c r="P76" s="45" t="str">
        <f t="shared" si="8"/>
        <v/>
      </c>
      <c r="Q76" s="45" t="str">
        <f t="shared" si="9"/>
        <v/>
      </c>
      <c r="R76" s="45" t="str">
        <f t="shared" si="10"/>
        <v/>
      </c>
    </row>
    <row r="77" spans="1:18">
      <c r="A77" s="18"/>
      <c r="H77" s="45" t="str">
        <f t="shared" si="6"/>
        <v/>
      </c>
      <c r="I77" s="45" t="str">
        <f t="shared" si="7"/>
        <v/>
      </c>
      <c r="J77" s="45" t="str">
        <f t="shared" si="11"/>
        <v/>
      </c>
      <c r="P77" s="45" t="str">
        <f t="shared" si="8"/>
        <v/>
      </c>
      <c r="Q77" s="45" t="str">
        <f t="shared" si="9"/>
        <v/>
      </c>
      <c r="R77" s="45" t="str">
        <f t="shared" si="10"/>
        <v/>
      </c>
    </row>
    <row r="78" spans="1:18">
      <c r="A78" s="18"/>
      <c r="H78" s="45" t="str">
        <f t="shared" si="6"/>
        <v/>
      </c>
      <c r="I78" s="45" t="str">
        <f t="shared" si="7"/>
        <v/>
      </c>
      <c r="J78" s="45" t="str">
        <f t="shared" si="11"/>
        <v/>
      </c>
      <c r="P78" s="45" t="str">
        <f t="shared" si="8"/>
        <v/>
      </c>
      <c r="Q78" s="45" t="str">
        <f t="shared" si="9"/>
        <v/>
      </c>
      <c r="R78" s="45" t="str">
        <f t="shared" si="10"/>
        <v/>
      </c>
    </row>
    <row r="79" spans="1:18">
      <c r="A79" s="18"/>
      <c r="H79" s="45" t="str">
        <f t="shared" si="6"/>
        <v/>
      </c>
      <c r="I79" s="45" t="str">
        <f t="shared" si="7"/>
        <v/>
      </c>
      <c r="J79" s="45" t="str">
        <f t="shared" si="11"/>
        <v/>
      </c>
      <c r="P79" s="45" t="str">
        <f t="shared" si="8"/>
        <v/>
      </c>
      <c r="Q79" s="45" t="str">
        <f t="shared" si="9"/>
        <v/>
      </c>
      <c r="R79" s="45" t="str">
        <f t="shared" si="10"/>
        <v/>
      </c>
    </row>
    <row r="80" spans="1:18">
      <c r="A80" s="18"/>
      <c r="H80" s="45" t="str">
        <f t="shared" si="6"/>
        <v/>
      </c>
      <c r="I80" s="45" t="str">
        <f t="shared" si="7"/>
        <v/>
      </c>
      <c r="J80" s="45" t="str">
        <f t="shared" si="11"/>
        <v/>
      </c>
      <c r="P80" s="45" t="str">
        <f t="shared" si="8"/>
        <v/>
      </c>
      <c r="Q80" s="45" t="str">
        <f t="shared" si="9"/>
        <v/>
      </c>
      <c r="R80" s="45" t="str">
        <f t="shared" si="10"/>
        <v/>
      </c>
    </row>
    <row r="81" spans="1:18">
      <c r="A81" s="18"/>
      <c r="H81" s="45" t="str">
        <f t="shared" si="6"/>
        <v/>
      </c>
      <c r="I81" s="45" t="str">
        <f t="shared" si="7"/>
        <v/>
      </c>
      <c r="J81" s="45" t="str">
        <f t="shared" si="11"/>
        <v/>
      </c>
      <c r="P81" s="45" t="str">
        <f t="shared" si="8"/>
        <v/>
      </c>
      <c r="Q81" s="45" t="str">
        <f t="shared" si="9"/>
        <v/>
      </c>
      <c r="R81" s="45" t="str">
        <f t="shared" si="10"/>
        <v/>
      </c>
    </row>
    <row r="82" spans="1:18">
      <c r="A82" s="18"/>
      <c r="H82" s="45" t="str">
        <f t="shared" si="6"/>
        <v/>
      </c>
      <c r="I82" s="45" t="str">
        <f t="shared" si="7"/>
        <v/>
      </c>
      <c r="J82" s="45" t="str">
        <f t="shared" si="11"/>
        <v/>
      </c>
      <c r="P82" s="45" t="str">
        <f t="shared" si="8"/>
        <v/>
      </c>
      <c r="Q82" s="45" t="str">
        <f t="shared" si="9"/>
        <v/>
      </c>
      <c r="R82" s="45" t="str">
        <f t="shared" si="10"/>
        <v/>
      </c>
    </row>
    <row r="83" spans="1:18">
      <c r="A83" s="18"/>
      <c r="H83" s="45" t="str">
        <f t="shared" si="6"/>
        <v/>
      </c>
      <c r="I83" s="45" t="str">
        <f t="shared" si="7"/>
        <v/>
      </c>
      <c r="J83" s="45" t="str">
        <f t="shared" si="11"/>
        <v/>
      </c>
      <c r="P83" s="45" t="str">
        <f t="shared" si="8"/>
        <v/>
      </c>
      <c r="Q83" s="45" t="str">
        <f t="shared" si="9"/>
        <v/>
      </c>
      <c r="R83" s="45" t="str">
        <f t="shared" si="10"/>
        <v/>
      </c>
    </row>
    <row r="84" spans="1:18">
      <c r="A84" s="18"/>
      <c r="H84" s="45" t="str">
        <f t="shared" si="6"/>
        <v/>
      </c>
      <c r="I84" s="45" t="str">
        <f t="shared" si="7"/>
        <v/>
      </c>
      <c r="J84" s="45" t="str">
        <f t="shared" si="11"/>
        <v/>
      </c>
      <c r="P84" s="45" t="str">
        <f t="shared" si="8"/>
        <v/>
      </c>
      <c r="Q84" s="45" t="str">
        <f t="shared" si="9"/>
        <v/>
      </c>
      <c r="R84" s="45" t="str">
        <f t="shared" si="10"/>
        <v/>
      </c>
    </row>
    <row r="85" spans="1:18">
      <c r="A85" s="18"/>
      <c r="H85" s="45" t="str">
        <f t="shared" si="6"/>
        <v/>
      </c>
      <c r="I85" s="45" t="str">
        <f t="shared" si="7"/>
        <v/>
      </c>
      <c r="J85" s="45" t="str">
        <f t="shared" si="11"/>
        <v/>
      </c>
      <c r="P85" s="45" t="str">
        <f t="shared" si="8"/>
        <v/>
      </c>
      <c r="Q85" s="45" t="str">
        <f t="shared" si="9"/>
        <v/>
      </c>
      <c r="R85" s="45" t="str">
        <f t="shared" si="10"/>
        <v/>
      </c>
    </row>
    <row r="86" spans="1:18">
      <c r="A86" s="18"/>
      <c r="H86" s="45" t="str">
        <f t="shared" si="6"/>
        <v/>
      </c>
      <c r="I86" s="45" t="str">
        <f t="shared" si="7"/>
        <v/>
      </c>
      <c r="J86" s="45" t="str">
        <f t="shared" si="11"/>
        <v/>
      </c>
      <c r="P86" s="45" t="str">
        <f t="shared" si="8"/>
        <v/>
      </c>
      <c r="Q86" s="45" t="str">
        <f t="shared" si="9"/>
        <v/>
      </c>
      <c r="R86" s="45" t="str">
        <f t="shared" si="10"/>
        <v/>
      </c>
    </row>
    <row r="87" spans="1:18">
      <c r="A87" s="18"/>
      <c r="H87" s="45" t="str">
        <f t="shared" si="6"/>
        <v/>
      </c>
      <c r="I87" s="45" t="str">
        <f t="shared" si="7"/>
        <v/>
      </c>
      <c r="J87" s="45" t="str">
        <f t="shared" si="11"/>
        <v/>
      </c>
      <c r="P87" s="45" t="str">
        <f t="shared" si="8"/>
        <v/>
      </c>
      <c r="Q87" s="45" t="str">
        <f t="shared" si="9"/>
        <v/>
      </c>
      <c r="R87" s="45" t="str">
        <f t="shared" si="10"/>
        <v/>
      </c>
    </row>
    <row r="88" spans="1:18">
      <c r="A88" s="18"/>
      <c r="H88" s="45" t="str">
        <f t="shared" si="6"/>
        <v/>
      </c>
      <c r="I88" s="45" t="str">
        <f t="shared" si="7"/>
        <v/>
      </c>
      <c r="J88" s="45" t="str">
        <f t="shared" si="11"/>
        <v/>
      </c>
      <c r="P88" s="45" t="str">
        <f t="shared" si="8"/>
        <v/>
      </c>
      <c r="Q88" s="45" t="str">
        <f t="shared" si="9"/>
        <v/>
      </c>
      <c r="R88" s="45" t="str">
        <f t="shared" si="10"/>
        <v/>
      </c>
    </row>
    <row r="89" spans="1:18">
      <c r="A89" s="18"/>
      <c r="H89" s="45" t="str">
        <f t="shared" si="6"/>
        <v/>
      </c>
      <c r="I89" s="45" t="str">
        <f t="shared" si="7"/>
        <v/>
      </c>
      <c r="J89" s="45" t="str">
        <f t="shared" si="11"/>
        <v/>
      </c>
      <c r="P89" s="45" t="str">
        <f t="shared" si="8"/>
        <v/>
      </c>
      <c r="Q89" s="45" t="str">
        <f t="shared" si="9"/>
        <v/>
      </c>
      <c r="R89" s="45" t="str">
        <f t="shared" si="10"/>
        <v/>
      </c>
    </row>
    <row r="90" spans="1:18">
      <c r="A90" s="18"/>
      <c r="H90" s="45" t="str">
        <f t="shared" si="6"/>
        <v/>
      </c>
      <c r="I90" s="45" t="str">
        <f t="shared" si="7"/>
        <v/>
      </c>
      <c r="J90" s="45" t="str">
        <f t="shared" si="11"/>
        <v/>
      </c>
      <c r="P90" s="45" t="str">
        <f t="shared" si="8"/>
        <v/>
      </c>
      <c r="Q90" s="45" t="str">
        <f t="shared" si="9"/>
        <v/>
      </c>
      <c r="R90" s="45" t="str">
        <f t="shared" si="10"/>
        <v/>
      </c>
    </row>
    <row r="91" spans="1:18">
      <c r="A91" s="18"/>
      <c r="H91" s="45" t="str">
        <f t="shared" si="6"/>
        <v/>
      </c>
      <c r="I91" s="45" t="str">
        <f t="shared" si="7"/>
        <v/>
      </c>
      <c r="J91" s="45" t="str">
        <f t="shared" si="11"/>
        <v/>
      </c>
      <c r="P91" s="45" t="str">
        <f t="shared" si="8"/>
        <v/>
      </c>
      <c r="Q91" s="45" t="str">
        <f t="shared" si="9"/>
        <v/>
      </c>
      <c r="R91" s="45" t="str">
        <f t="shared" si="10"/>
        <v/>
      </c>
    </row>
    <row r="92" spans="1:18">
      <c r="A92" s="18"/>
      <c r="H92" s="45" t="str">
        <f t="shared" si="6"/>
        <v/>
      </c>
      <c r="I92" s="45" t="str">
        <f t="shared" si="7"/>
        <v/>
      </c>
      <c r="J92" s="45" t="str">
        <f t="shared" si="11"/>
        <v/>
      </c>
      <c r="P92" s="45" t="str">
        <f t="shared" si="8"/>
        <v/>
      </c>
      <c r="Q92" s="45" t="str">
        <f t="shared" si="9"/>
        <v/>
      </c>
      <c r="R92" s="45" t="str">
        <f t="shared" si="10"/>
        <v/>
      </c>
    </row>
    <row r="93" spans="1:18">
      <c r="A93" s="18"/>
      <c r="H93" s="45" t="str">
        <f t="shared" si="6"/>
        <v/>
      </c>
      <c r="I93" s="45" t="str">
        <f t="shared" si="7"/>
        <v/>
      </c>
      <c r="J93" s="45" t="str">
        <f t="shared" si="11"/>
        <v/>
      </c>
      <c r="P93" s="45" t="str">
        <f t="shared" si="8"/>
        <v/>
      </c>
      <c r="Q93" s="45" t="str">
        <f t="shared" si="9"/>
        <v/>
      </c>
      <c r="R93" s="45" t="str">
        <f t="shared" si="10"/>
        <v/>
      </c>
    </row>
    <row r="94" spans="1:18">
      <c r="A94" s="18"/>
      <c r="H94" s="45" t="str">
        <f t="shared" si="6"/>
        <v/>
      </c>
      <c r="I94" s="45" t="str">
        <f t="shared" si="7"/>
        <v/>
      </c>
      <c r="J94" s="45" t="str">
        <f t="shared" si="11"/>
        <v/>
      </c>
      <c r="P94" s="45" t="str">
        <f t="shared" si="8"/>
        <v/>
      </c>
      <c r="Q94" s="45" t="str">
        <f t="shared" si="9"/>
        <v/>
      </c>
      <c r="R94" s="45" t="str">
        <f t="shared" si="10"/>
        <v/>
      </c>
    </row>
    <row r="95" spans="1:18">
      <c r="A95" s="18"/>
    </row>
    <row r="96" spans="1:18">
      <c r="A96" s="18"/>
    </row>
    <row r="97" spans="1:22">
      <c r="A97" s="18"/>
    </row>
    <row r="98" spans="1:22">
      <c r="A98" s="18"/>
      <c r="V98" s="39"/>
    </row>
    <row r="99" spans="1:22">
      <c r="A99" s="18"/>
      <c r="V99" s="39"/>
    </row>
    <row r="100" spans="1:22">
      <c r="A100" s="18"/>
      <c r="V100" s="39"/>
    </row>
    <row r="101" spans="1:22">
      <c r="A101" s="18"/>
      <c r="V101" s="39"/>
    </row>
    <row r="102" spans="1:22">
      <c r="A102" s="18"/>
      <c r="V102" s="39"/>
    </row>
    <row r="103" spans="1:22">
      <c r="A103" s="18"/>
      <c r="V103" s="39"/>
    </row>
    <row r="104" spans="1:22">
      <c r="A104" s="18"/>
      <c r="V104" s="39"/>
    </row>
    <row r="105" spans="1:22">
      <c r="A105" s="18"/>
      <c r="V105" s="39"/>
    </row>
    <row r="106" spans="1:22">
      <c r="A106" s="18"/>
      <c r="V106" s="39"/>
    </row>
    <row r="107" spans="1:22">
      <c r="A107" s="18"/>
      <c r="V107" s="39"/>
    </row>
    <row r="108" spans="1:22">
      <c r="A108" s="18"/>
      <c r="V108" s="39"/>
    </row>
    <row r="109" spans="1:22">
      <c r="A109" s="18"/>
    </row>
  </sheetData>
  <mergeCells count="8">
    <mergeCell ref="W6:Y6"/>
    <mergeCell ref="AE6:AG6"/>
    <mergeCell ref="A1:B5"/>
    <mergeCell ref="C1:R5"/>
    <mergeCell ref="V1:Y1"/>
    <mergeCell ref="AD1:AG1"/>
    <mergeCell ref="U2:U5"/>
    <mergeCell ref="AC2:AC5"/>
  </mergeCells>
  <conditionalFormatting sqref="J1:J109 R1:R109">
    <cfRule type="cellIs" dxfId="44" priority="1" operator="equal">
      <formula>"Bajo"</formula>
    </cfRule>
    <cfRule type="cellIs" dxfId="43" priority="2" operator="equal">
      <formula>"Medio"</formula>
    </cfRule>
    <cfRule type="cellIs" dxfId="42" priority="3" operator="equal">
      <formula>"Alto"</formula>
    </cfRule>
  </conditionalFormatting>
  <conditionalFormatting sqref="W9:Z10 W13:Z108">
    <cfRule type="cellIs" dxfId="41" priority="4" operator="greaterThan">
      <formula>8.9</formula>
    </cfRule>
  </conditionalFormatting>
  <dataValidations count="2">
    <dataValidation type="list" allowBlank="1" showInputMessage="1" showErrorMessage="1" sqref="AA2" xr:uid="{8EEF9750-E63C-46F4-B756-4031C3176460}">
      <formula1>"Si, No"</formula1>
    </dataValidation>
    <dataValidation type="list" allowBlank="1" showInputMessage="1" showErrorMessage="1" sqref="S5" xr:uid="{1C26AF5A-26E5-4428-8DFF-56CD33913033}">
      <formula1>"Pública, Interna, Restringida, Confindencial"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E8BA-6CE6-4A74-A336-505436E9B9FC}">
  <dimension ref="A1:AF87"/>
  <sheetViews>
    <sheetView topLeftCell="A38" workbookViewId="0">
      <selection activeCell="C43" sqref="C43"/>
    </sheetView>
  </sheetViews>
  <sheetFormatPr defaultColWidth="9.140625" defaultRowHeight="18" customHeight="1"/>
  <cols>
    <col min="1" max="1" width="17" style="44" customWidth="1"/>
    <col min="2" max="2" width="13.5703125" style="44" customWidth="1"/>
    <col min="3" max="3" width="19.140625" style="43" customWidth="1"/>
    <col min="4" max="6" width="13.85546875" style="44" customWidth="1"/>
    <col min="7" max="7" width="12" style="44" bestFit="1" customWidth="1"/>
    <col min="8" max="8" width="33.42578125" style="44" customWidth="1"/>
    <col min="9" max="9" width="10.85546875" style="44" customWidth="1"/>
    <col min="10" max="10" width="15.85546875" style="44" customWidth="1"/>
    <col min="11" max="11" width="17.28515625" style="44" customWidth="1"/>
    <col min="12" max="12" width="13.140625" style="44" customWidth="1"/>
    <col min="13" max="13" width="10.7109375" style="44" customWidth="1"/>
    <col min="14" max="14" width="9.140625" style="44" customWidth="1"/>
    <col min="15" max="15" width="16.140625" style="44" customWidth="1"/>
    <col min="16" max="17" width="9.140625" style="51"/>
    <col min="18" max="18" width="17.5703125" style="44" customWidth="1"/>
    <col min="19" max="19" width="10.140625" style="44" bestFit="1" customWidth="1"/>
    <col min="20" max="20" width="17.140625" style="44" customWidth="1"/>
    <col min="21" max="23" width="9.140625" style="51"/>
    <col min="24" max="24" width="12.140625" style="51" customWidth="1"/>
    <col min="25" max="25" width="9.140625" style="51" customWidth="1"/>
    <col min="26" max="26" width="21.140625" style="51" customWidth="1"/>
    <col min="27" max="27" width="16" style="51" customWidth="1"/>
    <col min="28" max="28" width="16.42578125" style="51" customWidth="1"/>
    <col min="29" max="29" width="67.7109375" style="51" customWidth="1"/>
    <col min="30" max="16384" width="9.140625" style="51"/>
  </cols>
  <sheetData>
    <row r="1" spans="1:30" s="109" customFormat="1" ht="22.5" customHeight="1">
      <c r="A1" s="105" t="s">
        <v>77</v>
      </c>
      <c r="B1" s="106" t="s">
        <v>78</v>
      </c>
      <c r="C1" s="105" t="s">
        <v>79</v>
      </c>
      <c r="D1" s="107" t="s">
        <v>80</v>
      </c>
      <c r="E1" s="108" t="s">
        <v>81</v>
      </c>
      <c r="F1" s="108" t="s">
        <v>82</v>
      </c>
      <c r="G1" s="108" t="s">
        <v>83</v>
      </c>
      <c r="H1" s="106" t="s">
        <v>84</v>
      </c>
      <c r="I1" s="105" t="s">
        <v>85</v>
      </c>
      <c r="J1" s="105" t="s">
        <v>86</v>
      </c>
      <c r="K1" s="105" t="s">
        <v>87</v>
      </c>
      <c r="L1" s="105" t="s">
        <v>88</v>
      </c>
      <c r="M1" s="105" t="s">
        <v>89</v>
      </c>
      <c r="N1" s="105" t="s">
        <v>90</v>
      </c>
      <c r="O1" s="105" t="s">
        <v>91</v>
      </c>
      <c r="P1" s="105" t="s">
        <v>92</v>
      </c>
    </row>
    <row r="2" spans="1:30" s="74" customFormat="1" ht="18" customHeight="1">
      <c r="A2" s="53" t="s">
        <v>93</v>
      </c>
      <c r="B2" s="53" t="s">
        <v>94</v>
      </c>
      <c r="C2" s="80" t="s">
        <v>95</v>
      </c>
      <c r="D2" s="53" t="s">
        <v>96</v>
      </c>
      <c r="E2" s="44" t="s">
        <v>97</v>
      </c>
      <c r="F2" s="44" t="s">
        <v>97</v>
      </c>
      <c r="G2" s="44" t="s">
        <v>97</v>
      </c>
      <c r="H2" s="53">
        <v>33</v>
      </c>
      <c r="I2" s="79">
        <v>45882</v>
      </c>
      <c r="J2" s="79">
        <v>45882</v>
      </c>
      <c r="K2" s="53">
        <v>34.5</v>
      </c>
      <c r="L2" s="53">
        <v>8</v>
      </c>
      <c r="M2" s="81">
        <v>0.2878787878787879</v>
      </c>
      <c r="N2" s="53">
        <v>5</v>
      </c>
      <c r="O2" s="53" t="s">
        <v>98</v>
      </c>
      <c r="P2" s="53" t="s">
        <v>99</v>
      </c>
      <c r="S2" s="53"/>
      <c r="T2" s="53"/>
      <c r="U2" s="53"/>
    </row>
    <row r="3" spans="1:30" s="74" customFormat="1" ht="18" customHeight="1">
      <c r="A3" s="53" t="s">
        <v>93</v>
      </c>
      <c r="B3" s="53" t="s">
        <v>100</v>
      </c>
      <c r="C3" s="80" t="s">
        <v>101</v>
      </c>
      <c r="D3" s="53" t="s">
        <v>96</v>
      </c>
      <c r="E3" s="44" t="s">
        <v>97</v>
      </c>
      <c r="F3" s="44" t="s">
        <v>97</v>
      </c>
      <c r="G3" s="44" t="s">
        <v>97</v>
      </c>
      <c r="H3" s="53">
        <v>12</v>
      </c>
      <c r="I3" s="79">
        <v>45891</v>
      </c>
      <c r="J3" s="79">
        <v>45891</v>
      </c>
      <c r="K3" s="53">
        <v>14</v>
      </c>
      <c r="L3" s="53">
        <v>1</v>
      </c>
      <c r="M3" s="81">
        <v>0.25</v>
      </c>
      <c r="N3" s="53">
        <v>3</v>
      </c>
      <c r="O3" s="53" t="s">
        <v>98</v>
      </c>
      <c r="P3" s="53" t="s">
        <v>99</v>
      </c>
      <c r="S3" s="53"/>
      <c r="T3" s="53"/>
      <c r="U3" s="53"/>
    </row>
    <row r="4" spans="1:30" s="74" customFormat="1" ht="30" customHeight="1">
      <c r="A4" s="53" t="s">
        <v>93</v>
      </c>
      <c r="B4" s="53" t="s">
        <v>102</v>
      </c>
      <c r="C4" s="80" t="s">
        <v>103</v>
      </c>
      <c r="D4" s="53" t="s">
        <v>96</v>
      </c>
      <c r="E4" s="44" t="s">
        <v>97</v>
      </c>
      <c r="F4" s="44" t="s">
        <v>97</v>
      </c>
      <c r="G4" s="44" t="s">
        <v>97</v>
      </c>
      <c r="H4" s="53">
        <v>8</v>
      </c>
      <c r="I4" s="79">
        <v>45883</v>
      </c>
      <c r="J4" s="79">
        <v>45884</v>
      </c>
      <c r="K4" s="53">
        <v>8</v>
      </c>
      <c r="L4" s="53">
        <v>2</v>
      </c>
      <c r="M4" s="81">
        <v>0.25</v>
      </c>
      <c r="N4" s="53">
        <v>3</v>
      </c>
      <c r="O4" s="53" t="s">
        <v>98</v>
      </c>
      <c r="P4" s="53" t="s">
        <v>99</v>
      </c>
    </row>
    <row r="5" spans="1:30" s="74" customFormat="1" ht="18" customHeight="1">
      <c r="A5" s="53" t="s">
        <v>93</v>
      </c>
      <c r="B5" s="53" t="s">
        <v>104</v>
      </c>
      <c r="C5" s="80" t="s">
        <v>105</v>
      </c>
      <c r="D5" s="53" t="s">
        <v>106</v>
      </c>
      <c r="E5" s="44" t="s">
        <v>97</v>
      </c>
      <c r="F5" s="44" t="s">
        <v>97</v>
      </c>
      <c r="G5" s="44" t="s">
        <v>97</v>
      </c>
      <c r="H5" s="53">
        <v>16</v>
      </c>
      <c r="I5" s="79">
        <v>45877</v>
      </c>
      <c r="J5" s="79">
        <v>45877</v>
      </c>
      <c r="K5" s="53">
        <v>16</v>
      </c>
      <c r="L5" s="53">
        <v>4</v>
      </c>
      <c r="M5" s="81">
        <v>0.25</v>
      </c>
      <c r="N5" s="53">
        <v>2</v>
      </c>
      <c r="O5" s="53" t="s">
        <v>98</v>
      </c>
      <c r="P5" s="53" t="s">
        <v>99</v>
      </c>
    </row>
    <row r="6" spans="1:30" s="74" customFormat="1" ht="28.5" customHeight="1">
      <c r="A6" s="53" t="s">
        <v>93</v>
      </c>
      <c r="B6" s="53" t="s">
        <v>107</v>
      </c>
      <c r="C6" s="80" t="s">
        <v>108</v>
      </c>
      <c r="D6" s="53" t="s">
        <v>109</v>
      </c>
      <c r="E6" s="44" t="s">
        <v>110</v>
      </c>
      <c r="F6" s="44" t="s">
        <v>110</v>
      </c>
      <c r="G6" s="44" t="s">
        <v>110</v>
      </c>
      <c r="H6" s="53">
        <v>16</v>
      </c>
      <c r="I6" s="79">
        <v>45889</v>
      </c>
      <c r="J6" s="79">
        <v>45889</v>
      </c>
      <c r="K6" s="53">
        <v>20</v>
      </c>
      <c r="L6" s="53">
        <v>3</v>
      </c>
      <c r="M6" s="81">
        <v>0.4375</v>
      </c>
      <c r="N6" s="53">
        <v>1</v>
      </c>
      <c r="O6" s="53" t="s">
        <v>98</v>
      </c>
      <c r="P6" s="53" t="s">
        <v>99</v>
      </c>
      <c r="S6" s="97"/>
      <c r="T6" s="97"/>
      <c r="U6" s="97"/>
      <c r="V6" s="97"/>
      <c r="W6" s="97"/>
      <c r="X6" s="97"/>
      <c r="Y6" s="97"/>
      <c r="Z6" s="97"/>
      <c r="AA6" s="97"/>
      <c r="AB6" s="97"/>
      <c r="AC6" s="97"/>
      <c r="AD6" s="97"/>
    </row>
    <row r="7" spans="1:30" s="74" customFormat="1" ht="18" customHeight="1">
      <c r="A7" s="53" t="s">
        <v>93</v>
      </c>
      <c r="B7" s="53" t="s">
        <v>111</v>
      </c>
      <c r="C7" s="80" t="s">
        <v>112</v>
      </c>
      <c r="D7" s="53" t="s">
        <v>113</v>
      </c>
      <c r="E7" s="44" t="s">
        <v>97</v>
      </c>
      <c r="F7" s="44" t="s">
        <v>97</v>
      </c>
      <c r="G7" s="44" t="s">
        <v>97</v>
      </c>
      <c r="H7" s="53">
        <v>4</v>
      </c>
      <c r="I7" s="79">
        <v>45889</v>
      </c>
      <c r="J7" s="79">
        <v>45877</v>
      </c>
      <c r="K7" s="53">
        <v>0</v>
      </c>
      <c r="L7" s="53">
        <v>5</v>
      </c>
      <c r="M7" s="81">
        <v>0.25</v>
      </c>
      <c r="N7" s="53">
        <v>1</v>
      </c>
      <c r="O7" s="53" t="s">
        <v>98</v>
      </c>
      <c r="P7" s="53" t="s">
        <v>99</v>
      </c>
      <c r="S7" s="97"/>
      <c r="T7" s="97"/>
      <c r="U7" s="97"/>
      <c r="V7" s="97"/>
      <c r="W7" s="97"/>
      <c r="X7" s="97"/>
      <c r="Y7" s="97"/>
      <c r="Z7" s="97"/>
      <c r="AA7" s="97"/>
      <c r="AB7" s="97"/>
      <c r="AC7" s="97"/>
      <c r="AD7" s="97"/>
    </row>
    <row r="8" spans="1:30" s="74" customFormat="1" ht="27" customHeight="1">
      <c r="A8" s="53" t="s">
        <v>93</v>
      </c>
      <c r="B8" s="53" t="s">
        <v>114</v>
      </c>
      <c r="C8" s="80" t="s">
        <v>115</v>
      </c>
      <c r="D8" s="53" t="s">
        <v>116</v>
      </c>
      <c r="E8" s="44" t="s">
        <v>97</v>
      </c>
      <c r="F8" s="44" t="s">
        <v>97</v>
      </c>
      <c r="G8" s="44" t="s">
        <v>97</v>
      </c>
      <c r="H8" s="53">
        <v>2</v>
      </c>
      <c r="I8" s="79">
        <v>45889</v>
      </c>
      <c r="J8" s="79">
        <v>45889</v>
      </c>
      <c r="K8" s="53">
        <v>0</v>
      </c>
      <c r="L8" s="53">
        <v>2</v>
      </c>
      <c r="M8" s="81">
        <v>0</v>
      </c>
      <c r="N8" s="53">
        <v>1</v>
      </c>
      <c r="O8" s="53" t="s">
        <v>98</v>
      </c>
      <c r="P8" s="53" t="s">
        <v>99</v>
      </c>
      <c r="S8" s="97"/>
      <c r="T8" s="97"/>
      <c r="U8" s="97"/>
      <c r="V8" s="97"/>
      <c r="W8" s="97"/>
      <c r="X8" s="97"/>
      <c r="Y8" s="97"/>
      <c r="Z8" s="97"/>
      <c r="AA8" s="97"/>
      <c r="AB8" s="97"/>
      <c r="AC8" s="97"/>
      <c r="AD8" s="97"/>
    </row>
    <row r="9" spans="1:30" s="74" customFormat="1" ht="18" customHeight="1">
      <c r="A9" s="85" t="s">
        <v>93</v>
      </c>
      <c r="B9" s="85" t="s">
        <v>117</v>
      </c>
      <c r="C9" s="88" t="s">
        <v>118</v>
      </c>
      <c r="D9" s="85" t="s">
        <v>106</v>
      </c>
      <c r="E9" s="85" t="s">
        <v>97</v>
      </c>
      <c r="F9" s="85" t="s">
        <v>97</v>
      </c>
      <c r="G9" s="85" t="s">
        <v>97</v>
      </c>
      <c r="H9" s="85">
        <v>16</v>
      </c>
      <c r="I9" s="89">
        <v>45908</v>
      </c>
      <c r="J9" s="89">
        <v>45908</v>
      </c>
      <c r="K9" s="85">
        <v>12</v>
      </c>
      <c r="L9" s="85">
        <v>8</v>
      </c>
      <c r="M9" s="90">
        <v>0.25</v>
      </c>
      <c r="N9" s="85">
        <v>3</v>
      </c>
      <c r="O9" s="85" t="s">
        <v>119</v>
      </c>
      <c r="P9" s="85" t="s">
        <v>99</v>
      </c>
      <c r="S9" s="97"/>
      <c r="T9" s="97"/>
      <c r="U9" s="97"/>
      <c r="V9" s="97"/>
      <c r="W9" s="97"/>
      <c r="X9" s="97"/>
      <c r="Y9" s="97"/>
      <c r="Z9" s="97"/>
      <c r="AA9" s="97"/>
      <c r="AB9" s="97"/>
      <c r="AC9" s="97"/>
      <c r="AD9" s="97"/>
    </row>
    <row r="10" spans="1:30" s="74" customFormat="1" ht="18" customHeight="1">
      <c r="A10" s="85" t="s">
        <v>93</v>
      </c>
      <c r="B10" s="85" t="s">
        <v>120</v>
      </c>
      <c r="C10" s="88" t="s">
        <v>121</v>
      </c>
      <c r="D10" s="85" t="s">
        <v>113</v>
      </c>
      <c r="E10" s="85" t="s">
        <v>97</v>
      </c>
      <c r="F10" s="85" t="s">
        <v>97</v>
      </c>
      <c r="G10" s="85" t="s">
        <v>97</v>
      </c>
      <c r="H10" s="85">
        <v>8</v>
      </c>
      <c r="I10" s="89">
        <v>45909</v>
      </c>
      <c r="J10" s="89">
        <v>45909</v>
      </c>
      <c r="K10" s="85">
        <v>0</v>
      </c>
      <c r="L10" s="85">
        <v>10</v>
      </c>
      <c r="M10" s="90">
        <v>0.25</v>
      </c>
      <c r="N10" s="85">
        <v>2</v>
      </c>
      <c r="O10" s="85" t="s">
        <v>119</v>
      </c>
      <c r="P10" s="85" t="s">
        <v>99</v>
      </c>
      <c r="S10" s="97"/>
      <c r="T10" s="97"/>
      <c r="U10" s="97"/>
      <c r="V10" s="97"/>
      <c r="W10" s="97"/>
      <c r="X10" s="97"/>
      <c r="Y10" s="97"/>
      <c r="Z10" s="97"/>
      <c r="AA10" s="97"/>
      <c r="AB10" s="97"/>
      <c r="AC10" s="97"/>
      <c r="AD10" s="97"/>
    </row>
    <row r="11" spans="1:30" s="74" customFormat="1" ht="18" customHeight="1">
      <c r="A11" s="85" t="s">
        <v>93</v>
      </c>
      <c r="B11" s="85" t="s">
        <v>122</v>
      </c>
      <c r="C11" s="88" t="s">
        <v>123</v>
      </c>
      <c r="D11" s="85" t="s">
        <v>113</v>
      </c>
      <c r="E11" s="85" t="s">
        <v>97</v>
      </c>
      <c r="F11" s="85" t="s">
        <v>97</v>
      </c>
      <c r="G11" s="85" t="s">
        <v>97</v>
      </c>
      <c r="H11" s="85">
        <v>16</v>
      </c>
      <c r="I11" s="89">
        <v>45909</v>
      </c>
      <c r="J11" s="89">
        <v>45909</v>
      </c>
      <c r="K11" s="85">
        <v>0</v>
      </c>
      <c r="L11" s="85">
        <v>20</v>
      </c>
      <c r="M11" s="90">
        <v>0.25</v>
      </c>
      <c r="N11" s="85">
        <v>4</v>
      </c>
      <c r="O11" s="85" t="s">
        <v>119</v>
      </c>
      <c r="P11" s="85" t="s">
        <v>99</v>
      </c>
      <c r="S11" s="97"/>
      <c r="T11" s="97"/>
      <c r="U11" s="97"/>
      <c r="V11" s="97"/>
      <c r="W11" s="97"/>
      <c r="X11" s="97"/>
      <c r="Y11" s="97"/>
      <c r="Z11" s="97"/>
      <c r="AA11" s="97"/>
      <c r="AB11" s="97"/>
      <c r="AC11" s="97"/>
      <c r="AD11" s="97"/>
    </row>
    <row r="12" spans="1:30" s="74" customFormat="1" ht="18" customHeight="1">
      <c r="A12" s="85" t="s">
        <v>93</v>
      </c>
      <c r="B12" s="85" t="s">
        <v>124</v>
      </c>
      <c r="C12" s="88" t="s">
        <v>125</v>
      </c>
      <c r="D12" s="85" t="s">
        <v>113</v>
      </c>
      <c r="E12" s="85" t="s">
        <v>113</v>
      </c>
      <c r="F12" s="85" t="s">
        <v>113</v>
      </c>
      <c r="G12" s="85" t="s">
        <v>97</v>
      </c>
      <c r="H12" s="85">
        <v>28</v>
      </c>
      <c r="I12" s="89">
        <v>45918</v>
      </c>
      <c r="J12" s="89">
        <v>45918</v>
      </c>
      <c r="K12" s="85">
        <v>0</v>
      </c>
      <c r="L12" s="85">
        <v>36</v>
      </c>
      <c r="M12" s="90">
        <v>0.2857142857142857</v>
      </c>
      <c r="N12" s="85">
        <v>2</v>
      </c>
      <c r="O12" s="85" t="s">
        <v>119</v>
      </c>
      <c r="P12" s="85" t="s">
        <v>99</v>
      </c>
      <c r="S12" s="97"/>
      <c r="T12" s="97"/>
      <c r="U12" s="97"/>
      <c r="V12" s="97"/>
      <c r="W12" s="97"/>
      <c r="X12" s="97"/>
      <c r="Y12" s="97"/>
      <c r="Z12" s="97"/>
      <c r="AA12" s="97"/>
      <c r="AB12" s="97"/>
      <c r="AC12" s="97"/>
      <c r="AD12" s="97"/>
    </row>
    <row r="13" spans="1:30" s="74" customFormat="1" ht="18" customHeight="1">
      <c r="A13" s="85" t="s">
        <v>93</v>
      </c>
      <c r="B13" s="85" t="s">
        <v>126</v>
      </c>
      <c r="C13" s="88" t="s">
        <v>127</v>
      </c>
      <c r="D13" s="85" t="s">
        <v>113</v>
      </c>
      <c r="E13" s="85" t="s">
        <v>113</v>
      </c>
      <c r="F13" s="85" t="s">
        <v>113</v>
      </c>
      <c r="G13" s="85" t="s">
        <v>113</v>
      </c>
      <c r="H13" s="85">
        <v>24</v>
      </c>
      <c r="I13" s="89">
        <v>45929</v>
      </c>
      <c r="J13" s="89">
        <v>45929</v>
      </c>
      <c r="K13" s="85">
        <v>0</v>
      </c>
      <c r="L13" s="85">
        <v>31</v>
      </c>
      <c r="M13" s="90">
        <v>0.29166666666666669</v>
      </c>
      <c r="N13" s="85">
        <v>1</v>
      </c>
      <c r="O13" s="85" t="s">
        <v>119</v>
      </c>
      <c r="P13" s="85" t="s">
        <v>99</v>
      </c>
      <c r="R13" s="97"/>
      <c r="S13" s="97"/>
      <c r="T13" s="97"/>
      <c r="U13" s="97"/>
      <c r="V13" s="97"/>
      <c r="W13" s="97"/>
      <c r="X13" s="97"/>
      <c r="Y13" s="97"/>
      <c r="Z13" s="97"/>
      <c r="AA13" s="97"/>
      <c r="AB13" s="97"/>
      <c r="AC13" s="97"/>
      <c r="AD13" s="97"/>
    </row>
    <row r="14" spans="1:30" s="74" customFormat="1" ht="18" customHeight="1">
      <c r="A14" s="85" t="s">
        <v>93</v>
      </c>
      <c r="B14" s="85" t="s">
        <v>128</v>
      </c>
      <c r="C14" s="88" t="s">
        <v>129</v>
      </c>
      <c r="D14" s="85" t="s">
        <v>130</v>
      </c>
      <c r="E14" s="85" t="s">
        <v>97</v>
      </c>
      <c r="F14" s="85" t="s">
        <v>97</v>
      </c>
      <c r="G14" s="85" t="s">
        <v>97</v>
      </c>
      <c r="H14" s="85">
        <v>8</v>
      </c>
      <c r="I14" s="89">
        <v>45917</v>
      </c>
      <c r="J14" s="89">
        <v>45917</v>
      </c>
      <c r="K14" s="85">
        <v>0</v>
      </c>
      <c r="L14" s="85">
        <v>10</v>
      </c>
      <c r="M14" s="90">
        <v>0.25</v>
      </c>
      <c r="N14" s="85">
        <v>3</v>
      </c>
      <c r="O14" s="85" t="s">
        <v>119</v>
      </c>
      <c r="P14" s="85" t="s">
        <v>99</v>
      </c>
      <c r="R14" s="97"/>
      <c r="S14" s="97"/>
      <c r="T14" s="97"/>
      <c r="U14" s="97"/>
      <c r="V14" s="97"/>
      <c r="W14" s="97"/>
      <c r="X14" s="97"/>
      <c r="Y14" s="97"/>
      <c r="Z14" s="97"/>
      <c r="AA14" s="97"/>
      <c r="AB14" s="97"/>
      <c r="AC14" s="97"/>
      <c r="AD14" s="97"/>
    </row>
    <row r="15" spans="1:30" s="74" customFormat="1" ht="18" customHeight="1">
      <c r="A15" s="85" t="s">
        <v>93</v>
      </c>
      <c r="B15" s="85" t="s">
        <v>131</v>
      </c>
      <c r="C15" s="88" t="s">
        <v>132</v>
      </c>
      <c r="D15" s="85" t="s">
        <v>130</v>
      </c>
      <c r="E15" s="85" t="s">
        <v>97</v>
      </c>
      <c r="F15" s="85" t="s">
        <v>97</v>
      </c>
      <c r="G15" s="85" t="s">
        <v>97</v>
      </c>
      <c r="H15" s="85">
        <v>24</v>
      </c>
      <c r="I15" s="89">
        <v>45909</v>
      </c>
      <c r="J15" s="89">
        <v>45909</v>
      </c>
      <c r="K15" s="85">
        <v>0</v>
      </c>
      <c r="L15" s="85">
        <v>27</v>
      </c>
      <c r="M15" s="90">
        <v>0.125</v>
      </c>
      <c r="N15" s="85">
        <v>7</v>
      </c>
      <c r="O15" s="85" t="s">
        <v>119</v>
      </c>
      <c r="P15" s="85" t="s">
        <v>99</v>
      </c>
      <c r="R15" s="97"/>
      <c r="S15" s="97"/>
      <c r="T15" s="97"/>
      <c r="U15" s="97"/>
      <c r="V15" s="97"/>
      <c r="W15" s="97"/>
    </row>
    <row r="16" spans="1:30" s="74" customFormat="1" ht="18" customHeight="1">
      <c r="A16" s="85" t="s">
        <v>93</v>
      </c>
      <c r="B16" s="85" t="s">
        <v>133</v>
      </c>
      <c r="C16" s="88" t="s">
        <v>134</v>
      </c>
      <c r="D16" s="85" t="s">
        <v>130</v>
      </c>
      <c r="E16" s="85" t="s">
        <v>97</v>
      </c>
      <c r="F16" s="85" t="s">
        <v>97</v>
      </c>
      <c r="G16" s="85" t="s">
        <v>97</v>
      </c>
      <c r="H16" s="85">
        <v>20</v>
      </c>
      <c r="I16" s="89">
        <v>45917</v>
      </c>
      <c r="J16" s="89">
        <v>45917</v>
      </c>
      <c r="K16" s="85">
        <v>0</v>
      </c>
      <c r="L16" s="85">
        <v>26</v>
      </c>
      <c r="M16" s="90">
        <v>0.3</v>
      </c>
      <c r="N16" s="85">
        <v>2</v>
      </c>
      <c r="O16" s="85" t="s">
        <v>119</v>
      </c>
      <c r="P16" s="85" t="s">
        <v>99</v>
      </c>
      <c r="R16" s="97"/>
      <c r="S16" s="97"/>
      <c r="T16" s="97"/>
      <c r="U16" s="97"/>
      <c r="V16" s="97"/>
      <c r="W16" s="97"/>
    </row>
    <row r="17" spans="1:32" s="74" customFormat="1" ht="18" customHeight="1">
      <c r="A17" s="85" t="s">
        <v>93</v>
      </c>
      <c r="B17" s="85" t="s">
        <v>135</v>
      </c>
      <c r="C17" s="88" t="s">
        <v>136</v>
      </c>
      <c r="D17" s="85" t="s">
        <v>106</v>
      </c>
      <c r="E17" s="85" t="s">
        <v>97</v>
      </c>
      <c r="F17" s="85" t="s">
        <v>97</v>
      </c>
      <c r="G17" s="85" t="s">
        <v>97</v>
      </c>
      <c r="H17" s="85">
        <v>10</v>
      </c>
      <c r="I17" s="89">
        <v>45923</v>
      </c>
      <c r="J17" s="89">
        <v>45923</v>
      </c>
      <c r="K17" s="85">
        <v>0</v>
      </c>
      <c r="L17" s="85">
        <v>13</v>
      </c>
      <c r="M17" s="90">
        <v>0.3</v>
      </c>
      <c r="N17" s="85">
        <v>2</v>
      </c>
      <c r="O17" s="85" t="s">
        <v>119</v>
      </c>
      <c r="P17" s="85" t="s">
        <v>99</v>
      </c>
      <c r="R17" s="97"/>
      <c r="S17" s="97"/>
      <c r="T17" s="97"/>
      <c r="U17" s="97"/>
      <c r="V17" s="97"/>
      <c r="W17" s="97"/>
    </row>
    <row r="18" spans="1:32" s="74" customFormat="1" ht="18" customHeight="1">
      <c r="A18" s="85" t="s">
        <v>93</v>
      </c>
      <c r="B18" s="85" t="s">
        <v>137</v>
      </c>
      <c r="C18" s="88" t="s">
        <v>138</v>
      </c>
      <c r="D18" s="85" t="s">
        <v>106</v>
      </c>
      <c r="E18" s="85" t="s">
        <v>97</v>
      </c>
      <c r="F18" s="85" t="s">
        <v>97</v>
      </c>
      <c r="G18" s="85" t="s">
        <v>97</v>
      </c>
      <c r="H18" s="85">
        <v>11</v>
      </c>
      <c r="I18" s="89">
        <v>45925</v>
      </c>
      <c r="J18" s="89">
        <v>45926</v>
      </c>
      <c r="K18" s="85">
        <v>0</v>
      </c>
      <c r="L18" s="85">
        <v>14</v>
      </c>
      <c r="M18" s="90">
        <v>0.27272727272727271</v>
      </c>
      <c r="N18" s="85">
        <v>4</v>
      </c>
      <c r="O18" s="85" t="s">
        <v>119</v>
      </c>
      <c r="P18" s="85" t="s">
        <v>99</v>
      </c>
      <c r="R18" s="97"/>
      <c r="S18" s="98"/>
      <c r="T18" s="98"/>
      <c r="U18" s="98"/>
      <c r="V18" s="97"/>
      <c r="W18" s="97"/>
    </row>
    <row r="19" spans="1:32" s="74" customFormat="1" ht="18" customHeight="1">
      <c r="A19" s="85" t="s">
        <v>93</v>
      </c>
      <c r="B19" s="85" t="s">
        <v>139</v>
      </c>
      <c r="C19" s="88" t="s">
        <v>140</v>
      </c>
      <c r="D19" s="85" t="s">
        <v>109</v>
      </c>
      <c r="E19" s="85" t="s">
        <v>141</v>
      </c>
      <c r="F19" s="85" t="s">
        <v>109</v>
      </c>
      <c r="G19" s="85" t="s">
        <v>109</v>
      </c>
      <c r="H19" s="85">
        <v>0</v>
      </c>
      <c r="I19" s="89">
        <v>45903</v>
      </c>
      <c r="J19" s="89">
        <v>45903</v>
      </c>
      <c r="K19" s="85">
        <v>0</v>
      </c>
      <c r="L19" s="85">
        <v>15</v>
      </c>
      <c r="M19" s="90" t="s">
        <v>142</v>
      </c>
      <c r="N19" s="85">
        <v>0</v>
      </c>
      <c r="O19" s="85" t="s">
        <v>119</v>
      </c>
      <c r="P19" s="85" t="s">
        <v>99</v>
      </c>
      <c r="R19" s="97"/>
      <c r="V19" s="97"/>
      <c r="W19" s="97"/>
    </row>
    <row r="20" spans="1:32" s="74" customFormat="1" ht="18" customHeight="1">
      <c r="A20" s="53" t="s">
        <v>93</v>
      </c>
      <c r="B20" s="53" t="s">
        <v>143</v>
      </c>
      <c r="C20" s="80" t="s">
        <v>144</v>
      </c>
      <c r="D20" s="53" t="s">
        <v>116</v>
      </c>
      <c r="E20" s="53" t="s">
        <v>113</v>
      </c>
      <c r="F20" s="53" t="s">
        <v>113</v>
      </c>
      <c r="G20" s="53" t="s">
        <v>97</v>
      </c>
      <c r="H20" s="53">
        <v>20</v>
      </c>
      <c r="I20" s="79">
        <v>45931</v>
      </c>
      <c r="J20" s="79">
        <v>45931</v>
      </c>
      <c r="K20" s="53">
        <v>0</v>
      </c>
      <c r="L20" s="53">
        <v>18</v>
      </c>
      <c r="M20" s="81">
        <v>-0.1</v>
      </c>
      <c r="N20" s="53">
        <v>6</v>
      </c>
      <c r="O20" s="53" t="s">
        <v>145</v>
      </c>
      <c r="P20" s="53" t="s">
        <v>99</v>
      </c>
      <c r="R20" s="97"/>
      <c r="V20" s="97"/>
      <c r="W20" s="97"/>
    </row>
    <row r="21" spans="1:32" s="74" customFormat="1" ht="18" customHeight="1">
      <c r="A21" s="53" t="s">
        <v>93</v>
      </c>
      <c r="B21" s="53" t="s">
        <v>146</v>
      </c>
      <c r="C21" s="84" t="s">
        <v>147</v>
      </c>
      <c r="D21" s="53" t="s">
        <v>113</v>
      </c>
      <c r="E21" s="53" t="s">
        <v>113</v>
      </c>
      <c r="F21" s="53" t="s">
        <v>113</v>
      </c>
      <c r="G21" s="53" t="s">
        <v>97</v>
      </c>
      <c r="H21" s="53">
        <v>16</v>
      </c>
      <c r="I21" s="79">
        <v>45939</v>
      </c>
      <c r="J21" s="79">
        <v>45939</v>
      </c>
      <c r="K21" s="94">
        <v>0</v>
      </c>
      <c r="L21" s="53">
        <v>16</v>
      </c>
      <c r="M21" s="81">
        <v>0.25</v>
      </c>
      <c r="N21" s="53">
        <v>2</v>
      </c>
      <c r="O21" s="94" t="s">
        <v>145</v>
      </c>
      <c r="P21" s="44" t="s">
        <v>99</v>
      </c>
      <c r="R21" s="97"/>
      <c r="V21" s="97"/>
      <c r="W21" s="97"/>
    </row>
    <row r="22" spans="1:32" s="74" customFormat="1" ht="18" customHeight="1">
      <c r="A22" s="53" t="s">
        <v>93</v>
      </c>
      <c r="B22" s="53" t="s">
        <v>148</v>
      </c>
      <c r="C22" s="84" t="s">
        <v>149</v>
      </c>
      <c r="D22" s="53" t="s">
        <v>113</v>
      </c>
      <c r="E22" s="53" t="s">
        <v>113</v>
      </c>
      <c r="F22" s="53" t="s">
        <v>113</v>
      </c>
      <c r="G22" s="53" t="s">
        <v>113</v>
      </c>
      <c r="H22" s="53">
        <v>4</v>
      </c>
      <c r="I22" s="79">
        <v>45936</v>
      </c>
      <c r="J22" s="79">
        <v>45937</v>
      </c>
      <c r="K22" s="94">
        <v>0</v>
      </c>
      <c r="L22" s="53">
        <v>5</v>
      </c>
      <c r="M22" s="81">
        <v>0.25</v>
      </c>
      <c r="N22" s="53">
        <v>1</v>
      </c>
      <c r="O22" s="94" t="s">
        <v>145</v>
      </c>
      <c r="P22" s="44" t="s">
        <v>99</v>
      </c>
      <c r="R22" s="97"/>
      <c r="V22" s="97"/>
      <c r="W22" s="97"/>
    </row>
    <row r="23" spans="1:32" s="74" customFormat="1" ht="18" customHeight="1">
      <c r="A23" s="53" t="s">
        <v>93</v>
      </c>
      <c r="B23" s="53" t="s">
        <v>150</v>
      </c>
      <c r="C23" s="80" t="s">
        <v>151</v>
      </c>
      <c r="D23" s="53" t="s">
        <v>96</v>
      </c>
      <c r="E23" s="53" t="s">
        <v>96</v>
      </c>
      <c r="F23" s="53" t="s">
        <v>96</v>
      </c>
      <c r="G23" s="53" t="s">
        <v>97</v>
      </c>
      <c r="H23" s="53">
        <v>24</v>
      </c>
      <c r="I23" s="79">
        <v>45944</v>
      </c>
      <c r="J23" s="79">
        <v>45936</v>
      </c>
      <c r="K23" s="94">
        <v>11</v>
      </c>
      <c r="L23" s="53">
        <v>17</v>
      </c>
      <c r="M23" s="81">
        <v>0.16666666666666666</v>
      </c>
      <c r="N23" s="53">
        <v>1</v>
      </c>
      <c r="O23" s="94" t="s">
        <v>145</v>
      </c>
      <c r="P23" s="44" t="s">
        <v>99</v>
      </c>
      <c r="R23" s="97"/>
      <c r="V23" s="97"/>
      <c r="W23" s="97"/>
    </row>
    <row r="24" spans="1:32" s="74" customFormat="1" ht="18" customHeight="1">
      <c r="A24" s="53" t="s">
        <v>93</v>
      </c>
      <c r="B24" s="53" t="s">
        <v>152</v>
      </c>
      <c r="C24" s="84" t="s">
        <v>153</v>
      </c>
      <c r="D24" s="53" t="s">
        <v>106</v>
      </c>
      <c r="E24" s="53" t="s">
        <v>106</v>
      </c>
      <c r="F24" s="53" t="s">
        <v>106</v>
      </c>
      <c r="G24" s="53" t="s">
        <v>97</v>
      </c>
      <c r="H24" s="53">
        <v>16</v>
      </c>
      <c r="I24" s="79">
        <v>45936</v>
      </c>
      <c r="J24" s="79">
        <v>45933</v>
      </c>
      <c r="K24" s="94">
        <v>0</v>
      </c>
      <c r="L24" s="53">
        <v>20</v>
      </c>
      <c r="M24" s="81">
        <v>0.25</v>
      </c>
      <c r="N24" s="53">
        <v>1</v>
      </c>
      <c r="O24" s="94" t="s">
        <v>145</v>
      </c>
      <c r="P24" s="44" t="s">
        <v>99</v>
      </c>
      <c r="R24" s="97"/>
      <c r="V24" s="97"/>
      <c r="W24" s="97"/>
      <c r="Y24" s="99"/>
      <c r="Z24" s="99"/>
      <c r="AA24" s="99"/>
      <c r="AB24" s="99"/>
      <c r="AC24" s="99"/>
      <c r="AD24" s="99"/>
    </row>
    <row r="25" spans="1:32" s="74" customFormat="1" ht="18" customHeight="1">
      <c r="A25" s="53" t="s">
        <v>93</v>
      </c>
      <c r="B25" s="146" t="s">
        <v>154</v>
      </c>
      <c r="C25" s="84" t="s">
        <v>155</v>
      </c>
      <c r="D25" s="53" t="s">
        <v>113</v>
      </c>
      <c r="E25" s="53" t="s">
        <v>113</v>
      </c>
      <c r="F25" s="53" t="s">
        <v>113</v>
      </c>
      <c r="G25" s="53" t="s">
        <v>116</v>
      </c>
      <c r="H25" s="53">
        <v>8</v>
      </c>
      <c r="I25" s="79">
        <v>45945</v>
      </c>
      <c r="J25" s="79">
        <v>45946</v>
      </c>
      <c r="K25" s="94">
        <v>1</v>
      </c>
      <c r="L25" s="53">
        <v>10</v>
      </c>
      <c r="M25" s="81">
        <v>0.25</v>
      </c>
      <c r="N25" s="53">
        <v>2</v>
      </c>
      <c r="O25" s="94" t="s">
        <v>145</v>
      </c>
      <c r="P25" s="44" t="s">
        <v>99</v>
      </c>
      <c r="R25" s="97"/>
      <c r="S25" s="96"/>
      <c r="T25" s="96"/>
      <c r="U25" s="96"/>
      <c r="V25" s="97"/>
      <c r="W25" s="97"/>
      <c r="Y25" s="99"/>
      <c r="Z25" s="99"/>
      <c r="AA25" s="99"/>
      <c r="AB25" s="99"/>
      <c r="AC25" s="99"/>
      <c r="AD25" s="99"/>
    </row>
    <row r="26" spans="1:32" s="74" customFormat="1" ht="18" customHeight="1">
      <c r="A26" s="53" t="s">
        <v>93</v>
      </c>
      <c r="B26" s="53" t="s">
        <v>156</v>
      </c>
      <c r="C26" s="80" t="s">
        <v>157</v>
      </c>
      <c r="D26" s="53" t="s">
        <v>158</v>
      </c>
      <c r="E26" s="53" t="s">
        <v>158</v>
      </c>
      <c r="F26" s="53" t="s">
        <v>113</v>
      </c>
      <c r="G26" s="53" t="s">
        <v>113</v>
      </c>
      <c r="H26" s="53">
        <v>28</v>
      </c>
      <c r="I26" s="79">
        <v>45951</v>
      </c>
      <c r="J26" s="53"/>
      <c r="K26" s="53">
        <v>1</v>
      </c>
      <c r="L26" s="53">
        <v>8</v>
      </c>
      <c r="M26" s="81">
        <v>-0.7142857142857143</v>
      </c>
      <c r="N26" s="53">
        <v>1</v>
      </c>
      <c r="O26" s="94" t="s">
        <v>145</v>
      </c>
      <c r="P26" s="44" t="s">
        <v>99</v>
      </c>
      <c r="R26" s="97"/>
      <c r="S26" s="96"/>
      <c r="T26" s="96"/>
      <c r="U26" s="96"/>
      <c r="V26" s="97"/>
      <c r="W26" s="97"/>
      <c r="Y26" s="99"/>
      <c r="Z26" s="99"/>
      <c r="AA26" s="99"/>
      <c r="AB26" s="99"/>
      <c r="AC26" s="99"/>
      <c r="AD26" s="99"/>
    </row>
    <row r="27" spans="1:32" s="74" customFormat="1" ht="18" customHeight="1">
      <c r="A27" s="53" t="s">
        <v>93</v>
      </c>
      <c r="B27" s="53" t="s">
        <v>159</v>
      </c>
      <c r="C27" s="84" t="s">
        <v>160</v>
      </c>
      <c r="D27" s="53"/>
      <c r="E27" s="53"/>
      <c r="F27" s="53" t="s">
        <v>158</v>
      </c>
      <c r="G27" s="53" t="s">
        <v>113</v>
      </c>
      <c r="H27" s="53">
        <v>20</v>
      </c>
      <c r="I27" s="79">
        <v>45957</v>
      </c>
      <c r="J27" s="53"/>
      <c r="K27" s="53">
        <v>0</v>
      </c>
      <c r="L27" s="134">
        <v>20</v>
      </c>
      <c r="M27" s="135">
        <v>0</v>
      </c>
      <c r="N27" s="53">
        <v>1</v>
      </c>
      <c r="O27" s="94" t="s">
        <v>145</v>
      </c>
      <c r="P27" s="44"/>
      <c r="R27" s="97"/>
      <c r="S27" s="96"/>
      <c r="T27" s="96"/>
      <c r="U27" s="96"/>
      <c r="V27" s="97"/>
      <c r="W27" s="97"/>
      <c r="Y27" s="99"/>
      <c r="Z27" s="99"/>
      <c r="AA27" s="99"/>
      <c r="AB27" s="99"/>
      <c r="AC27" s="99"/>
      <c r="AD27" s="99"/>
    </row>
    <row r="28" spans="1:32" s="74" customFormat="1" ht="18" customHeight="1">
      <c r="A28" s="53" t="s">
        <v>93</v>
      </c>
      <c r="B28" s="146" t="s">
        <v>161</v>
      </c>
      <c r="C28" s="84" t="s">
        <v>162</v>
      </c>
      <c r="D28" s="53"/>
      <c r="E28" s="53"/>
      <c r="F28" s="53" t="s">
        <v>158</v>
      </c>
      <c r="G28" s="53" t="s">
        <v>158</v>
      </c>
      <c r="H28" s="53">
        <v>24</v>
      </c>
      <c r="I28" s="79">
        <v>45967</v>
      </c>
      <c r="J28" s="53"/>
      <c r="K28" s="53">
        <v>0</v>
      </c>
      <c r="L28" s="134"/>
      <c r="M28" s="135"/>
      <c r="N28" s="53">
        <v>0</v>
      </c>
      <c r="O28" s="94"/>
      <c r="P28" s="44"/>
      <c r="R28" s="97"/>
      <c r="S28" s="96"/>
      <c r="T28" s="96"/>
      <c r="U28" s="96"/>
      <c r="V28" s="97"/>
      <c r="W28" s="97"/>
      <c r="Y28" s="99"/>
      <c r="Z28" s="99"/>
      <c r="AA28" s="99"/>
      <c r="AB28" s="99"/>
      <c r="AC28" s="99"/>
      <c r="AD28" s="99"/>
    </row>
    <row r="29" spans="1:32" s="74" customFormat="1" ht="18" customHeight="1">
      <c r="A29" s="85" t="s">
        <v>163</v>
      </c>
      <c r="B29" s="85" t="s">
        <v>164</v>
      </c>
      <c r="C29" s="88" t="s">
        <v>165</v>
      </c>
      <c r="D29" s="85" t="s">
        <v>106</v>
      </c>
      <c r="E29" s="91" t="s">
        <v>97</v>
      </c>
      <c r="F29" s="91" t="s">
        <v>97</v>
      </c>
      <c r="G29" s="91" t="s">
        <v>97</v>
      </c>
      <c r="H29" s="85">
        <v>34</v>
      </c>
      <c r="I29" s="89">
        <v>45873</v>
      </c>
      <c r="J29" s="89">
        <v>45873</v>
      </c>
      <c r="K29" s="85">
        <v>30.5</v>
      </c>
      <c r="L29" s="85">
        <v>4</v>
      </c>
      <c r="M29" s="90">
        <v>1.4705882352941176E-2</v>
      </c>
      <c r="N29" s="85">
        <v>5</v>
      </c>
      <c r="O29" s="85" t="s">
        <v>98</v>
      </c>
      <c r="P29" s="85" t="s">
        <v>99</v>
      </c>
      <c r="R29" s="97"/>
      <c r="S29" s="96"/>
      <c r="T29" s="96"/>
      <c r="U29" s="96"/>
      <c r="V29" s="97"/>
      <c r="W29" s="97"/>
    </row>
    <row r="30" spans="1:32" s="74" customFormat="1" ht="18" customHeight="1">
      <c r="A30" s="85" t="s">
        <v>163</v>
      </c>
      <c r="B30" s="85" t="s">
        <v>166</v>
      </c>
      <c r="C30" s="88" t="s">
        <v>167</v>
      </c>
      <c r="D30" s="85" t="s">
        <v>96</v>
      </c>
      <c r="E30" s="91" t="s">
        <v>97</v>
      </c>
      <c r="F30" s="91" t="s">
        <v>97</v>
      </c>
      <c r="G30" s="91" t="s">
        <v>97</v>
      </c>
      <c r="H30" s="85">
        <v>20</v>
      </c>
      <c r="I30" s="89">
        <v>45884</v>
      </c>
      <c r="J30" s="89">
        <v>45883</v>
      </c>
      <c r="K30" s="85">
        <v>20</v>
      </c>
      <c r="L30" s="85">
        <v>2</v>
      </c>
      <c r="M30" s="90">
        <v>0.1</v>
      </c>
      <c r="N30" s="85">
        <v>3</v>
      </c>
      <c r="O30" s="85" t="s">
        <v>98</v>
      </c>
      <c r="P30" s="85" t="s">
        <v>99</v>
      </c>
      <c r="R30" s="97"/>
      <c r="S30" s="97"/>
      <c r="T30" s="97"/>
      <c r="U30" s="97"/>
      <c r="V30" s="97"/>
      <c r="W30" s="97"/>
    </row>
    <row r="31" spans="1:32" s="74" customFormat="1" ht="18" customHeight="1">
      <c r="A31" s="85" t="s">
        <v>163</v>
      </c>
      <c r="B31" s="85" t="s">
        <v>168</v>
      </c>
      <c r="C31" s="88" t="s">
        <v>169</v>
      </c>
      <c r="D31" s="85" t="s">
        <v>106</v>
      </c>
      <c r="E31" s="91" t="s">
        <v>97</v>
      </c>
      <c r="F31" s="91" t="s">
        <v>97</v>
      </c>
      <c r="G31" s="91" t="s">
        <v>97</v>
      </c>
      <c r="H31" s="85">
        <v>12</v>
      </c>
      <c r="I31" s="89">
        <v>45873</v>
      </c>
      <c r="J31" s="89">
        <v>45870</v>
      </c>
      <c r="K31" s="85">
        <v>6</v>
      </c>
      <c r="L31" s="85">
        <v>8</v>
      </c>
      <c r="M31" s="90">
        <v>0.16666666666666666</v>
      </c>
      <c r="N31" s="85">
        <v>1</v>
      </c>
      <c r="O31" s="85" t="s">
        <v>98</v>
      </c>
      <c r="P31" s="85" t="s">
        <v>99</v>
      </c>
      <c r="R31" s="97"/>
      <c r="S31" s="98"/>
      <c r="T31" s="98"/>
      <c r="U31" s="98"/>
      <c r="V31" s="97"/>
      <c r="W31" s="97"/>
    </row>
    <row r="32" spans="1:32" s="74" customFormat="1" ht="18" customHeight="1">
      <c r="A32" s="53" t="s">
        <v>163</v>
      </c>
      <c r="B32" s="53" t="s">
        <v>117</v>
      </c>
      <c r="C32" s="80" t="s">
        <v>118</v>
      </c>
      <c r="D32" s="53" t="s">
        <v>106</v>
      </c>
      <c r="E32" s="92" t="s">
        <v>97</v>
      </c>
      <c r="F32" s="92" t="s">
        <v>97</v>
      </c>
      <c r="G32" s="92" t="s">
        <v>97</v>
      </c>
      <c r="H32" s="53">
        <v>16</v>
      </c>
      <c r="I32" s="79">
        <v>45908</v>
      </c>
      <c r="J32" s="79">
        <v>45908</v>
      </c>
      <c r="K32" s="53">
        <v>12</v>
      </c>
      <c r="L32" s="53">
        <v>1</v>
      </c>
      <c r="M32" s="81"/>
      <c r="N32" s="53">
        <v>2</v>
      </c>
      <c r="O32" s="53" t="s">
        <v>119</v>
      </c>
      <c r="P32" s="53" t="s">
        <v>99</v>
      </c>
      <c r="Q32" s="51"/>
      <c r="R32" s="51"/>
      <c r="S32" s="44"/>
      <c r="T32" s="44"/>
      <c r="U32" s="44"/>
      <c r="V32" s="51"/>
      <c r="W32" s="51"/>
      <c r="X32" s="51"/>
      <c r="Y32" s="51"/>
      <c r="Z32" s="51"/>
      <c r="AA32" s="51"/>
      <c r="AB32" s="51"/>
      <c r="AC32" s="51"/>
      <c r="AD32" s="51"/>
      <c r="AE32" s="51"/>
      <c r="AF32" s="51"/>
    </row>
    <row r="33" spans="1:32" s="74" customFormat="1" ht="18" customHeight="1">
      <c r="A33" s="53" t="s">
        <v>163</v>
      </c>
      <c r="B33" s="53" t="s">
        <v>131</v>
      </c>
      <c r="C33" s="80" t="s">
        <v>132</v>
      </c>
      <c r="D33" s="53" t="s">
        <v>130</v>
      </c>
      <c r="E33" s="92" t="s">
        <v>97</v>
      </c>
      <c r="F33" s="92" t="s">
        <v>97</v>
      </c>
      <c r="G33" s="92" t="s">
        <v>97</v>
      </c>
      <c r="H33" s="53">
        <v>24</v>
      </c>
      <c r="I33" s="79">
        <v>45909</v>
      </c>
      <c r="J33" s="79">
        <v>45909</v>
      </c>
      <c r="K33" s="53">
        <v>0</v>
      </c>
      <c r="L33" s="53">
        <v>3</v>
      </c>
      <c r="M33" s="81"/>
      <c r="N33" s="53">
        <v>7</v>
      </c>
      <c r="O33" s="53" t="s">
        <v>119</v>
      </c>
      <c r="P33" s="53" t="s">
        <v>99</v>
      </c>
      <c r="Q33" s="51"/>
      <c r="R33" s="51"/>
      <c r="S33" s="44"/>
      <c r="T33" s="44"/>
      <c r="U33" s="44"/>
      <c r="V33" s="51"/>
      <c r="W33" s="51"/>
      <c r="X33" s="51"/>
      <c r="Y33" s="51"/>
      <c r="Z33" s="51"/>
      <c r="AA33" s="51"/>
      <c r="AB33" s="51"/>
      <c r="AC33" s="51"/>
      <c r="AD33" s="51"/>
      <c r="AE33" s="51"/>
      <c r="AF33" s="51"/>
    </row>
    <row r="34" spans="1:32" s="74" customFormat="1" ht="18" customHeight="1">
      <c r="A34" s="53" t="s">
        <v>163</v>
      </c>
      <c r="B34" s="53" t="s">
        <v>124</v>
      </c>
      <c r="C34" s="80" t="s">
        <v>125</v>
      </c>
      <c r="D34" s="53" t="s">
        <v>113</v>
      </c>
      <c r="E34" s="92" t="s">
        <v>113</v>
      </c>
      <c r="F34" s="92" t="s">
        <v>113</v>
      </c>
      <c r="G34" s="92" t="s">
        <v>97</v>
      </c>
      <c r="H34" s="53">
        <v>28</v>
      </c>
      <c r="I34" s="79">
        <v>45918</v>
      </c>
      <c r="J34" s="79">
        <v>45918</v>
      </c>
      <c r="K34" s="53">
        <v>0</v>
      </c>
      <c r="L34" s="53">
        <v>1</v>
      </c>
      <c r="M34" s="81"/>
      <c r="N34" s="53">
        <v>1</v>
      </c>
      <c r="O34" s="53" t="s">
        <v>119</v>
      </c>
      <c r="P34" s="53" t="s">
        <v>99</v>
      </c>
      <c r="Q34" s="51"/>
      <c r="R34" s="51"/>
      <c r="S34" s="44"/>
      <c r="T34" s="44"/>
      <c r="U34" s="44"/>
      <c r="V34" s="51"/>
      <c r="W34" s="51"/>
      <c r="X34" s="51"/>
      <c r="Y34" s="51"/>
      <c r="Z34" s="51"/>
      <c r="AA34" s="51"/>
      <c r="AB34" s="51"/>
      <c r="AC34" s="51"/>
      <c r="AD34" s="51"/>
      <c r="AE34" s="51"/>
      <c r="AF34" s="51"/>
    </row>
    <row r="35" spans="1:32" s="74" customFormat="1" ht="18" customHeight="1">
      <c r="A35" s="53" t="s">
        <v>163</v>
      </c>
      <c r="B35" s="53" t="s">
        <v>170</v>
      </c>
      <c r="C35" s="80" t="s">
        <v>171</v>
      </c>
      <c r="D35" s="53" t="s">
        <v>109</v>
      </c>
      <c r="E35" s="87" t="s">
        <v>97</v>
      </c>
      <c r="F35" s="87" t="s">
        <v>97</v>
      </c>
      <c r="G35" s="87" t="s">
        <v>97</v>
      </c>
      <c r="H35" s="53">
        <v>16</v>
      </c>
      <c r="I35" s="79">
        <v>45925</v>
      </c>
      <c r="J35" s="79">
        <v>45925</v>
      </c>
      <c r="K35" s="53">
        <v>14</v>
      </c>
      <c r="L35" s="53">
        <v>4</v>
      </c>
      <c r="M35" s="81">
        <v>0.125</v>
      </c>
      <c r="N35" s="53">
        <v>1</v>
      </c>
      <c r="O35" s="53" t="s">
        <v>119</v>
      </c>
      <c r="P35" s="53" t="s">
        <v>99</v>
      </c>
      <c r="R35" s="97"/>
      <c r="S35" s="98"/>
      <c r="T35" s="98"/>
      <c r="U35" s="98"/>
      <c r="V35" s="97"/>
      <c r="W35" s="97"/>
    </row>
    <row r="36" spans="1:32" s="74" customFormat="1" ht="18" customHeight="1">
      <c r="A36" s="53" t="s">
        <v>163</v>
      </c>
      <c r="B36" s="53" t="s">
        <v>172</v>
      </c>
      <c r="C36" s="80" t="s">
        <v>173</v>
      </c>
      <c r="D36" s="53" t="s">
        <v>113</v>
      </c>
      <c r="E36" s="87" t="s">
        <v>97</v>
      </c>
      <c r="F36" s="87" t="s">
        <v>97</v>
      </c>
      <c r="G36" s="87" t="s">
        <v>97</v>
      </c>
      <c r="H36" s="53">
        <v>30</v>
      </c>
      <c r="I36" s="79">
        <v>45902</v>
      </c>
      <c r="J36" s="79">
        <v>45902</v>
      </c>
      <c r="K36" s="53">
        <v>0</v>
      </c>
      <c r="L36" s="53">
        <v>27</v>
      </c>
      <c r="M36" s="81">
        <v>-0.1</v>
      </c>
      <c r="N36" s="53">
        <v>3</v>
      </c>
      <c r="O36" s="53" t="s">
        <v>119</v>
      </c>
      <c r="P36" s="53" t="s">
        <v>99</v>
      </c>
      <c r="R36" s="97"/>
      <c r="S36" s="98"/>
      <c r="T36" s="98"/>
      <c r="U36" s="98"/>
      <c r="V36" s="97"/>
      <c r="W36" s="97"/>
    </row>
    <row r="37" spans="1:32" s="74" customFormat="1" ht="18" customHeight="1">
      <c r="A37" s="53" t="s">
        <v>163</v>
      </c>
      <c r="B37" s="53" t="s">
        <v>174</v>
      </c>
      <c r="C37" s="80" t="s">
        <v>175</v>
      </c>
      <c r="D37" s="53" t="s">
        <v>113</v>
      </c>
      <c r="E37" s="87" t="s">
        <v>106</v>
      </c>
      <c r="F37" s="87" t="s">
        <v>106</v>
      </c>
      <c r="G37" s="87" t="s">
        <v>97</v>
      </c>
      <c r="H37" s="53">
        <v>10</v>
      </c>
      <c r="I37" s="79">
        <v>45940</v>
      </c>
      <c r="J37" s="79">
        <v>45919</v>
      </c>
      <c r="K37" s="53">
        <v>0</v>
      </c>
      <c r="L37" s="53">
        <v>13</v>
      </c>
      <c r="M37" s="81">
        <v>0.3</v>
      </c>
      <c r="N37" s="53">
        <v>1</v>
      </c>
      <c r="O37" s="53" t="s">
        <v>119</v>
      </c>
      <c r="P37" s="53" t="s">
        <v>99</v>
      </c>
      <c r="R37" s="97"/>
      <c r="S37" s="98"/>
      <c r="T37" s="97"/>
      <c r="U37" s="97"/>
      <c r="V37" s="97"/>
      <c r="W37" s="97"/>
    </row>
    <row r="38" spans="1:32" s="74" customFormat="1" ht="18" customHeight="1">
      <c r="A38" s="53" t="s">
        <v>163</v>
      </c>
      <c r="B38" s="53" t="s">
        <v>176</v>
      </c>
      <c r="C38" s="80" t="s">
        <v>177</v>
      </c>
      <c r="D38" s="53" t="s">
        <v>130</v>
      </c>
      <c r="E38" s="87" t="s">
        <v>97</v>
      </c>
      <c r="F38" s="87" t="s">
        <v>97</v>
      </c>
      <c r="G38" s="87" t="s">
        <v>97</v>
      </c>
      <c r="H38" s="53">
        <v>8</v>
      </c>
      <c r="I38" s="79">
        <v>45922</v>
      </c>
      <c r="J38" s="79">
        <v>45915</v>
      </c>
      <c r="K38" s="53">
        <v>0</v>
      </c>
      <c r="L38" s="53">
        <v>10</v>
      </c>
      <c r="M38" s="81">
        <v>0.25</v>
      </c>
      <c r="N38" s="53">
        <v>2</v>
      </c>
      <c r="O38" s="53" t="s">
        <v>119</v>
      </c>
      <c r="P38" s="53" t="s">
        <v>99</v>
      </c>
      <c r="R38" s="97"/>
      <c r="S38" s="98"/>
      <c r="T38" s="97"/>
      <c r="U38" s="97"/>
      <c r="V38" s="97"/>
      <c r="W38" s="97"/>
    </row>
    <row r="39" spans="1:32" s="74" customFormat="1" ht="18" customHeight="1">
      <c r="A39" s="53" t="s">
        <v>163</v>
      </c>
      <c r="B39" s="53" t="s">
        <v>178</v>
      </c>
      <c r="C39" s="80" t="s">
        <v>179</v>
      </c>
      <c r="D39" s="53" t="s">
        <v>130</v>
      </c>
      <c r="E39" s="87" t="s">
        <v>97</v>
      </c>
      <c r="F39" s="87" t="s">
        <v>97</v>
      </c>
      <c r="G39" s="87" t="s">
        <v>97</v>
      </c>
      <c r="H39" s="53">
        <v>14</v>
      </c>
      <c r="I39" s="79">
        <v>45922</v>
      </c>
      <c r="J39" s="79">
        <v>45919</v>
      </c>
      <c r="K39" s="53">
        <v>0</v>
      </c>
      <c r="L39" s="53">
        <v>18</v>
      </c>
      <c r="M39" s="81">
        <v>0.2857142857142857</v>
      </c>
      <c r="N39" s="53">
        <v>3</v>
      </c>
      <c r="O39" s="53" t="s">
        <v>119</v>
      </c>
      <c r="P39" s="53" t="s">
        <v>99</v>
      </c>
      <c r="R39" s="97"/>
      <c r="S39" s="98"/>
      <c r="T39" s="97"/>
      <c r="U39" s="97"/>
      <c r="V39" s="97"/>
      <c r="W39" s="97"/>
    </row>
    <row r="40" spans="1:32" s="74" customFormat="1" ht="18" customHeight="1">
      <c r="A40" s="53" t="s">
        <v>163</v>
      </c>
      <c r="B40" s="53" t="s">
        <v>133</v>
      </c>
      <c r="C40" s="80" t="s">
        <v>134</v>
      </c>
      <c r="D40" s="53" t="s">
        <v>130</v>
      </c>
      <c r="E40" s="92" t="s">
        <v>97</v>
      </c>
      <c r="F40" s="92" t="s">
        <v>97</v>
      </c>
      <c r="G40" s="92" t="s">
        <v>97</v>
      </c>
      <c r="H40" s="53">
        <v>20</v>
      </c>
      <c r="I40" s="79">
        <v>45917</v>
      </c>
      <c r="J40" s="79">
        <v>45917</v>
      </c>
      <c r="K40" s="53">
        <v>0</v>
      </c>
      <c r="L40" s="53">
        <v>1</v>
      </c>
      <c r="M40" s="81"/>
      <c r="N40" s="53">
        <v>2</v>
      </c>
      <c r="O40" s="53" t="s">
        <v>119</v>
      </c>
      <c r="P40" s="53" t="s">
        <v>180</v>
      </c>
      <c r="Q40" s="51"/>
      <c r="R40" s="51"/>
      <c r="S40" s="44"/>
      <c r="T40" s="44"/>
      <c r="U40" s="44"/>
      <c r="V40" s="51"/>
      <c r="W40" s="51"/>
      <c r="X40" s="51"/>
      <c r="Y40" s="51"/>
      <c r="Z40" s="51"/>
      <c r="AA40" s="51"/>
      <c r="AB40" s="51"/>
      <c r="AC40" s="51"/>
      <c r="AD40" s="51"/>
      <c r="AE40" s="51"/>
      <c r="AF40" s="51"/>
    </row>
    <row r="41" spans="1:32" s="74" customFormat="1" ht="18" customHeight="1">
      <c r="A41" s="53" t="s">
        <v>163</v>
      </c>
      <c r="B41" s="53" t="s">
        <v>181</v>
      </c>
      <c r="C41" s="80" t="s">
        <v>182</v>
      </c>
      <c r="D41" s="53" t="s">
        <v>130</v>
      </c>
      <c r="E41" s="87" t="s">
        <v>97</v>
      </c>
      <c r="F41" s="87" t="s">
        <v>97</v>
      </c>
      <c r="G41" s="87" t="s">
        <v>97</v>
      </c>
      <c r="H41" s="53">
        <v>12</v>
      </c>
      <c r="I41" s="79">
        <v>45904</v>
      </c>
      <c r="J41" s="79">
        <v>45904</v>
      </c>
      <c r="K41" s="53">
        <v>0</v>
      </c>
      <c r="L41" s="53">
        <v>15</v>
      </c>
      <c r="M41" s="81">
        <v>0.25</v>
      </c>
      <c r="N41" s="53">
        <v>1</v>
      </c>
      <c r="O41" s="53" t="s">
        <v>119</v>
      </c>
      <c r="P41" s="53" t="s">
        <v>99</v>
      </c>
      <c r="R41" s="97"/>
      <c r="S41" s="98"/>
      <c r="T41" s="98"/>
      <c r="U41" s="98"/>
      <c r="V41" s="97"/>
      <c r="W41" s="97"/>
    </row>
    <row r="42" spans="1:32" s="74" customFormat="1" ht="18" customHeight="1">
      <c r="A42" s="53" t="s">
        <v>163</v>
      </c>
      <c r="B42" s="53" t="s">
        <v>183</v>
      </c>
      <c r="C42" s="80" t="s">
        <v>184</v>
      </c>
      <c r="D42" s="53" t="s">
        <v>130</v>
      </c>
      <c r="E42" s="147" t="s">
        <v>97</v>
      </c>
      <c r="F42" s="147" t="s">
        <v>97</v>
      </c>
      <c r="G42" s="147" t="s">
        <v>97</v>
      </c>
      <c r="H42" s="53">
        <v>4</v>
      </c>
      <c r="I42" s="79">
        <v>45908</v>
      </c>
      <c r="J42" s="79">
        <v>45908</v>
      </c>
      <c r="K42" s="53">
        <v>0</v>
      </c>
      <c r="L42" s="53">
        <v>5</v>
      </c>
      <c r="M42" s="81">
        <v>0.25</v>
      </c>
      <c r="N42" s="53">
        <v>1</v>
      </c>
      <c r="O42" s="53" t="s">
        <v>119</v>
      </c>
      <c r="P42" s="53" t="s">
        <v>99</v>
      </c>
      <c r="R42" s="97"/>
      <c r="S42" s="98"/>
      <c r="T42" s="98"/>
      <c r="U42" s="98"/>
      <c r="V42" s="97"/>
      <c r="W42" s="97"/>
    </row>
    <row r="43" spans="1:32" ht="18" customHeight="1">
      <c r="A43" s="53" t="s">
        <v>163</v>
      </c>
      <c r="B43" s="53" t="s">
        <v>185</v>
      </c>
      <c r="C43" s="80" t="s">
        <v>186</v>
      </c>
      <c r="D43" s="53" t="s">
        <v>106</v>
      </c>
      <c r="E43" s="93" t="s">
        <v>97</v>
      </c>
      <c r="F43" s="93" t="s">
        <v>97</v>
      </c>
      <c r="G43" s="93" t="s">
        <v>97</v>
      </c>
      <c r="H43" s="53">
        <v>36</v>
      </c>
      <c r="I43" s="79">
        <v>45925</v>
      </c>
      <c r="J43" s="79">
        <v>45925</v>
      </c>
      <c r="K43" s="53">
        <v>41</v>
      </c>
      <c r="L43" s="53">
        <v>8</v>
      </c>
      <c r="M43" s="81">
        <v>0.3611111111111111</v>
      </c>
      <c r="N43" s="53">
        <v>5</v>
      </c>
      <c r="O43" s="53" t="s">
        <v>119</v>
      </c>
      <c r="P43" s="53" t="s">
        <v>99</v>
      </c>
      <c r="R43" s="51"/>
      <c r="U43" s="44"/>
    </row>
    <row r="44" spans="1:32" s="74" customFormat="1" ht="18" customHeight="1">
      <c r="A44" s="53" t="s">
        <v>163</v>
      </c>
      <c r="B44" s="53" t="s">
        <v>187</v>
      </c>
      <c r="C44" s="84" t="s">
        <v>188</v>
      </c>
      <c r="D44" s="53" t="s">
        <v>109</v>
      </c>
      <c r="E44" s="93" t="s">
        <v>189</v>
      </c>
      <c r="F44" s="93" t="s">
        <v>189</v>
      </c>
      <c r="G44" s="93" t="s">
        <v>116</v>
      </c>
      <c r="H44" s="53">
        <v>16</v>
      </c>
      <c r="I44" s="79">
        <v>45950</v>
      </c>
      <c r="J44" s="79"/>
      <c r="K44" s="53">
        <v>26.5</v>
      </c>
      <c r="L44" s="94">
        <v>6</v>
      </c>
      <c r="M44" s="95">
        <v>1.03125</v>
      </c>
      <c r="N44" s="53">
        <v>0</v>
      </c>
      <c r="O44" s="94" t="s">
        <v>145</v>
      </c>
      <c r="P44" s="53" t="s">
        <v>180</v>
      </c>
      <c r="S44" s="53"/>
      <c r="T44" s="53"/>
      <c r="U44" s="53"/>
    </row>
    <row r="45" spans="1:32" s="74" customFormat="1" ht="18" customHeight="1">
      <c r="A45" s="53" t="s">
        <v>163</v>
      </c>
      <c r="B45" s="53" t="s">
        <v>190</v>
      </c>
      <c r="C45" s="80" t="s">
        <v>191</v>
      </c>
      <c r="D45" s="53" t="s">
        <v>113</v>
      </c>
      <c r="E45" s="93" t="s">
        <v>116</v>
      </c>
      <c r="F45" s="93" t="s">
        <v>96</v>
      </c>
      <c r="G45" s="93" t="s">
        <v>97</v>
      </c>
      <c r="H45" s="53">
        <v>50</v>
      </c>
      <c r="I45" s="79">
        <v>45931</v>
      </c>
      <c r="J45" s="79">
        <v>45929</v>
      </c>
      <c r="K45" s="53">
        <v>53</v>
      </c>
      <c r="L45" s="94">
        <v>8</v>
      </c>
      <c r="M45" s="95">
        <v>0.22</v>
      </c>
      <c r="N45" s="53">
        <v>2</v>
      </c>
      <c r="O45" s="94" t="s">
        <v>145</v>
      </c>
      <c r="P45" s="53" t="s">
        <v>99</v>
      </c>
      <c r="R45" s="97"/>
      <c r="S45" s="98"/>
      <c r="T45" s="98"/>
      <c r="U45" s="98"/>
      <c r="V45" s="97"/>
      <c r="W45" s="97"/>
    </row>
    <row r="46" spans="1:32" s="74" customFormat="1" ht="18" customHeight="1">
      <c r="A46" s="53" t="s">
        <v>163</v>
      </c>
      <c r="B46" s="53" t="s">
        <v>192</v>
      </c>
      <c r="C46" s="83" t="s">
        <v>193</v>
      </c>
      <c r="D46" s="53" t="s">
        <v>113</v>
      </c>
      <c r="E46" s="93" t="s">
        <v>116</v>
      </c>
      <c r="F46" s="93" t="s">
        <v>116</v>
      </c>
      <c r="G46" s="93" t="s">
        <v>97</v>
      </c>
      <c r="H46" s="53">
        <v>15</v>
      </c>
      <c r="I46" s="79">
        <v>45937</v>
      </c>
      <c r="J46" s="79">
        <v>45937</v>
      </c>
      <c r="K46" s="53">
        <v>0</v>
      </c>
      <c r="L46" s="94">
        <v>14</v>
      </c>
      <c r="M46" s="95">
        <v>-6.6666666666666666E-2</v>
      </c>
      <c r="N46" s="53">
        <v>3</v>
      </c>
      <c r="O46" s="94" t="s">
        <v>145</v>
      </c>
      <c r="P46" s="53" t="s">
        <v>99</v>
      </c>
      <c r="S46" s="53"/>
      <c r="T46" s="53"/>
      <c r="U46" s="53"/>
    </row>
    <row r="47" spans="1:32" s="74" customFormat="1" ht="18" customHeight="1">
      <c r="A47" s="53" t="s">
        <v>163</v>
      </c>
      <c r="B47" s="53" t="s">
        <v>194</v>
      </c>
      <c r="C47" s="80" t="s">
        <v>195</v>
      </c>
      <c r="D47" s="53" t="s">
        <v>113</v>
      </c>
      <c r="E47" s="93" t="s">
        <v>196</v>
      </c>
      <c r="F47" s="93" t="s">
        <v>196</v>
      </c>
      <c r="G47" s="93" t="s">
        <v>97</v>
      </c>
      <c r="H47" s="53">
        <v>50</v>
      </c>
      <c r="I47" s="79">
        <v>45938</v>
      </c>
      <c r="J47" s="79">
        <v>45937</v>
      </c>
      <c r="K47" s="53">
        <v>48</v>
      </c>
      <c r="L47" s="53">
        <v>17</v>
      </c>
      <c r="M47" s="81">
        <v>0.3</v>
      </c>
      <c r="N47" s="53">
        <v>5</v>
      </c>
      <c r="O47" s="53" t="s">
        <v>145</v>
      </c>
      <c r="P47" s="53" t="s">
        <v>99</v>
      </c>
      <c r="S47" s="53"/>
      <c r="T47" s="53"/>
      <c r="U47" s="53"/>
      <c r="Y47" s="86"/>
      <c r="Z47" s="86"/>
      <c r="AA47" s="86"/>
      <c r="AB47" s="86"/>
      <c r="AC47" s="86"/>
      <c r="AD47" s="86"/>
    </row>
    <row r="48" spans="1:32" s="74" customFormat="1" ht="18" customHeight="1">
      <c r="A48" s="53" t="s">
        <v>163</v>
      </c>
      <c r="B48" s="53" t="s">
        <v>197</v>
      </c>
      <c r="C48" s="84" t="s">
        <v>198</v>
      </c>
      <c r="D48" s="53" t="s">
        <v>196</v>
      </c>
      <c r="E48" s="93" t="s">
        <v>196</v>
      </c>
      <c r="F48" s="93" t="s">
        <v>113</v>
      </c>
      <c r="G48" s="93" t="s">
        <v>113</v>
      </c>
      <c r="H48" s="53">
        <v>40</v>
      </c>
      <c r="I48" s="79">
        <v>45950</v>
      </c>
      <c r="J48" s="79"/>
      <c r="K48" s="53">
        <v>0</v>
      </c>
      <c r="L48" s="94">
        <v>32</v>
      </c>
      <c r="M48" s="95">
        <v>-0.2</v>
      </c>
      <c r="N48" s="53">
        <v>1</v>
      </c>
      <c r="O48" s="94" t="s">
        <v>145</v>
      </c>
      <c r="P48" s="53" t="s">
        <v>99</v>
      </c>
      <c r="S48" s="53"/>
      <c r="T48" s="53"/>
      <c r="U48" s="53"/>
    </row>
    <row r="49" spans="1:30" s="74" customFormat="1" ht="18" customHeight="1">
      <c r="A49" s="53" t="s">
        <v>163</v>
      </c>
      <c r="B49" s="53" t="s">
        <v>199</v>
      </c>
      <c r="C49" s="80" t="s">
        <v>200</v>
      </c>
      <c r="D49" s="53" t="s">
        <v>113</v>
      </c>
      <c r="E49" s="93" t="s">
        <v>106</v>
      </c>
      <c r="F49" s="93" t="s">
        <v>106</v>
      </c>
      <c r="G49" s="93" t="s">
        <v>97</v>
      </c>
      <c r="H49" s="53">
        <v>27</v>
      </c>
      <c r="I49" s="79">
        <v>45940</v>
      </c>
      <c r="J49" s="79">
        <v>45938</v>
      </c>
      <c r="K49" s="53">
        <v>12</v>
      </c>
      <c r="L49" s="53">
        <v>23</v>
      </c>
      <c r="M49" s="81">
        <v>0.29629629629629628</v>
      </c>
      <c r="N49" s="53">
        <v>4</v>
      </c>
      <c r="O49" s="53" t="s">
        <v>145</v>
      </c>
      <c r="P49" s="53" t="s">
        <v>99</v>
      </c>
      <c r="Y49" s="86"/>
      <c r="Z49" s="86"/>
      <c r="AA49" s="86"/>
      <c r="AB49" s="86"/>
      <c r="AC49" s="86"/>
      <c r="AD49" s="86"/>
    </row>
    <row r="50" spans="1:30" s="74" customFormat="1" ht="16.5" customHeight="1">
      <c r="A50" s="53" t="s">
        <v>163</v>
      </c>
      <c r="B50" s="53" t="s">
        <v>201</v>
      </c>
      <c r="C50" s="84" t="s">
        <v>202</v>
      </c>
      <c r="D50" s="53" t="s">
        <v>96</v>
      </c>
      <c r="E50" s="93" t="s">
        <v>96</v>
      </c>
      <c r="F50" s="93" t="s">
        <v>96</v>
      </c>
      <c r="G50" s="93" t="s">
        <v>97</v>
      </c>
      <c r="H50" s="53">
        <v>24</v>
      </c>
      <c r="I50" s="79">
        <v>45945</v>
      </c>
      <c r="J50" s="79">
        <v>45932</v>
      </c>
      <c r="K50" s="53">
        <v>8</v>
      </c>
      <c r="L50" s="94">
        <v>20</v>
      </c>
      <c r="M50" s="95">
        <v>0.16666666666666666</v>
      </c>
      <c r="N50" s="53">
        <v>2</v>
      </c>
      <c r="O50" s="94" t="s">
        <v>145</v>
      </c>
      <c r="P50" s="53" t="s">
        <v>99</v>
      </c>
      <c r="S50" s="53"/>
      <c r="T50" s="53"/>
      <c r="U50" s="53"/>
    </row>
    <row r="51" spans="1:30" ht="18" customHeight="1">
      <c r="A51" s="53" t="s">
        <v>163</v>
      </c>
      <c r="B51" s="53" t="s">
        <v>203</v>
      </c>
      <c r="C51" s="132" t="s">
        <v>204</v>
      </c>
      <c r="D51" s="74"/>
      <c r="E51" s="74"/>
      <c r="F51" s="53" t="s">
        <v>189</v>
      </c>
      <c r="G51" s="53" t="s">
        <v>113</v>
      </c>
      <c r="H51" s="53">
        <v>24</v>
      </c>
      <c r="I51" s="79">
        <v>45957</v>
      </c>
      <c r="J51" s="74"/>
      <c r="K51" s="74"/>
      <c r="L51" s="53">
        <v>12</v>
      </c>
      <c r="M51" s="135">
        <v>-0.5</v>
      </c>
      <c r="N51" s="53">
        <v>0</v>
      </c>
      <c r="O51" s="94" t="s">
        <v>145</v>
      </c>
      <c r="P51" s="53" t="s">
        <v>99</v>
      </c>
      <c r="R51" s="51"/>
      <c r="S51" s="51"/>
      <c r="T51" s="51"/>
    </row>
    <row r="52" spans="1:30" ht="18" customHeight="1">
      <c r="A52" s="53" t="s">
        <v>163</v>
      </c>
      <c r="B52" s="53" t="s">
        <v>205</v>
      </c>
      <c r="C52" s="132" t="s">
        <v>206</v>
      </c>
      <c r="D52" s="74"/>
      <c r="E52" s="74"/>
      <c r="F52" s="53" t="s">
        <v>207</v>
      </c>
      <c r="G52" s="53" t="s">
        <v>141</v>
      </c>
      <c r="H52" s="53">
        <v>16</v>
      </c>
      <c r="I52" s="79">
        <v>45957</v>
      </c>
      <c r="J52" s="74"/>
      <c r="K52" s="74"/>
      <c r="L52" s="53">
        <v>4</v>
      </c>
      <c r="M52" s="135">
        <v>-0.75</v>
      </c>
      <c r="N52" s="53">
        <v>1</v>
      </c>
      <c r="O52" s="94" t="s">
        <v>145</v>
      </c>
      <c r="P52" s="53" t="s">
        <v>99</v>
      </c>
      <c r="R52" s="51"/>
      <c r="S52" s="51"/>
      <c r="T52" s="51"/>
    </row>
    <row r="53" spans="1:30" ht="18" customHeight="1">
      <c r="A53" s="74"/>
      <c r="B53" s="74"/>
      <c r="C53" s="74"/>
      <c r="D53" s="74"/>
      <c r="E53" s="74"/>
      <c r="F53" s="74"/>
      <c r="G53" s="74"/>
      <c r="H53" s="74"/>
      <c r="I53" s="74"/>
      <c r="J53" s="74"/>
      <c r="K53" s="74"/>
      <c r="L53" s="74"/>
      <c r="M53" s="74"/>
      <c r="N53" s="74"/>
      <c r="O53" s="51"/>
      <c r="R53" s="51"/>
      <c r="S53" s="51"/>
      <c r="T53" s="51"/>
    </row>
    <row r="54" spans="1:30" ht="18" customHeight="1">
      <c r="A54" s="51"/>
      <c r="B54" s="51"/>
      <c r="C54" s="51"/>
      <c r="D54" s="51"/>
      <c r="E54" s="51"/>
      <c r="F54" s="51"/>
      <c r="G54" s="51"/>
      <c r="H54" s="51"/>
      <c r="I54" s="51"/>
      <c r="J54" s="51"/>
      <c r="K54" s="51"/>
      <c r="L54" s="51"/>
      <c r="M54" s="51"/>
      <c r="N54" s="51"/>
      <c r="O54" s="51"/>
      <c r="R54" s="51"/>
      <c r="S54" s="51"/>
      <c r="T54" s="51"/>
    </row>
    <row r="55" spans="1:30" ht="18" customHeight="1">
      <c r="A55" s="51"/>
      <c r="B55" s="51"/>
      <c r="C55" s="51"/>
      <c r="D55" s="51"/>
      <c r="E55" s="51"/>
      <c r="F55" s="51"/>
      <c r="G55" s="51"/>
      <c r="H55" s="51"/>
      <c r="I55" s="51"/>
      <c r="J55" s="51"/>
      <c r="K55" s="51"/>
      <c r="L55" s="51"/>
      <c r="M55" s="51"/>
      <c r="N55" s="51"/>
      <c r="O55" s="51"/>
      <c r="R55" s="51"/>
      <c r="S55" s="51"/>
      <c r="T55" s="51"/>
    </row>
    <row r="56" spans="1:30" ht="18" customHeight="1">
      <c r="A56" s="53"/>
    </row>
    <row r="57" spans="1:30" ht="18" customHeight="1">
      <c r="H57" s="51"/>
      <c r="I57" s="51"/>
      <c r="J57" s="51"/>
      <c r="K57" s="51"/>
      <c r="L57" s="51"/>
    </row>
    <row r="58" spans="1:30" ht="18" customHeight="1">
      <c r="F58" s="51"/>
      <c r="G58" s="51"/>
      <c r="H58" s="51"/>
    </row>
    <row r="59" spans="1:30" ht="18" customHeight="1">
      <c r="B59" s="101" t="s">
        <v>77</v>
      </c>
      <c r="C59" s="101" t="s">
        <v>90</v>
      </c>
      <c r="D59" s="101" t="s">
        <v>91</v>
      </c>
      <c r="I59" s="51"/>
      <c r="J59" s="51"/>
      <c r="K59" s="51"/>
      <c r="L59" s="51"/>
    </row>
    <row r="60" spans="1:30" ht="18" customHeight="1">
      <c r="B60" s="183" t="s">
        <v>93</v>
      </c>
      <c r="C60" s="111">
        <f>AVERAGE(N2:N8)</f>
        <v>2.2857142857142856</v>
      </c>
      <c r="D60" s="100" t="s">
        <v>98</v>
      </c>
      <c r="F60" s="51"/>
      <c r="G60" s="51"/>
      <c r="H60" s="51"/>
    </row>
    <row r="61" spans="1:30" ht="18" customHeight="1">
      <c r="B61" s="183"/>
      <c r="C61" s="111">
        <f>AVERAGE(N9:N19)</f>
        <v>2.7272727272727271</v>
      </c>
      <c r="D61" s="100" t="s">
        <v>119</v>
      </c>
      <c r="I61" s="51"/>
      <c r="J61" s="51"/>
      <c r="K61" s="51"/>
      <c r="L61" s="51"/>
    </row>
    <row r="62" spans="1:30" ht="18" customHeight="1">
      <c r="B62" s="183"/>
      <c r="C62" s="111">
        <f>AVERAGE(N20:N28)</f>
        <v>1.6666666666666667</v>
      </c>
      <c r="D62" s="100" t="s">
        <v>145</v>
      </c>
      <c r="H62" s="51"/>
      <c r="M62" s="51"/>
      <c r="N62" s="51"/>
      <c r="O62" s="51"/>
    </row>
    <row r="63" spans="1:30" ht="18" customHeight="1">
      <c r="B63" s="184" t="s">
        <v>208</v>
      </c>
      <c r="C63" s="112">
        <f>AVERAGE(N29:N31)</f>
        <v>3</v>
      </c>
      <c r="D63" s="110" t="s">
        <v>98</v>
      </c>
      <c r="F63" s="51"/>
      <c r="G63" s="51"/>
      <c r="H63" s="51"/>
      <c r="I63" s="51"/>
      <c r="J63" s="51"/>
      <c r="K63" s="51"/>
      <c r="L63" s="51"/>
      <c r="M63" s="51"/>
      <c r="N63" s="51"/>
      <c r="O63" s="51"/>
    </row>
    <row r="64" spans="1:30" ht="18" customHeight="1">
      <c r="B64" s="184"/>
      <c r="C64" s="113">
        <f>AVERAGE(N32:N43)</f>
        <v>2.4166666666666665</v>
      </c>
      <c r="D64" s="110" t="s">
        <v>119</v>
      </c>
      <c r="M64" s="51"/>
      <c r="N64" s="51"/>
      <c r="O64" s="51"/>
    </row>
    <row r="65" spans="2:15" ht="18" customHeight="1">
      <c r="B65" s="184"/>
      <c r="C65" s="113">
        <f>AVERAGE(N43:N52)</f>
        <v>2.2999999999999998</v>
      </c>
      <c r="D65" s="110" t="s">
        <v>145</v>
      </c>
      <c r="H65" s="51"/>
      <c r="I65" s="51"/>
      <c r="J65" s="51"/>
      <c r="K65" s="51"/>
      <c r="L65" s="51"/>
      <c r="M65" s="51"/>
      <c r="N65" s="51"/>
      <c r="O65" s="51"/>
    </row>
    <row r="66" spans="2:15" ht="18" customHeight="1">
      <c r="D66" s="51"/>
      <c r="G66" s="51"/>
      <c r="H66" s="51"/>
      <c r="I66" s="51"/>
      <c r="J66" s="51"/>
      <c r="K66" s="51"/>
      <c r="L66" s="51"/>
      <c r="M66" s="51"/>
      <c r="N66" s="51"/>
      <c r="O66" s="51"/>
    </row>
    <row r="67" spans="2:15" ht="18" customHeight="1">
      <c r="C67" s="51"/>
      <c r="D67" s="51"/>
      <c r="G67" s="51"/>
      <c r="H67" s="51"/>
      <c r="I67" s="51"/>
      <c r="J67" s="51"/>
      <c r="K67" s="51"/>
      <c r="L67" s="51"/>
      <c r="M67" s="51"/>
      <c r="N67" s="51"/>
      <c r="O67" s="51"/>
    </row>
    <row r="68" spans="2:15" ht="18" customHeight="1">
      <c r="B68" s="119" t="s">
        <v>29</v>
      </c>
      <c r="C68" s="119" t="s">
        <v>209</v>
      </c>
      <c r="D68" s="119" t="s">
        <v>210</v>
      </c>
      <c r="E68" s="119" t="s">
        <v>211</v>
      </c>
      <c r="F68" s="119" t="s">
        <v>211</v>
      </c>
      <c r="G68" s="120" t="s">
        <v>212</v>
      </c>
      <c r="H68" s="119" t="s">
        <v>213</v>
      </c>
      <c r="I68" s="51"/>
      <c r="J68" s="51"/>
      <c r="K68" s="51"/>
      <c r="L68" s="51"/>
      <c r="M68" s="51"/>
      <c r="N68" s="51"/>
      <c r="O68" s="51"/>
    </row>
    <row r="69" spans="2:15" ht="48.75" customHeight="1">
      <c r="B69" s="185" t="s">
        <v>214</v>
      </c>
      <c r="C69" s="187" t="s">
        <v>143</v>
      </c>
      <c r="D69" s="190" t="s">
        <v>144</v>
      </c>
      <c r="E69" s="136">
        <v>45891</v>
      </c>
      <c r="F69" s="136">
        <v>45891</v>
      </c>
      <c r="G69" s="137" t="s">
        <v>215</v>
      </c>
      <c r="H69" s="121" t="s">
        <v>216</v>
      </c>
      <c r="I69" s="51"/>
      <c r="J69" s="51"/>
      <c r="K69" s="51"/>
      <c r="L69" s="51"/>
      <c r="M69" s="51"/>
      <c r="N69" s="51"/>
      <c r="O69" s="51"/>
    </row>
    <row r="70" spans="2:15" ht="69" customHeight="1">
      <c r="B70" s="175"/>
      <c r="C70" s="188"/>
      <c r="D70" s="191"/>
      <c r="E70" s="136">
        <v>45903</v>
      </c>
      <c r="F70" s="136">
        <v>45903</v>
      </c>
      <c r="G70" s="137" t="s">
        <v>217</v>
      </c>
      <c r="H70" s="122" t="s">
        <v>218</v>
      </c>
      <c r="I70" s="51"/>
      <c r="J70" s="51"/>
      <c r="K70" s="51"/>
      <c r="L70" s="51"/>
      <c r="M70" s="51"/>
      <c r="N70" s="51"/>
      <c r="O70" s="51"/>
    </row>
    <row r="71" spans="2:15" ht="18" customHeight="1">
      <c r="B71" s="175"/>
      <c r="C71" s="188"/>
      <c r="D71" s="191"/>
      <c r="E71" s="136">
        <v>45911</v>
      </c>
      <c r="F71" s="136">
        <v>45911</v>
      </c>
      <c r="G71" s="137" t="s">
        <v>219</v>
      </c>
      <c r="H71" s="123" t="s">
        <v>220</v>
      </c>
      <c r="I71" s="51"/>
      <c r="J71" s="51"/>
      <c r="K71" s="51"/>
      <c r="L71" s="51"/>
      <c r="M71" s="51"/>
      <c r="N71" s="51"/>
      <c r="O71" s="51"/>
    </row>
    <row r="72" spans="2:15" ht="78" customHeight="1">
      <c r="B72" s="175"/>
      <c r="C72" s="188"/>
      <c r="D72" s="191"/>
      <c r="E72" s="136">
        <v>45929</v>
      </c>
      <c r="F72" s="136">
        <v>45929</v>
      </c>
      <c r="G72" s="137" t="s">
        <v>217</v>
      </c>
      <c r="H72" s="115" t="s">
        <v>221</v>
      </c>
    </row>
    <row r="73" spans="2:15" ht="137.25" customHeight="1">
      <c r="B73" s="186"/>
      <c r="C73" s="189"/>
      <c r="D73" s="192"/>
      <c r="E73" s="136">
        <v>45953</v>
      </c>
      <c r="F73" s="136">
        <v>45953</v>
      </c>
      <c r="G73" s="138" t="s">
        <v>8</v>
      </c>
      <c r="H73" s="115" t="s">
        <v>222</v>
      </c>
    </row>
    <row r="74" spans="2:15" ht="53.25" customHeight="1">
      <c r="B74" s="175" t="s">
        <v>208</v>
      </c>
      <c r="C74" s="178" t="s">
        <v>194</v>
      </c>
      <c r="D74" s="181" t="s">
        <v>195</v>
      </c>
      <c r="E74" s="118">
        <v>45897</v>
      </c>
      <c r="F74" s="118">
        <v>45897</v>
      </c>
      <c r="G74" s="124" t="s">
        <v>217</v>
      </c>
      <c r="H74" s="121" t="s">
        <v>223</v>
      </c>
    </row>
    <row r="75" spans="2:15" ht="53.25" customHeight="1">
      <c r="B75" s="175"/>
      <c r="C75" s="178"/>
      <c r="D75" s="181"/>
      <c r="E75" s="118">
        <v>45915</v>
      </c>
      <c r="F75" s="118">
        <v>45915</v>
      </c>
      <c r="G75" s="125" t="s">
        <v>217</v>
      </c>
      <c r="H75" s="122" t="s">
        <v>224</v>
      </c>
    </row>
    <row r="76" spans="2:15" ht="63.75" customHeight="1">
      <c r="B76" s="175"/>
      <c r="C76" s="178"/>
      <c r="D76" s="181"/>
      <c r="E76" s="118">
        <v>45919</v>
      </c>
      <c r="F76" s="118">
        <v>45919</v>
      </c>
      <c r="G76" s="126" t="s">
        <v>217</v>
      </c>
      <c r="H76" s="122" t="s">
        <v>225</v>
      </c>
    </row>
    <row r="77" spans="2:15" ht="96" customHeight="1">
      <c r="B77" s="175"/>
      <c r="C77" s="178"/>
      <c r="D77" s="181"/>
      <c r="E77" s="118">
        <v>45935</v>
      </c>
      <c r="F77" s="118">
        <v>45935</v>
      </c>
      <c r="G77" s="127" t="s">
        <v>8</v>
      </c>
      <c r="H77" s="122" t="s">
        <v>226</v>
      </c>
    </row>
    <row r="78" spans="2:15" ht="53.25" customHeight="1">
      <c r="B78" s="176"/>
      <c r="C78" s="178"/>
      <c r="D78" s="181"/>
      <c r="E78" s="117">
        <v>45937</v>
      </c>
      <c r="F78" s="117">
        <v>45937</v>
      </c>
      <c r="G78" s="5" t="s">
        <v>217</v>
      </c>
      <c r="H78" s="114" t="s">
        <v>227</v>
      </c>
    </row>
    <row r="79" spans="2:15" ht="53.25" customHeight="1">
      <c r="B79" s="175" t="s">
        <v>208</v>
      </c>
      <c r="C79" s="177" t="s">
        <v>199</v>
      </c>
      <c r="D79" s="180" t="s">
        <v>200</v>
      </c>
      <c r="E79" s="116">
        <v>45916</v>
      </c>
      <c r="F79" s="116">
        <v>45916</v>
      </c>
      <c r="G79" s="128" t="s">
        <v>219</v>
      </c>
      <c r="H79" s="121" t="s">
        <v>228</v>
      </c>
    </row>
    <row r="80" spans="2:15" ht="53.25" customHeight="1">
      <c r="B80" s="175"/>
      <c r="C80" s="178"/>
      <c r="D80" s="181"/>
      <c r="E80" s="116">
        <v>45919</v>
      </c>
      <c r="F80" s="116">
        <v>45919</v>
      </c>
      <c r="G80" s="128" t="s">
        <v>217</v>
      </c>
      <c r="H80" s="122" t="s">
        <v>229</v>
      </c>
    </row>
    <row r="81" spans="2:8" ht="53.25" customHeight="1">
      <c r="B81" s="175"/>
      <c r="C81" s="178"/>
      <c r="D81" s="181"/>
      <c r="E81" s="116">
        <v>45935</v>
      </c>
      <c r="F81" s="116">
        <v>45935</v>
      </c>
      <c r="G81" s="128" t="s">
        <v>8</v>
      </c>
      <c r="H81" s="122" t="s">
        <v>226</v>
      </c>
    </row>
    <row r="82" spans="2:8" ht="53.25" customHeight="1">
      <c r="B82" s="176"/>
      <c r="C82" s="179"/>
      <c r="D82" s="182"/>
      <c r="E82" s="117">
        <v>45938</v>
      </c>
      <c r="F82" s="117">
        <v>45938</v>
      </c>
      <c r="G82" s="128" t="s">
        <v>217</v>
      </c>
      <c r="H82" s="122" t="s">
        <v>227</v>
      </c>
    </row>
    <row r="83" spans="2:8" ht="53.25" customHeight="1"/>
    <row r="84" spans="2:8" ht="53.25" customHeight="1"/>
    <row r="85" spans="2:8" ht="53.25" customHeight="1"/>
    <row r="86" spans="2:8" ht="53.25" customHeight="1"/>
    <row r="87" spans="2:8" ht="53.25" customHeight="1"/>
  </sheetData>
  <mergeCells count="11">
    <mergeCell ref="B79:B82"/>
    <mergeCell ref="C79:C82"/>
    <mergeCell ref="D79:D82"/>
    <mergeCell ref="B60:B62"/>
    <mergeCell ref="B63:B65"/>
    <mergeCell ref="B69:B73"/>
    <mergeCell ref="C69:C73"/>
    <mergeCell ref="D69:D73"/>
    <mergeCell ref="B74:B78"/>
    <mergeCell ref="C74:C78"/>
    <mergeCell ref="D74:D78"/>
  </mergeCells>
  <conditionalFormatting sqref="M27:M28">
    <cfRule type="containsBlanks" dxfId="17" priority="4">
      <formula>LEN(TRIM(M27))=0</formula>
    </cfRule>
    <cfRule type="cellIs" dxfId="16" priority="5" operator="greaterThan">
      <formula>0.3</formula>
    </cfRule>
    <cfRule type="cellIs" dxfId="15" priority="6" operator="between">
      <formula>0</formula>
      <formula>0.3</formula>
    </cfRule>
  </conditionalFormatting>
  <conditionalFormatting sqref="M43:M52">
    <cfRule type="containsBlanks" dxfId="14" priority="1">
      <formula>LEN(TRIM(M43))=0</formula>
    </cfRule>
    <cfRule type="cellIs" dxfId="13" priority="2" operator="greaterThan">
      <formula>0.3</formula>
    </cfRule>
    <cfRule type="cellIs" dxfId="12" priority="3" operator="between">
      <formula>0</formula>
      <formula>0.3</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C5AB-E15E-4977-80F5-9B36A2A1A7FA}">
  <dimension ref="A1:AF86"/>
  <sheetViews>
    <sheetView topLeftCell="G1" workbookViewId="0">
      <selection activeCell="G1" sqref="G1"/>
    </sheetView>
  </sheetViews>
  <sheetFormatPr defaultColWidth="9.140625" defaultRowHeight="18" customHeight="1"/>
  <cols>
    <col min="1" max="1" width="17" style="44" customWidth="1"/>
    <col min="2" max="2" width="13.5703125" style="44" customWidth="1"/>
    <col min="3" max="3" width="13.85546875" style="43" customWidth="1"/>
    <col min="4" max="6" width="13.85546875" style="44" customWidth="1"/>
    <col min="7" max="7" width="23.42578125" style="44" bestFit="1" customWidth="1"/>
    <col min="8" max="8" width="33.42578125" style="44" customWidth="1"/>
    <col min="9" max="9" width="10.85546875" style="44" customWidth="1"/>
    <col min="10" max="10" width="15.85546875" style="44" customWidth="1"/>
    <col min="11" max="11" width="17.28515625" style="44" customWidth="1"/>
    <col min="12" max="12" width="13.140625" style="44" customWidth="1"/>
    <col min="13" max="13" width="10.7109375" style="44" customWidth="1"/>
    <col min="14" max="14" width="12.140625" style="44" customWidth="1"/>
    <col min="15" max="15" width="16.140625" style="44" customWidth="1"/>
    <col min="16" max="17" width="9.140625" style="51"/>
    <col min="18" max="18" width="17.5703125" style="44" customWidth="1"/>
    <col min="19" max="19" width="10.140625" style="44" bestFit="1" customWidth="1"/>
    <col min="20" max="20" width="17.140625" style="44" customWidth="1"/>
    <col min="21" max="23" width="9.140625" style="51"/>
    <col min="24" max="24" width="12.140625" style="51" customWidth="1"/>
    <col min="25" max="25" width="9.140625" style="51" customWidth="1"/>
    <col min="26" max="26" width="21.140625" style="51" customWidth="1"/>
    <col min="27" max="27" width="16" style="51" customWidth="1"/>
    <col min="28" max="28" width="16.42578125" style="51" customWidth="1"/>
    <col min="29" max="29" width="67.7109375" style="51" customWidth="1"/>
    <col min="30" max="16384" width="9.140625" style="51"/>
  </cols>
  <sheetData>
    <row r="1" spans="1:29" s="109" customFormat="1" ht="22.5" customHeight="1">
      <c r="A1" s="105" t="s">
        <v>77</v>
      </c>
      <c r="B1" s="106" t="s">
        <v>78</v>
      </c>
      <c r="C1" s="105" t="s">
        <v>79</v>
      </c>
      <c r="D1" s="107" t="s">
        <v>80</v>
      </c>
      <c r="E1" s="108" t="s">
        <v>81</v>
      </c>
      <c r="F1" s="108" t="s">
        <v>82</v>
      </c>
      <c r="G1" s="106" t="s">
        <v>84</v>
      </c>
      <c r="H1" s="105" t="s">
        <v>85</v>
      </c>
      <c r="I1" s="105" t="s">
        <v>86</v>
      </c>
      <c r="J1" s="105" t="s">
        <v>87</v>
      </c>
      <c r="K1" s="105" t="s">
        <v>88</v>
      </c>
      <c r="L1" s="105" t="s">
        <v>89</v>
      </c>
      <c r="M1" s="105" t="s">
        <v>90</v>
      </c>
      <c r="N1" s="105" t="s">
        <v>91</v>
      </c>
      <c r="O1" s="105" t="s">
        <v>92</v>
      </c>
    </row>
    <row r="2" spans="1:29" s="74" customFormat="1" ht="18" customHeight="1">
      <c r="A2" s="53" t="s">
        <v>93</v>
      </c>
      <c r="B2" s="53" t="s">
        <v>94</v>
      </c>
      <c r="C2" s="80" t="s">
        <v>95</v>
      </c>
      <c r="D2" s="53" t="s">
        <v>96</v>
      </c>
      <c r="E2" s="44" t="s">
        <v>97</v>
      </c>
      <c r="F2" s="44" t="s">
        <v>97</v>
      </c>
      <c r="G2" s="53">
        <v>33</v>
      </c>
      <c r="H2" s="79">
        <v>45882</v>
      </c>
      <c r="I2" s="79">
        <v>45882</v>
      </c>
      <c r="J2" s="53">
        <v>34.5</v>
      </c>
      <c r="K2" s="53">
        <v>8</v>
      </c>
      <c r="L2" s="81">
        <v>0.2878787878787879</v>
      </c>
      <c r="M2" s="53">
        <v>5</v>
      </c>
      <c r="N2" s="53" t="s">
        <v>98</v>
      </c>
      <c r="O2" s="53" t="s">
        <v>99</v>
      </c>
      <c r="R2" s="53"/>
      <c r="S2" s="53"/>
      <c r="T2" s="53"/>
    </row>
    <row r="3" spans="1:29" s="74" customFormat="1" ht="18" customHeight="1">
      <c r="A3" s="53" t="s">
        <v>93</v>
      </c>
      <c r="B3" s="53" t="s">
        <v>100</v>
      </c>
      <c r="C3" s="80" t="s">
        <v>101</v>
      </c>
      <c r="D3" s="53" t="s">
        <v>96</v>
      </c>
      <c r="E3" s="44" t="s">
        <v>97</v>
      </c>
      <c r="F3" s="44" t="s">
        <v>97</v>
      </c>
      <c r="G3" s="53">
        <v>12</v>
      </c>
      <c r="H3" s="79">
        <v>45891</v>
      </c>
      <c r="I3" s="79">
        <v>45891</v>
      </c>
      <c r="J3" s="53">
        <v>14</v>
      </c>
      <c r="K3" s="53">
        <v>1</v>
      </c>
      <c r="L3" s="81">
        <v>0.25</v>
      </c>
      <c r="M3" s="53">
        <v>3</v>
      </c>
      <c r="N3" s="53" t="s">
        <v>98</v>
      </c>
      <c r="O3" s="53" t="s">
        <v>99</v>
      </c>
      <c r="R3" s="53"/>
      <c r="S3" s="53"/>
      <c r="T3" s="53"/>
    </row>
    <row r="4" spans="1:29" s="74" customFormat="1" ht="30" customHeight="1">
      <c r="A4" s="53" t="s">
        <v>93</v>
      </c>
      <c r="B4" s="53" t="s">
        <v>102</v>
      </c>
      <c r="C4" s="80" t="s">
        <v>103</v>
      </c>
      <c r="D4" s="53" t="s">
        <v>96</v>
      </c>
      <c r="E4" s="44" t="s">
        <v>97</v>
      </c>
      <c r="F4" s="44" t="s">
        <v>97</v>
      </c>
      <c r="G4" s="53">
        <v>8</v>
      </c>
      <c r="H4" s="79">
        <v>45883</v>
      </c>
      <c r="I4" s="79">
        <v>45884</v>
      </c>
      <c r="J4" s="53">
        <v>8</v>
      </c>
      <c r="K4" s="53">
        <v>2</v>
      </c>
      <c r="L4" s="81">
        <v>0.25</v>
      </c>
      <c r="M4" s="53">
        <v>3</v>
      </c>
      <c r="N4" s="53" t="s">
        <v>98</v>
      </c>
      <c r="O4" s="53" t="s">
        <v>99</v>
      </c>
    </row>
    <row r="5" spans="1:29" s="74" customFormat="1" ht="18" customHeight="1">
      <c r="A5" s="53" t="s">
        <v>93</v>
      </c>
      <c r="B5" s="53" t="s">
        <v>104</v>
      </c>
      <c r="C5" s="80" t="s">
        <v>105</v>
      </c>
      <c r="D5" s="53" t="s">
        <v>106</v>
      </c>
      <c r="E5" s="44" t="s">
        <v>97</v>
      </c>
      <c r="F5" s="44" t="s">
        <v>97</v>
      </c>
      <c r="G5" s="53">
        <v>16</v>
      </c>
      <c r="H5" s="79">
        <v>45877</v>
      </c>
      <c r="I5" s="79">
        <v>45877</v>
      </c>
      <c r="J5" s="53">
        <v>16</v>
      </c>
      <c r="K5" s="53">
        <v>4</v>
      </c>
      <c r="L5" s="81">
        <v>0.25</v>
      </c>
      <c r="M5" s="53">
        <v>2</v>
      </c>
      <c r="N5" s="53" t="s">
        <v>98</v>
      </c>
      <c r="O5" s="53" t="s">
        <v>99</v>
      </c>
    </row>
    <row r="6" spans="1:29" s="74" customFormat="1" ht="28.5" customHeight="1">
      <c r="A6" s="53" t="s">
        <v>93</v>
      </c>
      <c r="B6" s="53" t="s">
        <v>107</v>
      </c>
      <c r="C6" s="80" t="s">
        <v>108</v>
      </c>
      <c r="D6" s="53" t="s">
        <v>109</v>
      </c>
      <c r="E6" s="44" t="s">
        <v>110</v>
      </c>
      <c r="F6" s="44" t="s">
        <v>110</v>
      </c>
      <c r="G6" s="53">
        <v>16</v>
      </c>
      <c r="H6" s="79">
        <v>45889</v>
      </c>
      <c r="I6" s="79">
        <v>45889</v>
      </c>
      <c r="J6" s="53">
        <v>20</v>
      </c>
      <c r="K6" s="53">
        <v>3</v>
      </c>
      <c r="L6" s="81">
        <v>0.4375</v>
      </c>
      <c r="M6" s="53">
        <v>1</v>
      </c>
      <c r="N6" s="53" t="s">
        <v>98</v>
      </c>
      <c r="O6" s="53" t="s">
        <v>99</v>
      </c>
      <c r="R6" s="97"/>
      <c r="S6" s="97"/>
      <c r="T6" s="97"/>
      <c r="U6" s="97"/>
      <c r="V6" s="97"/>
      <c r="W6" s="97"/>
      <c r="X6" s="97"/>
      <c r="Y6" s="97"/>
      <c r="Z6" s="97"/>
      <c r="AA6" s="97"/>
      <c r="AB6" s="97"/>
      <c r="AC6" s="97"/>
    </row>
    <row r="7" spans="1:29" s="74" customFormat="1" ht="18" customHeight="1">
      <c r="A7" s="53" t="s">
        <v>93</v>
      </c>
      <c r="B7" s="53" t="s">
        <v>111</v>
      </c>
      <c r="C7" s="80" t="s">
        <v>112</v>
      </c>
      <c r="D7" s="53" t="s">
        <v>113</v>
      </c>
      <c r="E7" s="44" t="s">
        <v>97</v>
      </c>
      <c r="F7" s="44" t="s">
        <v>97</v>
      </c>
      <c r="G7" s="53">
        <v>4</v>
      </c>
      <c r="H7" s="79">
        <v>45889</v>
      </c>
      <c r="I7" s="79">
        <v>45877</v>
      </c>
      <c r="J7" s="53">
        <v>0</v>
      </c>
      <c r="K7" s="53">
        <v>5</v>
      </c>
      <c r="L7" s="81">
        <v>0.25</v>
      </c>
      <c r="M7" s="53">
        <v>1</v>
      </c>
      <c r="N7" s="53" t="s">
        <v>98</v>
      </c>
      <c r="O7" s="53" t="s">
        <v>99</v>
      </c>
      <c r="R7" s="97"/>
      <c r="S7" s="97"/>
      <c r="T7" s="97"/>
      <c r="U7" s="97"/>
      <c r="V7" s="97"/>
      <c r="W7" s="97"/>
      <c r="X7" s="97"/>
      <c r="Y7" s="97"/>
      <c r="Z7" s="97"/>
      <c r="AA7" s="97"/>
      <c r="AB7" s="97"/>
      <c r="AC7" s="97"/>
    </row>
    <row r="8" spans="1:29" s="74" customFormat="1" ht="27" customHeight="1">
      <c r="A8" s="53" t="s">
        <v>93</v>
      </c>
      <c r="B8" s="53" t="s">
        <v>114</v>
      </c>
      <c r="C8" s="80" t="s">
        <v>115</v>
      </c>
      <c r="D8" s="53" t="s">
        <v>116</v>
      </c>
      <c r="E8" s="44" t="s">
        <v>97</v>
      </c>
      <c r="F8" s="44" t="s">
        <v>97</v>
      </c>
      <c r="G8" s="53">
        <v>2</v>
      </c>
      <c r="H8" s="79">
        <v>45889</v>
      </c>
      <c r="I8" s="79">
        <v>45889</v>
      </c>
      <c r="J8" s="53">
        <v>0</v>
      </c>
      <c r="K8" s="53">
        <v>2</v>
      </c>
      <c r="L8" s="81">
        <v>0</v>
      </c>
      <c r="M8" s="53">
        <v>1</v>
      </c>
      <c r="N8" s="53" t="s">
        <v>98</v>
      </c>
      <c r="O8" s="53" t="s">
        <v>99</v>
      </c>
      <c r="R8" s="97"/>
      <c r="S8" s="97"/>
      <c r="T8" s="97"/>
      <c r="U8" s="97"/>
      <c r="V8" s="97"/>
      <c r="W8" s="97"/>
      <c r="X8" s="97"/>
      <c r="Y8" s="97"/>
      <c r="Z8" s="97"/>
      <c r="AA8" s="97"/>
      <c r="AB8" s="97"/>
      <c r="AC8" s="97"/>
    </row>
    <row r="9" spans="1:29" s="74" customFormat="1" ht="18" customHeight="1">
      <c r="A9" s="85" t="s">
        <v>93</v>
      </c>
      <c r="B9" s="85" t="s">
        <v>117</v>
      </c>
      <c r="C9" s="88" t="s">
        <v>118</v>
      </c>
      <c r="D9" s="85" t="s">
        <v>106</v>
      </c>
      <c r="E9" s="85" t="s">
        <v>97</v>
      </c>
      <c r="F9" s="85" t="s">
        <v>97</v>
      </c>
      <c r="G9" s="85">
        <v>16</v>
      </c>
      <c r="H9" s="89">
        <v>45908</v>
      </c>
      <c r="I9" s="89">
        <v>45908</v>
      </c>
      <c r="J9" s="85">
        <v>12</v>
      </c>
      <c r="K9" s="85">
        <v>8</v>
      </c>
      <c r="L9" s="90">
        <v>0.25</v>
      </c>
      <c r="M9" s="85">
        <v>3</v>
      </c>
      <c r="N9" s="85" t="s">
        <v>119</v>
      </c>
      <c r="O9" s="85" t="s">
        <v>99</v>
      </c>
      <c r="R9" s="97"/>
      <c r="S9" s="97"/>
      <c r="T9" s="97"/>
      <c r="U9" s="97"/>
      <c r="V9" s="97"/>
      <c r="W9" s="97"/>
      <c r="X9" s="97"/>
      <c r="Y9" s="97"/>
      <c r="Z9" s="97"/>
      <c r="AA9" s="97"/>
      <c r="AB9" s="97"/>
      <c r="AC9" s="97"/>
    </row>
    <row r="10" spans="1:29" s="74" customFormat="1" ht="18" customHeight="1">
      <c r="A10" s="85" t="s">
        <v>93</v>
      </c>
      <c r="B10" s="85" t="s">
        <v>120</v>
      </c>
      <c r="C10" s="88" t="s">
        <v>121</v>
      </c>
      <c r="D10" s="85" t="s">
        <v>113</v>
      </c>
      <c r="E10" s="85" t="s">
        <v>97</v>
      </c>
      <c r="F10" s="85" t="s">
        <v>97</v>
      </c>
      <c r="G10" s="85">
        <v>8</v>
      </c>
      <c r="H10" s="89">
        <v>45909</v>
      </c>
      <c r="I10" s="89">
        <v>45909</v>
      </c>
      <c r="J10" s="85">
        <v>0</v>
      </c>
      <c r="K10" s="85">
        <v>10</v>
      </c>
      <c r="L10" s="90">
        <v>0.25</v>
      </c>
      <c r="M10" s="85">
        <v>2</v>
      </c>
      <c r="N10" s="85" t="s">
        <v>119</v>
      </c>
      <c r="O10" s="85" t="s">
        <v>99</v>
      </c>
      <c r="R10" s="97"/>
      <c r="S10" s="97"/>
      <c r="T10" s="97"/>
      <c r="U10" s="97"/>
      <c r="V10" s="97"/>
      <c r="W10" s="97"/>
      <c r="X10" s="97"/>
      <c r="Y10" s="97"/>
      <c r="Z10" s="97"/>
      <c r="AA10" s="97"/>
      <c r="AB10" s="97"/>
      <c r="AC10" s="97"/>
    </row>
    <row r="11" spans="1:29" s="74" customFormat="1" ht="18" customHeight="1">
      <c r="A11" s="85" t="s">
        <v>93</v>
      </c>
      <c r="B11" s="85" t="s">
        <v>122</v>
      </c>
      <c r="C11" s="88" t="s">
        <v>123</v>
      </c>
      <c r="D11" s="85" t="s">
        <v>113</v>
      </c>
      <c r="E11" s="85" t="s">
        <v>97</v>
      </c>
      <c r="F11" s="85" t="s">
        <v>97</v>
      </c>
      <c r="G11" s="85">
        <v>16</v>
      </c>
      <c r="H11" s="89">
        <v>45909</v>
      </c>
      <c r="I11" s="89">
        <v>45909</v>
      </c>
      <c r="J11" s="85">
        <v>0</v>
      </c>
      <c r="K11" s="85">
        <v>20</v>
      </c>
      <c r="L11" s="90">
        <v>0.25</v>
      </c>
      <c r="M11" s="85">
        <v>4</v>
      </c>
      <c r="N11" s="85" t="s">
        <v>119</v>
      </c>
      <c r="O11" s="85" t="s">
        <v>99</v>
      </c>
      <c r="R11" s="97"/>
      <c r="S11" s="97"/>
      <c r="T11" s="97"/>
      <c r="U11" s="97"/>
      <c r="V11" s="97"/>
      <c r="W11" s="97"/>
      <c r="X11" s="97"/>
      <c r="Y11" s="97"/>
      <c r="Z11" s="97"/>
      <c r="AA11" s="97"/>
      <c r="AB11" s="97"/>
      <c r="AC11" s="97"/>
    </row>
    <row r="12" spans="1:29" s="74" customFormat="1" ht="18" customHeight="1">
      <c r="A12" s="85" t="s">
        <v>93</v>
      </c>
      <c r="B12" s="85" t="s">
        <v>124</v>
      </c>
      <c r="C12" s="88" t="s">
        <v>125</v>
      </c>
      <c r="D12" s="85" t="s">
        <v>113</v>
      </c>
      <c r="E12" s="85" t="s">
        <v>113</v>
      </c>
      <c r="F12" s="85" t="s">
        <v>97</v>
      </c>
      <c r="G12" s="85">
        <v>28</v>
      </c>
      <c r="H12" s="89">
        <v>45918</v>
      </c>
      <c r="I12" s="89">
        <v>45918</v>
      </c>
      <c r="J12" s="85">
        <v>0</v>
      </c>
      <c r="K12" s="85">
        <v>36</v>
      </c>
      <c r="L12" s="90">
        <v>0.2857142857142857</v>
      </c>
      <c r="M12" s="85">
        <v>2</v>
      </c>
      <c r="N12" s="85" t="s">
        <v>119</v>
      </c>
      <c r="O12" s="85" t="s">
        <v>99</v>
      </c>
      <c r="R12" s="97"/>
      <c r="S12" s="97"/>
      <c r="T12" s="97"/>
      <c r="U12" s="97"/>
      <c r="V12" s="97"/>
      <c r="W12" s="97"/>
      <c r="X12" s="97"/>
      <c r="Y12" s="97"/>
      <c r="Z12" s="97"/>
      <c r="AA12" s="97"/>
      <c r="AB12" s="97"/>
      <c r="AC12" s="97"/>
    </row>
    <row r="13" spans="1:29" s="74" customFormat="1" ht="18" customHeight="1">
      <c r="A13" s="85" t="s">
        <v>93</v>
      </c>
      <c r="B13" s="85" t="s">
        <v>126</v>
      </c>
      <c r="C13" s="88" t="s">
        <v>127</v>
      </c>
      <c r="D13" s="85" t="s">
        <v>113</v>
      </c>
      <c r="E13" s="85" t="s">
        <v>113</v>
      </c>
      <c r="F13" s="85" t="s">
        <v>113</v>
      </c>
      <c r="G13" s="85">
        <v>24</v>
      </c>
      <c r="H13" s="89">
        <v>45929</v>
      </c>
      <c r="I13" s="89">
        <v>45929</v>
      </c>
      <c r="J13" s="85">
        <v>0</v>
      </c>
      <c r="K13" s="85">
        <v>31</v>
      </c>
      <c r="L13" s="90">
        <v>0.29166666666666669</v>
      </c>
      <c r="M13" s="85">
        <v>1</v>
      </c>
      <c r="N13" s="85" t="s">
        <v>119</v>
      </c>
      <c r="O13" s="85" t="s">
        <v>99</v>
      </c>
      <c r="Q13" s="97"/>
      <c r="R13" s="97"/>
      <c r="S13" s="97"/>
      <c r="T13" s="97"/>
      <c r="U13" s="97"/>
      <c r="V13" s="97"/>
      <c r="W13" s="97"/>
      <c r="X13" s="97"/>
      <c r="Y13" s="97"/>
      <c r="Z13" s="97"/>
      <c r="AA13" s="97"/>
      <c r="AB13" s="97"/>
      <c r="AC13" s="97"/>
    </row>
    <row r="14" spans="1:29" s="74" customFormat="1" ht="18" customHeight="1">
      <c r="A14" s="85" t="s">
        <v>93</v>
      </c>
      <c r="B14" s="85" t="s">
        <v>128</v>
      </c>
      <c r="C14" s="88" t="s">
        <v>129</v>
      </c>
      <c r="D14" s="85" t="s">
        <v>130</v>
      </c>
      <c r="E14" s="85" t="s">
        <v>97</v>
      </c>
      <c r="F14" s="85" t="s">
        <v>97</v>
      </c>
      <c r="G14" s="85">
        <v>8</v>
      </c>
      <c r="H14" s="89">
        <v>45917</v>
      </c>
      <c r="I14" s="89">
        <v>45917</v>
      </c>
      <c r="J14" s="85">
        <v>0</v>
      </c>
      <c r="K14" s="85">
        <v>10</v>
      </c>
      <c r="L14" s="90">
        <v>0.25</v>
      </c>
      <c r="M14" s="85">
        <v>3</v>
      </c>
      <c r="N14" s="85" t="s">
        <v>119</v>
      </c>
      <c r="O14" s="85" t="s">
        <v>99</v>
      </c>
      <c r="Q14" s="97"/>
      <c r="R14" s="97"/>
      <c r="S14" s="97"/>
      <c r="T14" s="97"/>
      <c r="U14" s="97"/>
      <c r="V14" s="97"/>
      <c r="W14" s="97"/>
      <c r="X14" s="97"/>
      <c r="Y14" s="97"/>
      <c r="Z14" s="97"/>
      <c r="AA14" s="97"/>
      <c r="AB14" s="97"/>
      <c r="AC14" s="97"/>
    </row>
    <row r="15" spans="1:29" s="74" customFormat="1" ht="18" customHeight="1">
      <c r="A15" s="85" t="s">
        <v>93</v>
      </c>
      <c r="B15" s="85" t="s">
        <v>131</v>
      </c>
      <c r="C15" s="88" t="s">
        <v>132</v>
      </c>
      <c r="D15" s="85" t="s">
        <v>130</v>
      </c>
      <c r="E15" s="85" t="s">
        <v>97</v>
      </c>
      <c r="F15" s="85" t="s">
        <v>97</v>
      </c>
      <c r="G15" s="85">
        <v>24</v>
      </c>
      <c r="H15" s="89">
        <v>45909</v>
      </c>
      <c r="I15" s="89">
        <v>45909</v>
      </c>
      <c r="J15" s="85">
        <v>0</v>
      </c>
      <c r="K15" s="85">
        <v>27</v>
      </c>
      <c r="L15" s="90">
        <v>0.125</v>
      </c>
      <c r="M15" s="85">
        <v>7</v>
      </c>
      <c r="N15" s="85" t="s">
        <v>119</v>
      </c>
      <c r="O15" s="85" t="s">
        <v>99</v>
      </c>
      <c r="Q15" s="97"/>
      <c r="R15" s="97"/>
      <c r="S15" s="97"/>
      <c r="T15" s="97"/>
      <c r="U15" s="97"/>
      <c r="V15" s="97"/>
    </row>
    <row r="16" spans="1:29" s="74" customFormat="1" ht="18" customHeight="1">
      <c r="A16" s="85" t="s">
        <v>93</v>
      </c>
      <c r="B16" s="85" t="s">
        <v>133</v>
      </c>
      <c r="C16" s="88" t="s">
        <v>134</v>
      </c>
      <c r="D16" s="85" t="s">
        <v>130</v>
      </c>
      <c r="E16" s="85" t="s">
        <v>97</v>
      </c>
      <c r="F16" s="85" t="s">
        <v>97</v>
      </c>
      <c r="G16" s="85">
        <v>20</v>
      </c>
      <c r="H16" s="89">
        <v>45917</v>
      </c>
      <c r="I16" s="89">
        <v>45917</v>
      </c>
      <c r="J16" s="85">
        <v>0</v>
      </c>
      <c r="K16" s="85">
        <v>26</v>
      </c>
      <c r="L16" s="90">
        <v>0.3</v>
      </c>
      <c r="M16" s="85">
        <v>2</v>
      </c>
      <c r="N16" s="85" t="s">
        <v>119</v>
      </c>
      <c r="O16" s="85" t="s">
        <v>99</v>
      </c>
      <c r="Q16" s="97"/>
      <c r="R16" s="97"/>
      <c r="S16" s="97"/>
      <c r="T16" s="97"/>
      <c r="U16" s="97"/>
      <c r="V16" s="97"/>
    </row>
    <row r="17" spans="1:32" s="74" customFormat="1" ht="18" customHeight="1">
      <c r="A17" s="85" t="s">
        <v>93</v>
      </c>
      <c r="B17" s="85" t="s">
        <v>135</v>
      </c>
      <c r="C17" s="88" t="s">
        <v>136</v>
      </c>
      <c r="D17" s="85" t="s">
        <v>106</v>
      </c>
      <c r="E17" s="85" t="s">
        <v>97</v>
      </c>
      <c r="F17" s="85" t="s">
        <v>97</v>
      </c>
      <c r="G17" s="85">
        <v>10</v>
      </c>
      <c r="H17" s="89">
        <v>45923</v>
      </c>
      <c r="I17" s="89">
        <v>45923</v>
      </c>
      <c r="J17" s="85">
        <v>0</v>
      </c>
      <c r="K17" s="85">
        <v>13</v>
      </c>
      <c r="L17" s="90">
        <v>0.3</v>
      </c>
      <c r="M17" s="85">
        <v>2</v>
      </c>
      <c r="N17" s="85" t="s">
        <v>119</v>
      </c>
      <c r="O17" s="85" t="s">
        <v>99</v>
      </c>
      <c r="Q17" s="97"/>
      <c r="R17" s="97"/>
      <c r="S17" s="97"/>
      <c r="T17" s="97"/>
      <c r="U17" s="97"/>
      <c r="V17" s="97"/>
    </row>
    <row r="18" spans="1:32" s="74" customFormat="1" ht="18" customHeight="1">
      <c r="A18" s="85" t="s">
        <v>93</v>
      </c>
      <c r="B18" s="85" t="s">
        <v>137</v>
      </c>
      <c r="C18" s="88" t="s">
        <v>138</v>
      </c>
      <c r="D18" s="85" t="s">
        <v>106</v>
      </c>
      <c r="E18" s="85" t="s">
        <v>97</v>
      </c>
      <c r="F18" s="85" t="s">
        <v>97</v>
      </c>
      <c r="G18" s="85">
        <v>11</v>
      </c>
      <c r="H18" s="89">
        <v>45925</v>
      </c>
      <c r="I18" s="89">
        <v>45926</v>
      </c>
      <c r="J18" s="85">
        <v>0</v>
      </c>
      <c r="K18" s="85">
        <v>14</v>
      </c>
      <c r="L18" s="90">
        <v>0.27272727272727271</v>
      </c>
      <c r="M18" s="85">
        <v>4</v>
      </c>
      <c r="N18" s="85" t="s">
        <v>119</v>
      </c>
      <c r="O18" s="85" t="s">
        <v>99</v>
      </c>
      <c r="Q18" s="97"/>
      <c r="R18" s="98"/>
      <c r="S18" s="98"/>
      <c r="T18" s="98"/>
      <c r="U18" s="97"/>
      <c r="V18" s="97"/>
    </row>
    <row r="19" spans="1:32" s="74" customFormat="1" ht="18" customHeight="1">
      <c r="A19" s="85" t="s">
        <v>93</v>
      </c>
      <c r="B19" s="85" t="s">
        <v>139</v>
      </c>
      <c r="C19" s="88" t="s">
        <v>140</v>
      </c>
      <c r="D19" s="85" t="s">
        <v>109</v>
      </c>
      <c r="E19" s="85" t="s">
        <v>141</v>
      </c>
      <c r="F19" s="85" t="s">
        <v>109</v>
      </c>
      <c r="G19" s="85">
        <v>0</v>
      </c>
      <c r="H19" s="89">
        <v>45903</v>
      </c>
      <c r="I19" s="89">
        <v>45903</v>
      </c>
      <c r="J19" s="85">
        <v>0</v>
      </c>
      <c r="K19" s="85">
        <v>15</v>
      </c>
      <c r="L19" s="90" t="s">
        <v>142</v>
      </c>
      <c r="M19" s="85">
        <v>0</v>
      </c>
      <c r="N19" s="85" t="s">
        <v>119</v>
      </c>
      <c r="O19" s="85" t="s">
        <v>99</v>
      </c>
      <c r="Q19" s="97"/>
      <c r="U19" s="97"/>
      <c r="V19" s="97"/>
    </row>
    <row r="20" spans="1:32" s="74" customFormat="1" ht="18" customHeight="1">
      <c r="A20" s="53" t="s">
        <v>93</v>
      </c>
      <c r="B20" s="129" t="s">
        <v>143</v>
      </c>
      <c r="C20" s="80" t="s">
        <v>144</v>
      </c>
      <c r="D20" s="53" t="s">
        <v>116</v>
      </c>
      <c r="E20" s="44" t="s">
        <v>113</v>
      </c>
      <c r="F20" s="44" t="s">
        <v>113</v>
      </c>
      <c r="G20" s="53">
        <v>20</v>
      </c>
      <c r="H20" s="79">
        <v>45931</v>
      </c>
      <c r="I20" s="79">
        <v>45931</v>
      </c>
      <c r="J20" s="53">
        <v>0</v>
      </c>
      <c r="K20" s="53">
        <v>18</v>
      </c>
      <c r="L20" s="81">
        <v>-0.1</v>
      </c>
      <c r="M20" s="129">
        <v>6</v>
      </c>
      <c r="N20" s="53" t="s">
        <v>145</v>
      </c>
      <c r="O20" s="53" t="s">
        <v>99</v>
      </c>
      <c r="Q20" s="97"/>
      <c r="U20" s="97"/>
      <c r="V20" s="97"/>
    </row>
    <row r="21" spans="1:32" s="74" customFormat="1" ht="18" customHeight="1">
      <c r="A21" s="44" t="s">
        <v>93</v>
      </c>
      <c r="B21" s="129" t="s">
        <v>146</v>
      </c>
      <c r="C21" s="57" t="s">
        <v>147</v>
      </c>
      <c r="D21" s="53" t="s">
        <v>113</v>
      </c>
      <c r="E21" s="44" t="s">
        <v>113</v>
      </c>
      <c r="F21" s="44" t="s">
        <v>113</v>
      </c>
      <c r="G21" s="44">
        <v>16</v>
      </c>
      <c r="H21" s="78">
        <v>45939</v>
      </c>
      <c r="I21" s="79">
        <v>45939</v>
      </c>
      <c r="J21" s="52">
        <v>0</v>
      </c>
      <c r="K21" s="44">
        <v>16</v>
      </c>
      <c r="L21" s="81">
        <v>0.25</v>
      </c>
      <c r="M21" s="44">
        <v>2</v>
      </c>
      <c r="N21" s="52" t="s">
        <v>145</v>
      </c>
      <c r="O21" s="44" t="s">
        <v>99</v>
      </c>
      <c r="Q21" s="97"/>
      <c r="U21" s="97"/>
      <c r="V21" s="97"/>
    </row>
    <row r="22" spans="1:32" s="74" customFormat="1" ht="18" customHeight="1">
      <c r="A22" s="44" t="s">
        <v>93</v>
      </c>
      <c r="B22" s="44" t="s">
        <v>148</v>
      </c>
      <c r="C22" s="57" t="s">
        <v>149</v>
      </c>
      <c r="D22" s="44" t="s">
        <v>113</v>
      </c>
      <c r="E22" s="53" t="s">
        <v>113</v>
      </c>
      <c r="F22" s="53" t="s">
        <v>113</v>
      </c>
      <c r="G22" s="44">
        <v>4</v>
      </c>
      <c r="H22" s="78">
        <v>45936</v>
      </c>
      <c r="I22" s="78">
        <v>45937</v>
      </c>
      <c r="J22" s="52">
        <v>0</v>
      </c>
      <c r="K22" s="44">
        <v>5</v>
      </c>
      <c r="L22" s="81">
        <v>0.25</v>
      </c>
      <c r="M22" s="44">
        <v>1</v>
      </c>
      <c r="N22" s="52" t="s">
        <v>145</v>
      </c>
      <c r="O22" s="44" t="s">
        <v>99</v>
      </c>
      <c r="Q22" s="97"/>
      <c r="U22" s="97"/>
      <c r="V22" s="97"/>
    </row>
    <row r="23" spans="1:32" s="74" customFormat="1" ht="18" customHeight="1">
      <c r="A23" s="44" t="s">
        <v>93</v>
      </c>
      <c r="B23" s="53" t="s">
        <v>150</v>
      </c>
      <c r="C23" s="43" t="s">
        <v>151</v>
      </c>
      <c r="D23" s="44" t="s">
        <v>96</v>
      </c>
      <c r="E23" s="44" t="s">
        <v>96</v>
      </c>
      <c r="F23" s="44" t="s">
        <v>96</v>
      </c>
      <c r="G23" s="44">
        <v>24</v>
      </c>
      <c r="H23" s="78">
        <v>45944</v>
      </c>
      <c r="I23" s="78">
        <v>45936</v>
      </c>
      <c r="J23" s="52">
        <v>11</v>
      </c>
      <c r="K23" s="44">
        <v>17</v>
      </c>
      <c r="L23" s="81">
        <v>0.16666666666666666</v>
      </c>
      <c r="M23" s="44">
        <v>1</v>
      </c>
      <c r="N23" s="52" t="s">
        <v>145</v>
      </c>
      <c r="O23" s="44" t="s">
        <v>99</v>
      </c>
      <c r="Q23" s="97"/>
      <c r="U23" s="97"/>
      <c r="V23" s="97"/>
    </row>
    <row r="24" spans="1:32" s="74" customFormat="1" ht="18" customHeight="1">
      <c r="A24" s="44" t="s">
        <v>93</v>
      </c>
      <c r="B24" s="53" t="s">
        <v>152</v>
      </c>
      <c r="C24" s="57" t="s">
        <v>153</v>
      </c>
      <c r="D24" s="44" t="s">
        <v>106</v>
      </c>
      <c r="E24" s="44" t="s">
        <v>106</v>
      </c>
      <c r="F24" s="44" t="s">
        <v>106</v>
      </c>
      <c r="G24" s="44">
        <v>16</v>
      </c>
      <c r="H24" s="78">
        <v>45936</v>
      </c>
      <c r="I24" s="78">
        <v>45933</v>
      </c>
      <c r="J24" s="52">
        <v>0</v>
      </c>
      <c r="K24" s="44">
        <v>20</v>
      </c>
      <c r="L24" s="81">
        <v>0.25</v>
      </c>
      <c r="M24" s="44">
        <v>1</v>
      </c>
      <c r="N24" s="52" t="s">
        <v>145</v>
      </c>
      <c r="O24" s="44" t="s">
        <v>99</v>
      </c>
      <c r="Q24" s="97"/>
      <c r="U24" s="97"/>
      <c r="V24" s="97"/>
      <c r="X24" s="99"/>
      <c r="Y24" s="99"/>
      <c r="Z24" s="99"/>
      <c r="AA24" s="99"/>
      <c r="AB24" s="99"/>
      <c r="AC24" s="99"/>
    </row>
    <row r="25" spans="1:32" s="74" customFormat="1" ht="18" customHeight="1">
      <c r="A25" s="44" t="s">
        <v>93</v>
      </c>
      <c r="B25" s="75" t="s">
        <v>154</v>
      </c>
      <c r="C25" s="57" t="s">
        <v>155</v>
      </c>
      <c r="D25" s="44" t="s">
        <v>113</v>
      </c>
      <c r="E25" s="44" t="s">
        <v>113</v>
      </c>
      <c r="F25" s="44" t="s">
        <v>113</v>
      </c>
      <c r="G25" s="44">
        <v>8</v>
      </c>
      <c r="H25" s="78">
        <v>45945</v>
      </c>
      <c r="I25" s="78">
        <v>45946</v>
      </c>
      <c r="J25" s="52">
        <v>0</v>
      </c>
      <c r="K25" s="44">
        <v>10</v>
      </c>
      <c r="L25" s="81">
        <v>0.25</v>
      </c>
      <c r="M25" s="129">
        <v>2</v>
      </c>
      <c r="N25" s="52" t="s">
        <v>145</v>
      </c>
      <c r="O25" s="44" t="s">
        <v>99</v>
      </c>
      <c r="Q25" s="97"/>
      <c r="R25" s="96"/>
      <c r="S25" s="96"/>
      <c r="T25" s="96"/>
      <c r="U25" s="97"/>
      <c r="V25" s="97"/>
      <c r="X25" s="99"/>
      <c r="Y25" s="99"/>
      <c r="Z25" s="99"/>
      <c r="AA25" s="99"/>
      <c r="AB25" s="99"/>
      <c r="AC25" s="99"/>
    </row>
    <row r="26" spans="1:32" s="74" customFormat="1" ht="18" customHeight="1">
      <c r="A26" s="44" t="s">
        <v>93</v>
      </c>
      <c r="B26" s="129" t="s">
        <v>156</v>
      </c>
      <c r="C26" s="43" t="s">
        <v>157</v>
      </c>
      <c r="D26" s="44" t="s">
        <v>158</v>
      </c>
      <c r="E26" s="44" t="s">
        <v>158</v>
      </c>
      <c r="F26" s="44" t="s">
        <v>113</v>
      </c>
      <c r="G26" s="44">
        <v>28</v>
      </c>
      <c r="H26" s="78">
        <v>45951</v>
      </c>
      <c r="I26" s="44"/>
      <c r="J26" s="44">
        <v>0</v>
      </c>
      <c r="K26" s="44">
        <v>8</v>
      </c>
      <c r="L26" s="81">
        <v>-0.7142857142857143</v>
      </c>
      <c r="M26" s="44">
        <v>1</v>
      </c>
      <c r="N26" s="52" t="s">
        <v>145</v>
      </c>
      <c r="O26" s="44" t="s">
        <v>99</v>
      </c>
      <c r="Q26" s="97"/>
      <c r="R26" s="96"/>
      <c r="S26" s="96"/>
      <c r="T26" s="96"/>
      <c r="U26" s="97"/>
      <c r="V26" s="97"/>
      <c r="X26" s="99"/>
      <c r="Y26" s="99"/>
      <c r="Z26" s="99"/>
      <c r="AA26" s="99"/>
      <c r="AB26" s="99"/>
      <c r="AC26" s="99"/>
    </row>
    <row r="27" spans="1:32" s="74" customFormat="1" ht="18" customHeight="1">
      <c r="A27" s="44" t="s">
        <v>93</v>
      </c>
      <c r="B27" s="129" t="s">
        <v>159</v>
      </c>
      <c r="C27" s="57" t="s">
        <v>160</v>
      </c>
      <c r="D27" s="44"/>
      <c r="E27" s="44"/>
      <c r="F27" s="129" t="s">
        <v>158</v>
      </c>
      <c r="G27" s="44">
        <v>20</v>
      </c>
      <c r="H27" s="78">
        <v>45957</v>
      </c>
      <c r="I27" s="44"/>
      <c r="J27" s="44">
        <v>0</v>
      </c>
      <c r="K27" s="6">
        <v>20</v>
      </c>
      <c r="L27" s="2">
        <v>0</v>
      </c>
      <c r="M27" s="44">
        <v>0</v>
      </c>
      <c r="N27" s="52" t="s">
        <v>145</v>
      </c>
      <c r="O27" s="44"/>
      <c r="Q27" s="97"/>
      <c r="R27" s="96"/>
      <c r="S27" s="96"/>
      <c r="T27" s="96"/>
      <c r="U27" s="97"/>
      <c r="V27" s="97"/>
      <c r="X27" s="99"/>
      <c r="Y27" s="99"/>
      <c r="Z27" s="99"/>
      <c r="AA27" s="99"/>
      <c r="AB27" s="99"/>
      <c r="AC27" s="99"/>
    </row>
    <row r="28" spans="1:32" s="74" customFormat="1" ht="18" customHeight="1">
      <c r="A28" s="85" t="s">
        <v>163</v>
      </c>
      <c r="B28" s="85" t="s">
        <v>164</v>
      </c>
      <c r="C28" s="88" t="s">
        <v>165</v>
      </c>
      <c r="D28" s="85" t="s">
        <v>106</v>
      </c>
      <c r="E28" s="91" t="s">
        <v>97</v>
      </c>
      <c r="F28" s="91" t="s">
        <v>97</v>
      </c>
      <c r="G28" s="85">
        <v>34</v>
      </c>
      <c r="H28" s="89">
        <v>45873</v>
      </c>
      <c r="I28" s="89">
        <v>45873</v>
      </c>
      <c r="J28" s="85">
        <v>30.5</v>
      </c>
      <c r="K28" s="85">
        <v>4</v>
      </c>
      <c r="L28" s="90">
        <v>1.4705882352941176E-2</v>
      </c>
      <c r="M28" s="85">
        <v>5</v>
      </c>
      <c r="N28" s="85" t="s">
        <v>98</v>
      </c>
      <c r="O28" s="85" t="s">
        <v>99</v>
      </c>
      <c r="Q28" s="97"/>
      <c r="R28" s="96"/>
      <c r="S28" s="96"/>
      <c r="T28" s="96"/>
      <c r="U28" s="97"/>
      <c r="V28" s="97"/>
    </row>
    <row r="29" spans="1:32" s="74" customFormat="1" ht="18" customHeight="1">
      <c r="A29" s="85" t="s">
        <v>163</v>
      </c>
      <c r="B29" s="85" t="s">
        <v>166</v>
      </c>
      <c r="C29" s="88" t="s">
        <v>167</v>
      </c>
      <c r="D29" s="85" t="s">
        <v>96</v>
      </c>
      <c r="E29" s="91" t="s">
        <v>97</v>
      </c>
      <c r="F29" s="91" t="s">
        <v>97</v>
      </c>
      <c r="G29" s="85">
        <v>20</v>
      </c>
      <c r="H29" s="89">
        <v>45884</v>
      </c>
      <c r="I29" s="89">
        <v>45883</v>
      </c>
      <c r="J29" s="85">
        <v>20</v>
      </c>
      <c r="K29" s="85">
        <v>2</v>
      </c>
      <c r="L29" s="90">
        <v>0.1</v>
      </c>
      <c r="M29" s="85">
        <v>3</v>
      </c>
      <c r="N29" s="85" t="s">
        <v>98</v>
      </c>
      <c r="O29" s="85" t="s">
        <v>99</v>
      </c>
      <c r="Q29" s="97"/>
      <c r="R29" s="97"/>
      <c r="S29" s="97"/>
      <c r="T29" s="97"/>
      <c r="U29" s="97"/>
      <c r="V29" s="97"/>
    </row>
    <row r="30" spans="1:32" s="74" customFormat="1" ht="18" customHeight="1">
      <c r="A30" s="85" t="s">
        <v>163</v>
      </c>
      <c r="B30" s="85" t="s">
        <v>168</v>
      </c>
      <c r="C30" s="88" t="s">
        <v>169</v>
      </c>
      <c r="D30" s="85" t="s">
        <v>106</v>
      </c>
      <c r="E30" s="91" t="s">
        <v>97</v>
      </c>
      <c r="F30" s="91" t="s">
        <v>97</v>
      </c>
      <c r="G30" s="85">
        <v>12</v>
      </c>
      <c r="H30" s="89">
        <v>45873</v>
      </c>
      <c r="I30" s="89">
        <v>45870</v>
      </c>
      <c r="J30" s="85">
        <v>6</v>
      </c>
      <c r="K30" s="85">
        <v>8</v>
      </c>
      <c r="L30" s="90">
        <v>0.16666666666666666</v>
      </c>
      <c r="M30" s="85">
        <v>1</v>
      </c>
      <c r="N30" s="85" t="s">
        <v>98</v>
      </c>
      <c r="O30" s="85" t="s">
        <v>99</v>
      </c>
      <c r="Q30" s="97"/>
      <c r="R30" s="98"/>
      <c r="S30" s="98"/>
      <c r="T30" s="98"/>
      <c r="U30" s="97"/>
      <c r="V30" s="97"/>
    </row>
    <row r="31" spans="1:32" s="74" customFormat="1" ht="18" customHeight="1">
      <c r="A31" s="53" t="s">
        <v>163</v>
      </c>
      <c r="B31" s="53" t="s">
        <v>117</v>
      </c>
      <c r="C31" s="80" t="s">
        <v>118</v>
      </c>
      <c r="D31" s="53" t="s">
        <v>106</v>
      </c>
      <c r="E31" s="92" t="s">
        <v>97</v>
      </c>
      <c r="F31" s="92" t="s">
        <v>97</v>
      </c>
      <c r="G31" s="53">
        <v>16</v>
      </c>
      <c r="H31" s="79">
        <v>45908</v>
      </c>
      <c r="I31" s="79">
        <v>45908</v>
      </c>
      <c r="J31" s="53">
        <v>12</v>
      </c>
      <c r="K31" s="53">
        <v>1</v>
      </c>
      <c r="L31" s="81"/>
      <c r="M31" s="53">
        <v>2</v>
      </c>
      <c r="N31" s="53" t="s">
        <v>119</v>
      </c>
      <c r="O31" s="53" t="s">
        <v>99</v>
      </c>
      <c r="P31" s="51"/>
      <c r="Q31" s="51"/>
      <c r="R31" s="44"/>
      <c r="S31" s="44"/>
      <c r="T31" s="44"/>
      <c r="U31" s="51"/>
      <c r="V31" s="51"/>
      <c r="W31" s="51"/>
      <c r="X31" s="51"/>
      <c r="Y31" s="51"/>
      <c r="Z31" s="51"/>
      <c r="AA31" s="51"/>
      <c r="AB31" s="51"/>
      <c r="AC31" s="51"/>
      <c r="AD31" s="51"/>
      <c r="AE31" s="51"/>
      <c r="AF31" s="51"/>
    </row>
    <row r="32" spans="1:32" s="74" customFormat="1" ht="18" customHeight="1">
      <c r="A32" s="53" t="s">
        <v>163</v>
      </c>
      <c r="B32" s="53" t="s">
        <v>131</v>
      </c>
      <c r="C32" s="80" t="s">
        <v>132</v>
      </c>
      <c r="D32" s="53" t="s">
        <v>130</v>
      </c>
      <c r="E32" s="92" t="s">
        <v>97</v>
      </c>
      <c r="F32" s="92" t="s">
        <v>97</v>
      </c>
      <c r="G32" s="53">
        <v>24</v>
      </c>
      <c r="H32" s="79">
        <v>45909</v>
      </c>
      <c r="I32" s="79">
        <v>45909</v>
      </c>
      <c r="J32" s="53">
        <v>0</v>
      </c>
      <c r="K32" s="53">
        <v>3</v>
      </c>
      <c r="L32" s="81"/>
      <c r="M32" s="53">
        <v>7</v>
      </c>
      <c r="N32" s="53" t="s">
        <v>119</v>
      </c>
      <c r="O32" s="53" t="s">
        <v>99</v>
      </c>
      <c r="P32" s="51"/>
      <c r="Q32" s="51"/>
      <c r="R32" s="44"/>
      <c r="S32" s="44"/>
      <c r="T32" s="44"/>
      <c r="U32" s="51"/>
      <c r="V32" s="51"/>
      <c r="W32" s="51"/>
      <c r="X32" s="51"/>
      <c r="Y32" s="51"/>
      <c r="Z32" s="51"/>
      <c r="AA32" s="51"/>
      <c r="AB32" s="51"/>
      <c r="AC32" s="51"/>
      <c r="AD32" s="51"/>
      <c r="AE32" s="51"/>
      <c r="AF32" s="51"/>
    </row>
    <row r="33" spans="1:32" s="74" customFormat="1" ht="18" customHeight="1">
      <c r="A33" s="53" t="s">
        <v>163</v>
      </c>
      <c r="B33" s="53" t="s">
        <v>124</v>
      </c>
      <c r="C33" s="80" t="s">
        <v>125</v>
      </c>
      <c r="D33" s="53" t="s">
        <v>113</v>
      </c>
      <c r="E33" s="92" t="s">
        <v>113</v>
      </c>
      <c r="F33" s="92" t="s">
        <v>113</v>
      </c>
      <c r="G33" s="53">
        <v>28</v>
      </c>
      <c r="H33" s="79">
        <v>45918</v>
      </c>
      <c r="I33" s="79">
        <v>45918</v>
      </c>
      <c r="J33" s="53">
        <v>0</v>
      </c>
      <c r="K33" s="53">
        <v>1</v>
      </c>
      <c r="L33" s="81"/>
      <c r="M33" s="53">
        <v>1</v>
      </c>
      <c r="N33" s="53" t="s">
        <v>119</v>
      </c>
      <c r="O33" s="53" t="s">
        <v>99</v>
      </c>
      <c r="P33" s="51"/>
      <c r="Q33" s="51"/>
      <c r="R33" s="44"/>
      <c r="S33" s="44"/>
      <c r="T33" s="44"/>
      <c r="U33" s="51"/>
      <c r="V33" s="51"/>
      <c r="W33" s="51"/>
      <c r="X33" s="51"/>
      <c r="Y33" s="51"/>
      <c r="Z33" s="51"/>
      <c r="AA33" s="51"/>
      <c r="AB33" s="51"/>
      <c r="AC33" s="51"/>
      <c r="AD33" s="51"/>
      <c r="AE33" s="51"/>
      <c r="AF33" s="51"/>
    </row>
    <row r="34" spans="1:32" s="74" customFormat="1" ht="18" customHeight="1">
      <c r="A34" s="53" t="s">
        <v>163</v>
      </c>
      <c r="B34" s="53" t="s">
        <v>170</v>
      </c>
      <c r="C34" s="80" t="s">
        <v>171</v>
      </c>
      <c r="D34" s="53" t="s">
        <v>109</v>
      </c>
      <c r="E34" s="87" t="s">
        <v>97</v>
      </c>
      <c r="F34" s="87" t="s">
        <v>97</v>
      </c>
      <c r="G34" s="53">
        <v>16</v>
      </c>
      <c r="H34" s="79">
        <v>45925</v>
      </c>
      <c r="I34" s="79">
        <v>45925</v>
      </c>
      <c r="J34" s="53">
        <v>14</v>
      </c>
      <c r="K34" s="53">
        <v>4</v>
      </c>
      <c r="L34" s="81">
        <v>0.125</v>
      </c>
      <c r="M34" s="53">
        <v>1</v>
      </c>
      <c r="N34" s="53" t="s">
        <v>119</v>
      </c>
      <c r="O34" s="53" t="s">
        <v>99</v>
      </c>
      <c r="Q34" s="97"/>
      <c r="R34" s="98"/>
      <c r="S34" s="98"/>
      <c r="T34" s="98"/>
      <c r="U34" s="97"/>
      <c r="V34" s="97"/>
    </row>
    <row r="35" spans="1:32" s="74" customFormat="1" ht="18" customHeight="1">
      <c r="A35" s="53" t="s">
        <v>163</v>
      </c>
      <c r="B35" s="53" t="s">
        <v>172</v>
      </c>
      <c r="C35" s="80" t="s">
        <v>173</v>
      </c>
      <c r="D35" s="53" t="s">
        <v>113</v>
      </c>
      <c r="E35" s="87" t="s">
        <v>97</v>
      </c>
      <c r="F35" s="87" t="s">
        <v>97</v>
      </c>
      <c r="G35" s="53">
        <v>30</v>
      </c>
      <c r="H35" s="79">
        <v>45902</v>
      </c>
      <c r="I35" s="79">
        <v>45902</v>
      </c>
      <c r="J35" s="53">
        <v>0</v>
      </c>
      <c r="K35" s="53">
        <v>27</v>
      </c>
      <c r="L35" s="81">
        <v>-0.1</v>
      </c>
      <c r="M35" s="53">
        <v>3</v>
      </c>
      <c r="N35" s="53" t="s">
        <v>119</v>
      </c>
      <c r="O35" s="53" t="s">
        <v>99</v>
      </c>
      <c r="Q35" s="97"/>
      <c r="R35" s="98"/>
      <c r="S35" s="98"/>
      <c r="T35" s="98"/>
      <c r="U35" s="97"/>
      <c r="V35" s="97"/>
    </row>
    <row r="36" spans="1:32" s="74" customFormat="1" ht="18" customHeight="1">
      <c r="A36" s="53" t="s">
        <v>163</v>
      </c>
      <c r="B36" s="53" t="s">
        <v>174</v>
      </c>
      <c r="C36" s="80" t="s">
        <v>175</v>
      </c>
      <c r="D36" s="53" t="s">
        <v>113</v>
      </c>
      <c r="E36" s="87" t="s">
        <v>106</v>
      </c>
      <c r="F36" s="87" t="s">
        <v>106</v>
      </c>
      <c r="G36" s="53">
        <v>10</v>
      </c>
      <c r="H36" s="79">
        <v>45940</v>
      </c>
      <c r="I36" s="79">
        <v>45919</v>
      </c>
      <c r="J36" s="53">
        <v>0</v>
      </c>
      <c r="K36" s="53">
        <v>13</v>
      </c>
      <c r="L36" s="81">
        <v>0.3</v>
      </c>
      <c r="M36" s="53">
        <v>1</v>
      </c>
      <c r="N36" s="53" t="s">
        <v>119</v>
      </c>
      <c r="O36" s="53" t="s">
        <v>99</v>
      </c>
      <c r="Q36" s="97"/>
      <c r="R36" s="98"/>
      <c r="S36" s="97"/>
      <c r="T36" s="97"/>
      <c r="U36" s="97"/>
      <c r="V36" s="97"/>
    </row>
    <row r="37" spans="1:32" s="74" customFormat="1" ht="18" customHeight="1">
      <c r="A37" s="53" t="s">
        <v>163</v>
      </c>
      <c r="B37" s="53" t="s">
        <v>176</v>
      </c>
      <c r="C37" s="80" t="s">
        <v>177</v>
      </c>
      <c r="D37" s="53" t="s">
        <v>130</v>
      </c>
      <c r="E37" s="87" t="s">
        <v>97</v>
      </c>
      <c r="F37" s="87" t="s">
        <v>97</v>
      </c>
      <c r="G37" s="53">
        <v>8</v>
      </c>
      <c r="H37" s="79">
        <v>45922</v>
      </c>
      <c r="I37" s="79">
        <v>45915</v>
      </c>
      <c r="J37" s="53">
        <v>0</v>
      </c>
      <c r="K37" s="53">
        <v>10</v>
      </c>
      <c r="L37" s="81">
        <v>0.25</v>
      </c>
      <c r="M37" s="53">
        <v>2</v>
      </c>
      <c r="N37" s="53" t="s">
        <v>119</v>
      </c>
      <c r="O37" s="53" t="s">
        <v>99</v>
      </c>
      <c r="Q37" s="97"/>
      <c r="R37" s="98"/>
      <c r="S37" s="97"/>
      <c r="T37" s="97"/>
      <c r="U37" s="97"/>
      <c r="V37" s="97"/>
    </row>
    <row r="38" spans="1:32" s="74" customFormat="1" ht="18" customHeight="1">
      <c r="A38" s="53" t="s">
        <v>163</v>
      </c>
      <c r="B38" s="53" t="s">
        <v>178</v>
      </c>
      <c r="C38" s="80" t="s">
        <v>179</v>
      </c>
      <c r="D38" s="53" t="s">
        <v>130</v>
      </c>
      <c r="E38" s="87" t="s">
        <v>97</v>
      </c>
      <c r="F38" s="87" t="s">
        <v>97</v>
      </c>
      <c r="G38" s="53">
        <v>14</v>
      </c>
      <c r="H38" s="79">
        <v>45922</v>
      </c>
      <c r="I38" s="79">
        <v>45919</v>
      </c>
      <c r="J38" s="53">
        <v>0</v>
      </c>
      <c r="K38" s="53">
        <v>18</v>
      </c>
      <c r="L38" s="81">
        <v>0.2857142857142857</v>
      </c>
      <c r="M38" s="53">
        <v>3</v>
      </c>
      <c r="N38" s="53" t="s">
        <v>119</v>
      </c>
      <c r="O38" s="53" t="s">
        <v>99</v>
      </c>
      <c r="Q38" s="97"/>
      <c r="R38" s="98"/>
      <c r="S38" s="97"/>
      <c r="T38" s="97"/>
      <c r="U38" s="97"/>
      <c r="V38" s="97"/>
    </row>
    <row r="39" spans="1:32" s="74" customFormat="1" ht="18" customHeight="1">
      <c r="A39" s="53" t="s">
        <v>163</v>
      </c>
      <c r="B39" s="53" t="s">
        <v>133</v>
      </c>
      <c r="C39" s="80" t="s">
        <v>134</v>
      </c>
      <c r="D39" s="53" t="s">
        <v>130</v>
      </c>
      <c r="E39" s="92" t="s">
        <v>97</v>
      </c>
      <c r="F39" s="92" t="s">
        <v>97</v>
      </c>
      <c r="G39" s="53">
        <v>20</v>
      </c>
      <c r="H39" s="79">
        <v>45917</v>
      </c>
      <c r="I39" s="79">
        <v>45917</v>
      </c>
      <c r="J39" s="53">
        <v>0</v>
      </c>
      <c r="K39" s="53">
        <v>1</v>
      </c>
      <c r="L39" s="81"/>
      <c r="M39" s="53">
        <v>2</v>
      </c>
      <c r="N39" s="53" t="s">
        <v>119</v>
      </c>
      <c r="O39" s="53" t="s">
        <v>180</v>
      </c>
      <c r="P39" s="51"/>
      <c r="Q39" s="51"/>
      <c r="R39" s="44"/>
      <c r="S39" s="44"/>
      <c r="T39" s="44"/>
      <c r="U39" s="51"/>
      <c r="V39" s="51"/>
      <c r="W39" s="51"/>
      <c r="X39" s="51"/>
      <c r="Y39" s="51"/>
      <c r="Z39" s="51"/>
      <c r="AA39" s="51"/>
      <c r="AB39" s="51"/>
      <c r="AC39" s="51"/>
      <c r="AD39" s="51"/>
      <c r="AE39" s="51"/>
      <c r="AF39" s="51"/>
    </row>
    <row r="40" spans="1:32" s="74" customFormat="1" ht="18" customHeight="1">
      <c r="A40" s="53" t="s">
        <v>163</v>
      </c>
      <c r="B40" s="53" t="s">
        <v>181</v>
      </c>
      <c r="C40" s="80" t="s">
        <v>182</v>
      </c>
      <c r="D40" s="53" t="s">
        <v>130</v>
      </c>
      <c r="E40" s="87" t="s">
        <v>97</v>
      </c>
      <c r="F40" s="87" t="s">
        <v>97</v>
      </c>
      <c r="G40" s="53">
        <v>12</v>
      </c>
      <c r="H40" s="79">
        <v>45904</v>
      </c>
      <c r="I40" s="79">
        <v>45904</v>
      </c>
      <c r="J40" s="53">
        <v>0</v>
      </c>
      <c r="K40" s="53">
        <v>15</v>
      </c>
      <c r="L40" s="81">
        <v>0.25</v>
      </c>
      <c r="M40" s="53">
        <v>1</v>
      </c>
      <c r="N40" s="53" t="s">
        <v>119</v>
      </c>
      <c r="O40" s="53" t="s">
        <v>99</v>
      </c>
      <c r="Q40" s="97"/>
      <c r="R40" s="98"/>
      <c r="S40" s="98"/>
      <c r="T40" s="98"/>
      <c r="U40" s="97"/>
      <c r="V40" s="97"/>
    </row>
    <row r="41" spans="1:32" s="74" customFormat="1" ht="18" customHeight="1">
      <c r="A41" s="53" t="s">
        <v>163</v>
      </c>
      <c r="B41" s="53" t="s">
        <v>183</v>
      </c>
      <c r="C41" s="80" t="s">
        <v>184</v>
      </c>
      <c r="D41" s="53" t="s">
        <v>130</v>
      </c>
      <c r="E41" s="87" t="s">
        <v>97</v>
      </c>
      <c r="F41" s="87" t="s">
        <v>97</v>
      </c>
      <c r="G41" s="53">
        <v>4</v>
      </c>
      <c r="H41" s="79">
        <v>45908</v>
      </c>
      <c r="I41" s="79">
        <v>45908</v>
      </c>
      <c r="J41" s="53">
        <v>0</v>
      </c>
      <c r="K41" s="53">
        <v>5</v>
      </c>
      <c r="L41" s="81">
        <v>0.25</v>
      </c>
      <c r="M41" s="53">
        <v>1</v>
      </c>
      <c r="N41" s="53" t="s">
        <v>119</v>
      </c>
      <c r="O41" s="53" t="s">
        <v>99</v>
      </c>
      <c r="Q41" s="97"/>
      <c r="R41" s="98"/>
      <c r="S41" s="98"/>
      <c r="T41" s="98"/>
      <c r="U41" s="97"/>
      <c r="V41" s="97"/>
    </row>
    <row r="42" spans="1:32" ht="18" customHeight="1">
      <c r="A42" s="53" t="s">
        <v>163</v>
      </c>
      <c r="B42" s="53" t="s">
        <v>185</v>
      </c>
      <c r="C42" s="80" t="s">
        <v>186</v>
      </c>
      <c r="D42" s="53" t="s">
        <v>106</v>
      </c>
      <c r="E42" s="92" t="s">
        <v>97</v>
      </c>
      <c r="F42" s="92" t="s">
        <v>97</v>
      </c>
      <c r="G42" s="53">
        <v>36</v>
      </c>
      <c r="H42" s="79">
        <v>45925</v>
      </c>
      <c r="I42" s="79">
        <v>45925</v>
      </c>
      <c r="J42" s="53">
        <v>41</v>
      </c>
      <c r="K42" s="53">
        <v>8</v>
      </c>
      <c r="L42" s="81">
        <v>0.3611111111111111</v>
      </c>
      <c r="M42" s="53">
        <v>5</v>
      </c>
      <c r="N42" s="53" t="s">
        <v>119</v>
      </c>
      <c r="O42" s="53" t="s">
        <v>99</v>
      </c>
    </row>
    <row r="43" spans="1:32" s="74" customFormat="1" ht="18" customHeight="1">
      <c r="A43" s="53" t="s">
        <v>163</v>
      </c>
      <c r="B43" s="53" t="s">
        <v>187</v>
      </c>
      <c r="C43" s="84" t="s">
        <v>188</v>
      </c>
      <c r="D43" s="53" t="s">
        <v>109</v>
      </c>
      <c r="E43" s="93" t="s">
        <v>189</v>
      </c>
      <c r="F43" s="93" t="s">
        <v>189</v>
      </c>
      <c r="G43" s="53">
        <v>16</v>
      </c>
      <c r="H43" s="79">
        <v>45950</v>
      </c>
      <c r="I43" s="79"/>
      <c r="J43" s="53">
        <v>26.5</v>
      </c>
      <c r="K43" s="94">
        <v>6</v>
      </c>
      <c r="L43" s="95">
        <v>1.03125</v>
      </c>
      <c r="M43" s="53">
        <v>0</v>
      </c>
      <c r="N43" s="94" t="s">
        <v>145</v>
      </c>
      <c r="O43" s="53" t="s">
        <v>180</v>
      </c>
      <c r="R43" s="53"/>
      <c r="S43" s="53"/>
      <c r="T43" s="53"/>
    </row>
    <row r="44" spans="1:32" s="74" customFormat="1" ht="18" customHeight="1">
      <c r="A44" s="53" t="s">
        <v>163</v>
      </c>
      <c r="B44" s="129" t="s">
        <v>190</v>
      </c>
      <c r="C44" s="80" t="s">
        <v>191</v>
      </c>
      <c r="D44" s="53" t="s">
        <v>113</v>
      </c>
      <c r="E44" s="93" t="s">
        <v>116</v>
      </c>
      <c r="F44" s="93" t="s">
        <v>96</v>
      </c>
      <c r="G44" s="53">
        <v>50</v>
      </c>
      <c r="H44" s="79">
        <v>45931</v>
      </c>
      <c r="I44" s="79">
        <v>45929</v>
      </c>
      <c r="J44" s="53">
        <v>53</v>
      </c>
      <c r="K44" s="94">
        <v>8</v>
      </c>
      <c r="L44" s="95">
        <v>0.22</v>
      </c>
      <c r="M44" s="53">
        <v>2</v>
      </c>
      <c r="N44" s="94" t="s">
        <v>145</v>
      </c>
      <c r="O44" s="53" t="s">
        <v>99</v>
      </c>
      <c r="Q44" s="97"/>
      <c r="R44" s="98"/>
      <c r="S44" s="98"/>
      <c r="T44" s="98"/>
      <c r="U44" s="97"/>
      <c r="V44" s="97"/>
    </row>
    <row r="45" spans="1:32" s="74" customFormat="1" ht="18" customHeight="1">
      <c r="A45" s="53" t="s">
        <v>163</v>
      </c>
      <c r="B45" s="129" t="s">
        <v>192</v>
      </c>
      <c r="C45" s="83" t="s">
        <v>193</v>
      </c>
      <c r="D45" s="53" t="s">
        <v>113</v>
      </c>
      <c r="E45" s="93" t="s">
        <v>116</v>
      </c>
      <c r="F45" s="93" t="s">
        <v>116</v>
      </c>
      <c r="G45" s="53">
        <v>15</v>
      </c>
      <c r="H45" s="79">
        <v>45937</v>
      </c>
      <c r="I45" s="79">
        <v>45937</v>
      </c>
      <c r="J45" s="53">
        <v>0</v>
      </c>
      <c r="K45" s="94">
        <v>14</v>
      </c>
      <c r="L45" s="95">
        <v>-6.6666666666666666E-2</v>
      </c>
      <c r="M45" s="129">
        <v>3</v>
      </c>
      <c r="N45" s="94" t="s">
        <v>145</v>
      </c>
      <c r="O45" s="53" t="s">
        <v>99</v>
      </c>
      <c r="R45" s="53"/>
      <c r="S45" s="53"/>
      <c r="T45" s="53"/>
    </row>
    <row r="46" spans="1:32" s="74" customFormat="1" ht="18" customHeight="1">
      <c r="A46" s="53" t="s">
        <v>163</v>
      </c>
      <c r="B46" s="129" t="s">
        <v>194</v>
      </c>
      <c r="C46" s="80" t="s">
        <v>195</v>
      </c>
      <c r="D46" s="53" t="s">
        <v>113</v>
      </c>
      <c r="E46" s="93" t="s">
        <v>196</v>
      </c>
      <c r="F46" s="93" t="s">
        <v>196</v>
      </c>
      <c r="G46" s="53">
        <v>50</v>
      </c>
      <c r="H46" s="79">
        <v>45938</v>
      </c>
      <c r="I46" s="79">
        <v>45937</v>
      </c>
      <c r="J46" s="53">
        <v>48</v>
      </c>
      <c r="K46" s="53">
        <v>17</v>
      </c>
      <c r="L46" s="81">
        <v>0.3</v>
      </c>
      <c r="M46" s="129">
        <v>5</v>
      </c>
      <c r="N46" s="53" t="s">
        <v>145</v>
      </c>
      <c r="O46" s="53" t="s">
        <v>99</v>
      </c>
      <c r="R46" s="53"/>
      <c r="S46" s="53"/>
      <c r="T46" s="53"/>
      <c r="X46" s="86"/>
      <c r="Y46" s="86"/>
      <c r="Z46" s="86"/>
      <c r="AA46" s="86"/>
      <c r="AB46" s="86"/>
      <c r="AC46" s="86"/>
    </row>
    <row r="47" spans="1:32" s="74" customFormat="1" ht="18" customHeight="1">
      <c r="A47" s="53" t="s">
        <v>163</v>
      </c>
      <c r="B47" s="129" t="s">
        <v>197</v>
      </c>
      <c r="C47" s="84" t="s">
        <v>198</v>
      </c>
      <c r="D47" s="53" t="s">
        <v>196</v>
      </c>
      <c r="E47" s="93" t="s">
        <v>196</v>
      </c>
      <c r="F47" s="93" t="s">
        <v>113</v>
      </c>
      <c r="G47" s="53">
        <v>40</v>
      </c>
      <c r="H47" s="79">
        <v>45950</v>
      </c>
      <c r="I47" s="79"/>
      <c r="J47" s="53">
        <v>0</v>
      </c>
      <c r="K47" s="94">
        <v>32</v>
      </c>
      <c r="L47" s="95">
        <v>-0.2</v>
      </c>
      <c r="M47" s="53">
        <v>1</v>
      </c>
      <c r="N47" s="94" t="s">
        <v>145</v>
      </c>
      <c r="O47" s="53" t="s">
        <v>99</v>
      </c>
      <c r="R47" s="53"/>
      <c r="S47" s="53"/>
      <c r="T47" s="53"/>
    </row>
    <row r="48" spans="1:32" s="74" customFormat="1" ht="18" customHeight="1">
      <c r="A48" s="53" t="s">
        <v>163</v>
      </c>
      <c r="B48" s="53" t="s">
        <v>199</v>
      </c>
      <c r="C48" s="80" t="s">
        <v>200</v>
      </c>
      <c r="D48" s="53" t="s">
        <v>113</v>
      </c>
      <c r="E48" s="93" t="s">
        <v>106</v>
      </c>
      <c r="F48" s="93" t="s">
        <v>106</v>
      </c>
      <c r="G48" s="53">
        <v>27</v>
      </c>
      <c r="H48" s="79">
        <v>45940</v>
      </c>
      <c r="I48" s="79">
        <v>45938</v>
      </c>
      <c r="J48" s="53">
        <v>12</v>
      </c>
      <c r="K48" s="53">
        <v>23</v>
      </c>
      <c r="L48" s="81">
        <v>0.29629629629629628</v>
      </c>
      <c r="M48" s="129">
        <v>4</v>
      </c>
      <c r="N48" s="53" t="s">
        <v>145</v>
      </c>
      <c r="O48" s="53" t="s">
        <v>99</v>
      </c>
      <c r="X48" s="86"/>
      <c r="Y48" s="86"/>
      <c r="Z48" s="86"/>
      <c r="AA48" s="86"/>
      <c r="AB48" s="86"/>
      <c r="AC48" s="86"/>
    </row>
    <row r="49" spans="1:20" s="74" customFormat="1" ht="16.5" customHeight="1">
      <c r="A49" s="53" t="s">
        <v>163</v>
      </c>
      <c r="B49" s="53" t="s">
        <v>201</v>
      </c>
      <c r="C49" s="84" t="s">
        <v>202</v>
      </c>
      <c r="D49" s="53" t="s">
        <v>96</v>
      </c>
      <c r="E49" s="93" t="s">
        <v>96</v>
      </c>
      <c r="F49" s="93" t="s">
        <v>96</v>
      </c>
      <c r="G49" s="53">
        <v>24</v>
      </c>
      <c r="H49" s="79">
        <v>45945</v>
      </c>
      <c r="I49" s="79">
        <v>45932</v>
      </c>
      <c r="J49" s="53">
        <v>8</v>
      </c>
      <c r="K49" s="94">
        <v>20</v>
      </c>
      <c r="L49" s="95">
        <v>0.16666666666666666</v>
      </c>
      <c r="M49" s="53">
        <v>2</v>
      </c>
      <c r="N49" s="94" t="s">
        <v>145</v>
      </c>
      <c r="O49" s="53" t="s">
        <v>99</v>
      </c>
      <c r="R49" s="53"/>
      <c r="S49" s="53"/>
      <c r="T49" s="53"/>
    </row>
    <row r="50" spans="1:20" ht="18" customHeight="1">
      <c r="A50" s="53" t="s">
        <v>163</v>
      </c>
      <c r="B50" s="44" t="s">
        <v>203</v>
      </c>
      <c r="C50" s="51"/>
      <c r="D50" s="51"/>
      <c r="E50" s="51"/>
      <c r="F50" s="129" t="s">
        <v>189</v>
      </c>
      <c r="G50" s="53">
        <v>24</v>
      </c>
      <c r="H50" s="78">
        <v>45957</v>
      </c>
      <c r="I50" s="51"/>
      <c r="J50" s="51"/>
      <c r="K50" s="44">
        <v>12</v>
      </c>
      <c r="L50" s="2">
        <v>-0.5</v>
      </c>
      <c r="M50" s="53">
        <v>0</v>
      </c>
      <c r="N50" s="94" t="s">
        <v>145</v>
      </c>
      <c r="O50" s="53" t="s">
        <v>99</v>
      </c>
      <c r="R50" s="51"/>
      <c r="S50" s="51"/>
      <c r="T50" s="51"/>
    </row>
    <row r="51" spans="1:20" ht="18" customHeight="1">
      <c r="A51" s="53" t="s">
        <v>163</v>
      </c>
      <c r="B51" s="44" t="s">
        <v>205</v>
      </c>
      <c r="C51" s="51"/>
      <c r="D51" s="51"/>
      <c r="E51" s="51"/>
      <c r="F51" s="129" t="s">
        <v>207</v>
      </c>
      <c r="G51" s="53">
        <v>16</v>
      </c>
      <c r="H51" s="78">
        <v>45957</v>
      </c>
      <c r="I51" s="51"/>
      <c r="J51" s="51"/>
      <c r="K51" s="44">
        <v>4</v>
      </c>
      <c r="L51" s="2">
        <v>-0.75</v>
      </c>
      <c r="M51" s="129">
        <v>1</v>
      </c>
      <c r="N51" s="94" t="s">
        <v>145</v>
      </c>
      <c r="O51" s="53" t="s">
        <v>99</v>
      </c>
      <c r="R51" s="51"/>
      <c r="S51" s="51"/>
      <c r="T51" s="51"/>
    </row>
    <row r="52" spans="1:20" ht="18" customHeight="1">
      <c r="A52" s="51"/>
      <c r="B52" s="51"/>
      <c r="C52" s="51"/>
      <c r="D52" s="51"/>
      <c r="E52" s="51"/>
      <c r="F52" s="51"/>
      <c r="G52" s="51"/>
      <c r="H52" s="51"/>
      <c r="I52" s="51"/>
      <c r="J52" s="51"/>
      <c r="K52" s="51"/>
      <c r="L52" s="51"/>
      <c r="M52" s="51"/>
      <c r="N52" s="51"/>
      <c r="O52" s="51"/>
      <c r="R52" s="51"/>
      <c r="S52" s="51"/>
      <c r="T52" s="51"/>
    </row>
    <row r="53" spans="1:20" ht="18" customHeight="1">
      <c r="A53" s="51"/>
      <c r="B53" s="51"/>
      <c r="C53" s="51"/>
      <c r="D53" s="51"/>
      <c r="E53" s="51"/>
      <c r="F53" s="51"/>
      <c r="G53" s="51"/>
      <c r="H53" s="51"/>
      <c r="I53" s="51"/>
      <c r="J53" s="51"/>
      <c r="K53" s="51"/>
      <c r="L53" s="51"/>
      <c r="M53" s="51"/>
      <c r="N53" s="51"/>
      <c r="O53" s="51"/>
      <c r="R53" s="51"/>
      <c r="S53" s="51"/>
      <c r="T53" s="51"/>
    </row>
    <row r="54" spans="1:20" ht="18" customHeight="1">
      <c r="A54" s="51"/>
      <c r="B54" s="51"/>
      <c r="C54" s="51"/>
      <c r="D54" s="51"/>
      <c r="E54" s="51"/>
      <c r="F54" s="51"/>
      <c r="G54" s="51"/>
      <c r="H54" s="51"/>
      <c r="I54" s="51"/>
      <c r="J54" s="51"/>
      <c r="K54" s="51"/>
      <c r="L54" s="51"/>
      <c r="M54" s="51"/>
      <c r="N54" s="51"/>
      <c r="O54" s="51"/>
      <c r="R54" s="51"/>
      <c r="S54" s="51"/>
      <c r="T54" s="51"/>
    </row>
    <row r="55" spans="1:20" ht="18" customHeight="1">
      <c r="A55" s="53"/>
    </row>
    <row r="56" spans="1:20" ht="18" customHeight="1">
      <c r="H56" s="51"/>
      <c r="I56" s="51"/>
      <c r="J56" s="51"/>
      <c r="K56" s="51"/>
      <c r="L56" s="51"/>
    </row>
    <row r="57" spans="1:20" ht="18" customHeight="1">
      <c r="F57" s="51"/>
      <c r="G57" s="51"/>
      <c r="H57" s="51"/>
    </row>
    <row r="58" spans="1:20" ht="18" customHeight="1">
      <c r="B58" s="101" t="s">
        <v>77</v>
      </c>
      <c r="C58" s="101" t="s">
        <v>90</v>
      </c>
      <c r="D58" s="101" t="s">
        <v>91</v>
      </c>
      <c r="I58" s="51"/>
      <c r="J58" s="51"/>
      <c r="K58" s="51"/>
      <c r="L58" s="51"/>
    </row>
    <row r="59" spans="1:20" ht="18" customHeight="1">
      <c r="B59" s="183" t="s">
        <v>93</v>
      </c>
      <c r="C59" s="111">
        <f>AVERAGE(M2:M8)</f>
        <v>2.2857142857142856</v>
      </c>
      <c r="D59" s="100" t="s">
        <v>98</v>
      </c>
      <c r="F59" s="51"/>
      <c r="G59" s="51"/>
      <c r="H59" s="51"/>
    </row>
    <row r="60" spans="1:20" ht="18" customHeight="1">
      <c r="B60" s="183"/>
      <c r="C60" s="111">
        <f>AVERAGE(M9:M19)</f>
        <v>2.7272727272727271</v>
      </c>
      <c r="D60" s="100" t="s">
        <v>119</v>
      </c>
      <c r="I60" s="51"/>
      <c r="J60" s="51"/>
      <c r="K60" s="51"/>
      <c r="L60" s="51"/>
    </row>
    <row r="61" spans="1:20" ht="18" customHeight="1">
      <c r="B61" s="183"/>
      <c r="C61" s="111">
        <f>AVERAGE(M20:M26)</f>
        <v>2</v>
      </c>
      <c r="D61" s="100" t="s">
        <v>145</v>
      </c>
      <c r="H61" s="51"/>
      <c r="M61" s="51"/>
      <c r="N61" s="51"/>
      <c r="O61" s="51"/>
    </row>
    <row r="62" spans="1:20" ht="18" customHeight="1">
      <c r="B62" s="184" t="s">
        <v>208</v>
      </c>
      <c r="C62" s="112">
        <f>AVERAGE(M28:M30)</f>
        <v>3</v>
      </c>
      <c r="D62" s="110" t="s">
        <v>98</v>
      </c>
      <c r="F62" s="51"/>
      <c r="G62" s="51"/>
      <c r="H62" s="51"/>
      <c r="I62" s="51"/>
      <c r="J62" s="51"/>
      <c r="K62" s="51"/>
      <c r="L62" s="51"/>
      <c r="M62" s="51"/>
      <c r="N62" s="51"/>
      <c r="O62" s="51"/>
    </row>
    <row r="63" spans="1:20" ht="18" customHeight="1">
      <c r="B63" s="184"/>
      <c r="C63" s="113">
        <f>AVERAGE(M31:M42)</f>
        <v>2.4166666666666665</v>
      </c>
      <c r="D63" s="110" t="s">
        <v>119</v>
      </c>
      <c r="M63" s="51"/>
      <c r="N63" s="51"/>
      <c r="O63" s="51"/>
    </row>
    <row r="64" spans="1:20" ht="18" customHeight="1">
      <c r="B64" s="184"/>
      <c r="C64" s="113">
        <f>AVERAGE(M42:M49)</f>
        <v>2.75</v>
      </c>
      <c r="D64" s="110" t="s">
        <v>145</v>
      </c>
      <c r="H64" s="51"/>
      <c r="I64" s="51"/>
      <c r="J64" s="51"/>
      <c r="K64" s="51"/>
      <c r="L64" s="51"/>
      <c r="M64" s="51"/>
      <c r="N64" s="51"/>
      <c r="O64" s="51"/>
    </row>
    <row r="65" spans="2:15" ht="18" customHeight="1">
      <c r="D65" s="51"/>
      <c r="G65" s="51"/>
      <c r="H65" s="51"/>
      <c r="I65" s="51"/>
      <c r="J65" s="51"/>
      <c r="K65" s="51"/>
      <c r="L65" s="51"/>
      <c r="M65" s="51"/>
      <c r="N65" s="51"/>
      <c r="O65" s="51"/>
    </row>
    <row r="66" spans="2:15" ht="18" customHeight="1">
      <c r="C66" s="51"/>
      <c r="D66" s="51"/>
      <c r="G66" s="51"/>
      <c r="H66" s="51"/>
      <c r="I66" s="51"/>
      <c r="J66" s="51"/>
      <c r="K66" s="51"/>
      <c r="L66" s="51"/>
      <c r="M66" s="51"/>
      <c r="N66" s="51"/>
      <c r="O66" s="51"/>
    </row>
    <row r="67" spans="2:15" ht="18" customHeight="1">
      <c r="B67" s="119" t="s">
        <v>29</v>
      </c>
      <c r="C67" s="119" t="s">
        <v>209</v>
      </c>
      <c r="D67" s="119" t="s">
        <v>210</v>
      </c>
      <c r="E67" s="119" t="s">
        <v>211</v>
      </c>
      <c r="F67" s="119" t="s">
        <v>211</v>
      </c>
      <c r="G67" s="120" t="s">
        <v>212</v>
      </c>
      <c r="H67" s="119" t="s">
        <v>213</v>
      </c>
      <c r="I67" s="51"/>
      <c r="J67" s="51"/>
      <c r="K67" s="51"/>
      <c r="L67" s="51"/>
      <c r="M67" s="51"/>
      <c r="N67" s="51"/>
      <c r="O67" s="51"/>
    </row>
    <row r="68" spans="2:15" ht="48.75" customHeight="1">
      <c r="B68" s="185" t="s">
        <v>214</v>
      </c>
      <c r="C68" s="187" t="s">
        <v>143</v>
      </c>
      <c r="D68" s="190" t="s">
        <v>144</v>
      </c>
      <c r="E68" s="136">
        <v>45891</v>
      </c>
      <c r="F68" s="136">
        <v>45891</v>
      </c>
      <c r="G68" s="137" t="s">
        <v>215</v>
      </c>
      <c r="H68" s="121" t="s">
        <v>216</v>
      </c>
      <c r="I68" s="51"/>
      <c r="J68" s="51"/>
      <c r="K68" s="51"/>
      <c r="L68" s="51"/>
      <c r="M68" s="51"/>
      <c r="N68" s="51"/>
      <c r="O68" s="51"/>
    </row>
    <row r="69" spans="2:15" ht="69" customHeight="1">
      <c r="B69" s="175"/>
      <c r="C69" s="188"/>
      <c r="D69" s="191"/>
      <c r="E69" s="136">
        <v>45903</v>
      </c>
      <c r="F69" s="136">
        <v>45903</v>
      </c>
      <c r="G69" s="137" t="s">
        <v>217</v>
      </c>
      <c r="H69" s="122" t="s">
        <v>218</v>
      </c>
      <c r="I69" s="51"/>
      <c r="J69" s="51"/>
      <c r="K69" s="51"/>
      <c r="L69" s="51"/>
      <c r="M69" s="51"/>
      <c r="N69" s="51"/>
      <c r="O69" s="51"/>
    </row>
    <row r="70" spans="2:15" ht="18" customHeight="1">
      <c r="B70" s="175"/>
      <c r="C70" s="188"/>
      <c r="D70" s="191"/>
      <c r="E70" s="136">
        <v>45911</v>
      </c>
      <c r="F70" s="136">
        <v>45911</v>
      </c>
      <c r="G70" s="137" t="s">
        <v>219</v>
      </c>
      <c r="H70" s="123" t="s">
        <v>220</v>
      </c>
      <c r="I70" s="51"/>
      <c r="J70" s="51"/>
      <c r="K70" s="51"/>
      <c r="L70" s="51"/>
      <c r="M70" s="51"/>
      <c r="N70" s="51"/>
      <c r="O70" s="51"/>
    </row>
    <row r="71" spans="2:15" ht="78" customHeight="1">
      <c r="B71" s="175"/>
      <c r="C71" s="188"/>
      <c r="D71" s="191"/>
      <c r="E71" s="136">
        <v>45929</v>
      </c>
      <c r="F71" s="136">
        <v>45929</v>
      </c>
      <c r="G71" s="137" t="s">
        <v>217</v>
      </c>
      <c r="H71" s="115" t="s">
        <v>221</v>
      </c>
    </row>
    <row r="72" spans="2:15" ht="137.25" customHeight="1">
      <c r="B72" s="186"/>
      <c r="C72" s="189"/>
      <c r="D72" s="192"/>
      <c r="E72" s="136">
        <v>45953</v>
      </c>
      <c r="F72" s="136">
        <v>45953</v>
      </c>
      <c r="G72" s="138" t="s">
        <v>8</v>
      </c>
      <c r="H72" s="115" t="s">
        <v>222</v>
      </c>
    </row>
    <row r="73" spans="2:15" ht="53.25" customHeight="1">
      <c r="B73" s="175" t="s">
        <v>208</v>
      </c>
      <c r="C73" s="178" t="s">
        <v>194</v>
      </c>
      <c r="D73" s="181" t="s">
        <v>195</v>
      </c>
      <c r="E73" s="118">
        <v>45897</v>
      </c>
      <c r="F73" s="118">
        <v>45897</v>
      </c>
      <c r="G73" s="124" t="s">
        <v>217</v>
      </c>
      <c r="H73" s="121" t="s">
        <v>223</v>
      </c>
    </row>
    <row r="74" spans="2:15" ht="53.25" customHeight="1">
      <c r="B74" s="175"/>
      <c r="C74" s="178"/>
      <c r="D74" s="181"/>
      <c r="E74" s="118">
        <v>45915</v>
      </c>
      <c r="F74" s="118">
        <v>45915</v>
      </c>
      <c r="G74" s="125" t="s">
        <v>217</v>
      </c>
      <c r="H74" s="122" t="s">
        <v>224</v>
      </c>
    </row>
    <row r="75" spans="2:15" ht="63.75" customHeight="1">
      <c r="B75" s="175"/>
      <c r="C75" s="178"/>
      <c r="D75" s="181"/>
      <c r="E75" s="118">
        <v>45919</v>
      </c>
      <c r="F75" s="118">
        <v>45919</v>
      </c>
      <c r="G75" s="126" t="s">
        <v>217</v>
      </c>
      <c r="H75" s="122" t="s">
        <v>225</v>
      </c>
    </row>
    <row r="76" spans="2:15" ht="96" customHeight="1">
      <c r="B76" s="175"/>
      <c r="C76" s="178"/>
      <c r="D76" s="181"/>
      <c r="E76" s="118">
        <v>45935</v>
      </c>
      <c r="F76" s="118">
        <v>45935</v>
      </c>
      <c r="G76" s="127" t="s">
        <v>8</v>
      </c>
      <c r="H76" s="122" t="s">
        <v>226</v>
      </c>
    </row>
    <row r="77" spans="2:15" ht="53.25" customHeight="1">
      <c r="B77" s="176"/>
      <c r="C77" s="178"/>
      <c r="D77" s="181"/>
      <c r="E77" s="117">
        <v>45937</v>
      </c>
      <c r="F77" s="117">
        <v>45937</v>
      </c>
      <c r="G77" s="5" t="s">
        <v>217</v>
      </c>
      <c r="H77" s="114" t="s">
        <v>227</v>
      </c>
    </row>
    <row r="78" spans="2:15" ht="53.25" customHeight="1">
      <c r="B78" s="175" t="s">
        <v>208</v>
      </c>
      <c r="C78" s="177" t="s">
        <v>199</v>
      </c>
      <c r="D78" s="180" t="s">
        <v>200</v>
      </c>
      <c r="E78" s="116">
        <v>45916</v>
      </c>
      <c r="F78" s="116">
        <v>45916</v>
      </c>
      <c r="G78" s="128" t="s">
        <v>219</v>
      </c>
      <c r="H78" s="121" t="s">
        <v>228</v>
      </c>
    </row>
    <row r="79" spans="2:15" ht="53.25" customHeight="1">
      <c r="B79" s="175"/>
      <c r="C79" s="178"/>
      <c r="D79" s="181"/>
      <c r="E79" s="116">
        <v>45919</v>
      </c>
      <c r="F79" s="116">
        <v>45919</v>
      </c>
      <c r="G79" s="128" t="s">
        <v>217</v>
      </c>
      <c r="H79" s="122" t="s">
        <v>229</v>
      </c>
    </row>
    <row r="80" spans="2:15" ht="53.25" customHeight="1">
      <c r="B80" s="175"/>
      <c r="C80" s="178"/>
      <c r="D80" s="181"/>
      <c r="E80" s="116">
        <v>45935</v>
      </c>
      <c r="F80" s="116">
        <v>45935</v>
      </c>
      <c r="G80" s="128" t="s">
        <v>8</v>
      </c>
      <c r="H80" s="122" t="s">
        <v>226</v>
      </c>
    </row>
    <row r="81" spans="2:8" ht="53.25" customHeight="1">
      <c r="B81" s="176"/>
      <c r="C81" s="179"/>
      <c r="D81" s="182"/>
      <c r="E81" s="117">
        <v>45938</v>
      </c>
      <c r="F81" s="117">
        <v>45938</v>
      </c>
      <c r="G81" s="128" t="s">
        <v>217</v>
      </c>
      <c r="H81" s="122" t="s">
        <v>227</v>
      </c>
    </row>
    <row r="82" spans="2:8" ht="53.25" customHeight="1"/>
    <row r="83" spans="2:8" ht="53.25" customHeight="1"/>
    <row r="84" spans="2:8" ht="53.25" customHeight="1"/>
    <row r="85" spans="2:8" ht="53.25" customHeight="1"/>
    <row r="86" spans="2:8" ht="53.25" customHeight="1"/>
  </sheetData>
  <autoFilter ref="A1:AF1" xr:uid="{EFF4C5AB-E15E-4977-80F5-9B36A2A1A7FA}"/>
  <mergeCells count="11">
    <mergeCell ref="D73:D77"/>
    <mergeCell ref="C73:C77"/>
    <mergeCell ref="D78:D81"/>
    <mergeCell ref="C78:C81"/>
    <mergeCell ref="C68:C72"/>
    <mergeCell ref="D68:D72"/>
    <mergeCell ref="B78:B81"/>
    <mergeCell ref="B62:B64"/>
    <mergeCell ref="B59:B61"/>
    <mergeCell ref="B73:B77"/>
    <mergeCell ref="B68:B72"/>
  </mergeCells>
  <conditionalFormatting sqref="L27">
    <cfRule type="containsBlanks" dxfId="11" priority="7">
      <formula>LEN(TRIM(L27))=0</formula>
    </cfRule>
    <cfRule type="cellIs" dxfId="10" priority="8" operator="greaterThan">
      <formula>0.3</formula>
    </cfRule>
    <cfRule type="cellIs" dxfId="9" priority="9" operator="between">
      <formula>0</formula>
      <formula>0.3</formula>
    </cfRule>
  </conditionalFormatting>
  <conditionalFormatting sqref="L42:L51">
    <cfRule type="containsBlanks" dxfId="8" priority="1">
      <formula>LEN(TRIM(L42))=0</formula>
    </cfRule>
    <cfRule type="cellIs" dxfId="7" priority="2" operator="greaterThan">
      <formula>0.3</formula>
    </cfRule>
    <cfRule type="cellIs" dxfId="6" priority="3" operator="between">
      <formula>0</formula>
      <formula>0.3</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E4CC-EBC6-473F-BBC9-89E12A9BCA71}">
  <dimension ref="A1:AM4"/>
  <sheetViews>
    <sheetView workbookViewId="0">
      <selection activeCell="B13" sqref="B13"/>
    </sheetView>
  </sheetViews>
  <sheetFormatPr defaultColWidth="8.7109375" defaultRowHeight="14.45"/>
  <cols>
    <col min="1" max="1" width="15.42578125" customWidth="1"/>
    <col min="2" max="2" width="21.85546875" customWidth="1"/>
    <col min="3" max="3" width="31.140625" customWidth="1"/>
    <col min="4" max="4" width="46.5703125" customWidth="1"/>
    <col min="5" max="5" width="21.85546875" customWidth="1"/>
    <col min="6" max="6" width="12" customWidth="1"/>
    <col min="7" max="7" width="17.140625" customWidth="1"/>
    <col min="8" max="8" width="12.7109375" customWidth="1"/>
    <col min="9" max="9" width="16.140625" bestFit="1" customWidth="1"/>
    <col min="10" max="10" width="11.42578125" customWidth="1"/>
    <col min="11" max="11" width="41.140625" customWidth="1"/>
    <col min="12" max="12" width="37" customWidth="1"/>
    <col min="13" max="24" width="11.42578125" hidden="1" customWidth="1"/>
    <col min="25" max="28" width="11" style="18" hidden="1" customWidth="1"/>
    <col min="29" max="34" width="11" bestFit="1" customWidth="1"/>
  </cols>
  <sheetData>
    <row r="1" spans="1:39">
      <c r="A1" s="103" t="s">
        <v>77</v>
      </c>
      <c r="B1" s="133" t="s">
        <v>78</v>
      </c>
      <c r="C1" s="133"/>
      <c r="D1" s="130" t="s">
        <v>79</v>
      </c>
      <c r="E1" s="103" t="s">
        <v>22</v>
      </c>
      <c r="F1" s="103" t="s">
        <v>84</v>
      </c>
      <c r="G1" s="103" t="s">
        <v>230</v>
      </c>
      <c r="H1" s="103" t="s">
        <v>231</v>
      </c>
      <c r="I1" s="103" t="s">
        <v>232</v>
      </c>
      <c r="J1" s="103" t="s">
        <v>90</v>
      </c>
      <c r="K1" s="103" t="s">
        <v>213</v>
      </c>
      <c r="L1" s="82" t="s">
        <v>233</v>
      </c>
      <c r="M1" s="131">
        <v>45931</v>
      </c>
      <c r="N1" s="131">
        <v>45932</v>
      </c>
      <c r="O1" s="131">
        <v>45933</v>
      </c>
      <c r="P1" s="131">
        <v>45936</v>
      </c>
      <c r="Q1" s="131">
        <v>45937</v>
      </c>
      <c r="R1" s="131">
        <v>45938</v>
      </c>
      <c r="S1" s="131">
        <v>45939</v>
      </c>
      <c r="T1" s="131">
        <v>45940</v>
      </c>
      <c r="U1" s="131">
        <v>45944</v>
      </c>
      <c r="V1" s="131">
        <v>45945</v>
      </c>
      <c r="W1" s="131">
        <v>45946</v>
      </c>
      <c r="X1" s="131">
        <v>45947</v>
      </c>
      <c r="Y1" s="141">
        <v>45950</v>
      </c>
      <c r="Z1" s="141">
        <v>45951</v>
      </c>
      <c r="AA1" s="141">
        <v>45952</v>
      </c>
      <c r="AB1" s="141">
        <v>45953</v>
      </c>
      <c r="AC1" s="104">
        <v>45954</v>
      </c>
      <c r="AD1" s="104">
        <v>45957</v>
      </c>
      <c r="AE1" s="104">
        <v>45958</v>
      </c>
      <c r="AF1" s="104">
        <v>45959</v>
      </c>
      <c r="AG1" s="104">
        <v>45960</v>
      </c>
      <c r="AH1" s="104">
        <v>45961</v>
      </c>
      <c r="AI1" s="104"/>
      <c r="AJ1" s="104"/>
      <c r="AK1" s="104"/>
      <c r="AL1" s="104"/>
      <c r="AM1" s="104"/>
    </row>
    <row r="2" spans="1:39">
      <c r="A2" t="s">
        <v>163</v>
      </c>
      <c r="B2" t="s">
        <v>234</v>
      </c>
      <c r="D2" t="s">
        <v>235</v>
      </c>
      <c r="E2" s="139" t="s">
        <v>158</v>
      </c>
      <c r="G2" s="140"/>
      <c r="H2" s="140">
        <v>45957</v>
      </c>
      <c r="I2">
        <f>SUM(M2:AG2)</f>
        <v>0</v>
      </c>
      <c r="K2" t="s">
        <v>236</v>
      </c>
      <c r="L2" s="50" t="s">
        <v>237</v>
      </c>
    </row>
    <row r="3" spans="1:39" ht="15" customHeight="1">
      <c r="A3" t="s">
        <v>163</v>
      </c>
      <c r="B3" t="s">
        <v>238</v>
      </c>
      <c r="D3" s="57" t="s">
        <v>239</v>
      </c>
      <c r="E3" s="139" t="s">
        <v>158</v>
      </c>
      <c r="H3" s="140">
        <v>45957</v>
      </c>
    </row>
    <row r="4" spans="1:39" s="43" customFormat="1" ht="13.5" customHeight="1">
      <c r="A4" s="43" t="s">
        <v>240</v>
      </c>
      <c r="B4" s="43" t="s">
        <v>241</v>
      </c>
      <c r="C4" s="57" t="s">
        <v>242</v>
      </c>
      <c r="D4" s="43" t="s">
        <v>243</v>
      </c>
      <c r="E4" s="142" t="s">
        <v>244</v>
      </c>
      <c r="F4" s="80">
        <v>92</v>
      </c>
      <c r="G4" s="143">
        <v>45958</v>
      </c>
      <c r="H4" s="143"/>
      <c r="I4" s="80">
        <v>0</v>
      </c>
      <c r="J4" s="84">
        <v>0</v>
      </c>
      <c r="K4" s="84">
        <f t="shared" ref="K4" si="0">SUM(P4:AJ4)</f>
        <v>24</v>
      </c>
      <c r="L4" s="144">
        <f>IFERROR((I4+J4+K4-F4)/F4,"")</f>
        <v>-0.73913043478260865</v>
      </c>
      <c r="M4" s="80">
        <v>0</v>
      </c>
      <c r="N4" s="145">
        <v>8</v>
      </c>
      <c r="O4" s="80"/>
      <c r="P4" s="80"/>
      <c r="Q4" s="145">
        <v>8</v>
      </c>
      <c r="R4" s="145">
        <v>8</v>
      </c>
      <c r="S4" s="145">
        <v>8</v>
      </c>
    </row>
  </sheetData>
  <conditionalFormatting sqref="L4">
    <cfRule type="containsBlanks" dxfId="5" priority="1">
      <formula>LEN(TRIM(L4))=0</formula>
    </cfRule>
    <cfRule type="cellIs" dxfId="4" priority="2" operator="greaterThan">
      <formula>0.3</formula>
    </cfRule>
    <cfRule type="cellIs" dxfId="3" priority="3" operator="between">
      <formula>0</formula>
      <formula>0.3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65DBE-0FDD-45C6-A3D7-CD7ACE794B5F}">
  <sheetPr filterMode="1"/>
  <dimension ref="A1:AA47"/>
  <sheetViews>
    <sheetView workbookViewId="0">
      <selection activeCell="V4" sqref="V4"/>
    </sheetView>
  </sheetViews>
  <sheetFormatPr defaultColWidth="8.7109375" defaultRowHeight="16.5" customHeight="1"/>
  <cols>
    <col min="1" max="1" width="17" style="51" customWidth="1"/>
    <col min="2" max="2" width="11.5703125" style="51" customWidth="1"/>
    <col min="3" max="3" width="16" style="51" customWidth="1"/>
    <col min="4" max="4" width="13.85546875" style="51" customWidth="1"/>
    <col min="5" max="5" width="9.140625" style="51" customWidth="1"/>
    <col min="6" max="7" width="10.85546875" style="51" customWidth="1"/>
    <col min="8" max="8" width="15.85546875" style="51" customWidth="1"/>
    <col min="9" max="9" width="17.28515625" style="51" customWidth="1"/>
    <col min="10" max="10" width="13.140625" style="51" customWidth="1"/>
    <col min="11" max="11" width="9.140625" style="51"/>
    <col min="12" max="12" width="12.140625" style="51" customWidth="1"/>
    <col min="13" max="13" width="9.140625" style="51" customWidth="1"/>
    <col min="16" max="16" width="17.5703125" style="3" customWidth="1"/>
    <col min="17" max="17" width="10.140625" style="3" bestFit="1" customWidth="1"/>
    <col min="18" max="18" width="17.140625" style="3" customWidth="1"/>
    <col min="22" max="22" width="12.140625" customWidth="1"/>
    <col min="23" max="23" width="9.140625" customWidth="1"/>
    <col min="24" max="24" width="21.140625" customWidth="1"/>
    <col min="25" max="25" width="16" customWidth="1"/>
    <col min="26" max="26" width="16.42578125" customWidth="1"/>
    <col min="27" max="27" width="67.7109375" customWidth="1"/>
  </cols>
  <sheetData>
    <row r="1" spans="1:27" ht="16.5" customHeight="1">
      <c r="A1" s="76" t="s">
        <v>77</v>
      </c>
      <c r="B1" s="76" t="s">
        <v>78</v>
      </c>
      <c r="C1" s="76" t="s">
        <v>79</v>
      </c>
      <c r="D1" s="76" t="s">
        <v>22</v>
      </c>
      <c r="E1" s="76" t="s">
        <v>84</v>
      </c>
      <c r="F1" s="76" t="s">
        <v>85</v>
      </c>
      <c r="G1" s="76" t="s">
        <v>86</v>
      </c>
      <c r="H1" s="76" t="s">
        <v>87</v>
      </c>
      <c r="I1" s="76" t="s">
        <v>88</v>
      </c>
      <c r="J1" s="76" t="s">
        <v>89</v>
      </c>
      <c r="K1" s="76" t="s">
        <v>90</v>
      </c>
      <c r="L1" s="76" t="s">
        <v>91</v>
      </c>
      <c r="M1" s="76" t="s">
        <v>92</v>
      </c>
    </row>
    <row r="2" spans="1:27" s="39" customFormat="1" ht="16.5" customHeight="1">
      <c r="A2" s="74" t="s">
        <v>93</v>
      </c>
      <c r="B2" s="74" t="s">
        <v>94</v>
      </c>
      <c r="C2" s="74" t="s">
        <v>95</v>
      </c>
      <c r="D2" s="74" t="s">
        <v>96</v>
      </c>
      <c r="E2" s="74">
        <v>33</v>
      </c>
      <c r="F2" s="56">
        <v>45882</v>
      </c>
      <c r="G2" s="56">
        <v>45882</v>
      </c>
      <c r="H2" s="74">
        <v>34.5</v>
      </c>
      <c r="I2" s="74">
        <v>8</v>
      </c>
      <c r="J2" s="77">
        <v>0.2878787878787879</v>
      </c>
      <c r="K2" s="74">
        <v>5</v>
      </c>
      <c r="L2" s="74" t="s">
        <v>98</v>
      </c>
      <c r="M2" s="74" t="s">
        <v>245</v>
      </c>
      <c r="P2" s="5"/>
      <c r="Q2" s="5"/>
      <c r="R2" s="5"/>
    </row>
    <row r="3" spans="1:27" s="39" customFormat="1" ht="16.5" customHeight="1">
      <c r="A3" s="74" t="s">
        <v>93</v>
      </c>
      <c r="B3" s="74" t="s">
        <v>100</v>
      </c>
      <c r="C3" s="74" t="s">
        <v>101</v>
      </c>
      <c r="D3" s="74" t="s">
        <v>96</v>
      </c>
      <c r="E3" s="74">
        <v>12</v>
      </c>
      <c r="F3" s="56">
        <v>45891</v>
      </c>
      <c r="G3" s="56">
        <v>45891</v>
      </c>
      <c r="H3" s="74">
        <v>14</v>
      </c>
      <c r="I3" s="74">
        <v>1</v>
      </c>
      <c r="J3" s="77">
        <v>0.25</v>
      </c>
      <c r="K3" s="74">
        <v>3</v>
      </c>
      <c r="L3" s="74" t="s">
        <v>98</v>
      </c>
      <c r="M3" s="74" t="s">
        <v>245</v>
      </c>
      <c r="P3" s="5"/>
      <c r="Q3" s="5"/>
      <c r="R3" s="5"/>
    </row>
    <row r="4" spans="1:27" s="39" customFormat="1" ht="16.5" customHeight="1">
      <c r="A4" s="74" t="s">
        <v>93</v>
      </c>
      <c r="B4" s="74" t="s">
        <v>102</v>
      </c>
      <c r="C4" s="74" t="s">
        <v>103</v>
      </c>
      <c r="D4" s="74" t="s">
        <v>96</v>
      </c>
      <c r="E4" s="74">
        <v>8</v>
      </c>
      <c r="F4" s="56">
        <v>45883</v>
      </c>
      <c r="G4" s="56">
        <v>45884</v>
      </c>
      <c r="H4" s="74">
        <v>8</v>
      </c>
      <c r="I4" s="74">
        <v>2</v>
      </c>
      <c r="J4" s="77">
        <v>0.25</v>
      </c>
      <c r="K4" s="74">
        <v>3</v>
      </c>
      <c r="L4" s="74" t="s">
        <v>98</v>
      </c>
      <c r="M4" s="74" t="s">
        <v>245</v>
      </c>
      <c r="P4" s="58" t="s">
        <v>77</v>
      </c>
      <c r="Q4" s="58" t="s">
        <v>90</v>
      </c>
      <c r="R4" s="58" t="s">
        <v>91</v>
      </c>
      <c r="V4" s="58" t="s">
        <v>29</v>
      </c>
      <c r="W4" s="58" t="s">
        <v>209</v>
      </c>
      <c r="X4" s="58" t="s">
        <v>210</v>
      </c>
      <c r="Y4" s="58" t="s">
        <v>211</v>
      </c>
      <c r="Z4" s="59" t="s">
        <v>212</v>
      </c>
      <c r="AA4" s="58" t="s">
        <v>213</v>
      </c>
    </row>
    <row r="5" spans="1:27" s="39" customFormat="1" ht="16.5" customHeight="1">
      <c r="A5" s="74" t="s">
        <v>93</v>
      </c>
      <c r="B5" s="74" t="s">
        <v>104</v>
      </c>
      <c r="C5" s="74" t="s">
        <v>105</v>
      </c>
      <c r="D5" s="74" t="s">
        <v>106</v>
      </c>
      <c r="E5" s="74">
        <v>16</v>
      </c>
      <c r="F5" s="56">
        <v>45877</v>
      </c>
      <c r="G5" s="56">
        <v>45877</v>
      </c>
      <c r="H5" s="74">
        <v>16</v>
      </c>
      <c r="I5" s="74">
        <v>4</v>
      </c>
      <c r="J5" s="77">
        <v>0.25</v>
      </c>
      <c r="K5" s="74">
        <v>2</v>
      </c>
      <c r="L5" s="74" t="s">
        <v>98</v>
      </c>
      <c r="M5" s="74" t="s">
        <v>245</v>
      </c>
      <c r="P5" s="199" t="s">
        <v>93</v>
      </c>
      <c r="Q5" s="55">
        <f>AVERAGE(K2:K8)</f>
        <v>2.2857142857142856</v>
      </c>
      <c r="R5" s="54" t="s">
        <v>98</v>
      </c>
      <c r="V5" s="200" t="s">
        <v>214</v>
      </c>
      <c r="W5" s="196" t="s">
        <v>143</v>
      </c>
      <c r="X5" s="193" t="s">
        <v>144</v>
      </c>
      <c r="Y5" s="70">
        <v>45891</v>
      </c>
      <c r="Z5" s="62" t="s">
        <v>215</v>
      </c>
      <c r="AA5" s="64" t="s">
        <v>216</v>
      </c>
    </row>
    <row r="6" spans="1:27" s="39" customFormat="1" ht="29.25" customHeight="1">
      <c r="A6" s="74" t="s">
        <v>93</v>
      </c>
      <c r="B6" s="74" t="s">
        <v>107</v>
      </c>
      <c r="C6" s="74" t="s">
        <v>108</v>
      </c>
      <c r="D6" s="74" t="s">
        <v>109</v>
      </c>
      <c r="E6" s="74">
        <v>16</v>
      </c>
      <c r="F6" s="56">
        <v>45889</v>
      </c>
      <c r="G6" s="56">
        <v>45889</v>
      </c>
      <c r="H6" s="74">
        <v>20</v>
      </c>
      <c r="I6" s="74">
        <v>3</v>
      </c>
      <c r="J6" s="77">
        <v>0.4375</v>
      </c>
      <c r="K6" s="74">
        <v>1</v>
      </c>
      <c r="L6" s="74" t="s">
        <v>98</v>
      </c>
      <c r="M6" s="74" t="s">
        <v>245</v>
      </c>
      <c r="P6" s="199"/>
      <c r="Q6" s="55">
        <f>AVERAGE(K23:K34)</f>
        <v>2.5</v>
      </c>
      <c r="R6" s="54" t="s">
        <v>119</v>
      </c>
      <c r="V6" s="201"/>
      <c r="W6" s="197"/>
      <c r="X6" s="194"/>
      <c r="Y6" s="71">
        <v>45903</v>
      </c>
      <c r="Z6" s="54" t="s">
        <v>217</v>
      </c>
      <c r="AA6" s="66" t="s">
        <v>218</v>
      </c>
    </row>
    <row r="7" spans="1:27" s="39" customFormat="1" ht="16.5" customHeight="1">
      <c r="A7" s="74" t="s">
        <v>93</v>
      </c>
      <c r="B7" s="74" t="s">
        <v>111</v>
      </c>
      <c r="C7" s="74" t="s">
        <v>112</v>
      </c>
      <c r="D7" s="74" t="s">
        <v>113</v>
      </c>
      <c r="E7" s="74">
        <v>4</v>
      </c>
      <c r="F7" s="56">
        <v>45889</v>
      </c>
      <c r="G7" s="56">
        <v>45877</v>
      </c>
      <c r="H7" s="74">
        <v>0</v>
      </c>
      <c r="I7" s="74">
        <v>5</v>
      </c>
      <c r="J7" s="77">
        <v>0.25</v>
      </c>
      <c r="K7" s="74">
        <v>1</v>
      </c>
      <c r="L7" s="74" t="s">
        <v>98</v>
      </c>
      <c r="M7" s="74" t="s">
        <v>245</v>
      </c>
      <c r="P7" s="199"/>
      <c r="Q7" s="55">
        <f>AVERAGE(K12:K16)</f>
        <v>1.8</v>
      </c>
      <c r="R7" s="54" t="s">
        <v>145</v>
      </c>
      <c r="V7" s="201"/>
      <c r="W7" s="197"/>
      <c r="X7" s="194"/>
      <c r="Y7" s="71">
        <v>45911</v>
      </c>
      <c r="Z7" s="54" t="s">
        <v>215</v>
      </c>
      <c r="AA7" s="65" t="s">
        <v>220</v>
      </c>
    </row>
    <row r="8" spans="1:27" s="39" customFormat="1" ht="45.75" customHeight="1">
      <c r="A8" s="74" t="s">
        <v>93</v>
      </c>
      <c r="B8" s="74" t="s">
        <v>114</v>
      </c>
      <c r="C8" s="74" t="s">
        <v>115</v>
      </c>
      <c r="D8" s="74" t="s">
        <v>116</v>
      </c>
      <c r="E8" s="74">
        <v>2</v>
      </c>
      <c r="F8" s="56">
        <v>45889</v>
      </c>
      <c r="G8" s="56">
        <v>45889</v>
      </c>
      <c r="H8" s="74">
        <v>0</v>
      </c>
      <c r="I8" s="74">
        <v>2</v>
      </c>
      <c r="J8" s="77">
        <v>0</v>
      </c>
      <c r="K8" s="74">
        <v>1</v>
      </c>
      <c r="L8" s="74" t="s">
        <v>98</v>
      </c>
      <c r="M8" s="74" t="s">
        <v>245</v>
      </c>
      <c r="P8" s="60"/>
      <c r="Q8" s="55"/>
      <c r="R8" s="54"/>
      <c r="V8" s="202"/>
      <c r="W8" s="198"/>
      <c r="X8" s="195"/>
      <c r="Y8" s="72">
        <v>45929</v>
      </c>
      <c r="Z8" s="67" t="s">
        <v>217</v>
      </c>
      <c r="AA8" s="73" t="s">
        <v>221</v>
      </c>
    </row>
    <row r="9" spans="1:27" s="39" customFormat="1" ht="16.5" hidden="1" customHeight="1">
      <c r="A9" s="74" t="s">
        <v>163</v>
      </c>
      <c r="B9" s="74" t="s">
        <v>164</v>
      </c>
      <c r="C9" s="74" t="s">
        <v>165</v>
      </c>
      <c r="D9" s="74" t="s">
        <v>106</v>
      </c>
      <c r="E9" s="74">
        <v>34</v>
      </c>
      <c r="F9" s="56">
        <v>45873</v>
      </c>
      <c r="G9" s="56">
        <v>45873</v>
      </c>
      <c r="H9" s="74">
        <v>30.5</v>
      </c>
      <c r="I9" s="74">
        <v>4</v>
      </c>
      <c r="J9" s="77">
        <v>1.4705882352941176E-2</v>
      </c>
      <c r="K9" s="74">
        <v>5</v>
      </c>
      <c r="L9" s="74" t="s">
        <v>98</v>
      </c>
      <c r="M9" s="74" t="s">
        <v>180</v>
      </c>
      <c r="P9" s="199" t="s">
        <v>163</v>
      </c>
      <c r="Q9" s="55">
        <f>AVERAGE(K9:K11)</f>
        <v>3</v>
      </c>
      <c r="R9" s="54" t="s">
        <v>98</v>
      </c>
      <c r="V9" s="58" t="s">
        <v>29</v>
      </c>
      <c r="W9" s="58" t="s">
        <v>209</v>
      </c>
      <c r="X9" s="58" t="s">
        <v>210</v>
      </c>
      <c r="Y9" s="58" t="s">
        <v>211</v>
      </c>
      <c r="Z9" s="59" t="s">
        <v>212</v>
      </c>
      <c r="AA9" s="58" t="s">
        <v>213</v>
      </c>
    </row>
    <row r="10" spans="1:27" s="39" customFormat="1" ht="16.5" hidden="1" customHeight="1">
      <c r="A10" s="74" t="s">
        <v>163</v>
      </c>
      <c r="B10" s="74" t="s">
        <v>166</v>
      </c>
      <c r="C10" s="74" t="s">
        <v>167</v>
      </c>
      <c r="D10" s="74" t="s">
        <v>96</v>
      </c>
      <c r="E10" s="74">
        <v>20</v>
      </c>
      <c r="F10" s="56">
        <v>45884</v>
      </c>
      <c r="G10" s="56">
        <v>45883</v>
      </c>
      <c r="H10" s="74">
        <v>20</v>
      </c>
      <c r="I10" s="74">
        <v>2</v>
      </c>
      <c r="J10" s="77">
        <v>0.1</v>
      </c>
      <c r="K10" s="74">
        <v>3</v>
      </c>
      <c r="L10" s="74" t="s">
        <v>98</v>
      </c>
      <c r="M10" s="74" t="s">
        <v>245</v>
      </c>
      <c r="P10" s="199"/>
      <c r="Q10" s="55">
        <f>AVERAGE(K35:K47)</f>
        <v>2.3076923076923075</v>
      </c>
      <c r="R10" s="54" t="s">
        <v>119</v>
      </c>
      <c r="V10" s="200" t="s">
        <v>208</v>
      </c>
      <c r="W10" s="196" t="s">
        <v>194</v>
      </c>
      <c r="X10" s="193" t="s">
        <v>195</v>
      </c>
      <c r="Y10" s="63">
        <v>45897</v>
      </c>
      <c r="Z10" s="62" t="s">
        <v>217</v>
      </c>
      <c r="AA10" s="64" t="s">
        <v>223</v>
      </c>
    </row>
    <row r="11" spans="1:27" s="39" customFormat="1" ht="16.5" hidden="1" customHeight="1">
      <c r="A11" s="74" t="s">
        <v>163</v>
      </c>
      <c r="B11" s="74" t="s">
        <v>168</v>
      </c>
      <c r="C11" s="74" t="s">
        <v>169</v>
      </c>
      <c r="D11" s="74" t="s">
        <v>106</v>
      </c>
      <c r="E11" s="74">
        <v>12</v>
      </c>
      <c r="F11" s="56">
        <v>45873</v>
      </c>
      <c r="G11" s="56">
        <v>45870</v>
      </c>
      <c r="H11" s="74">
        <v>6</v>
      </c>
      <c r="I11" s="74">
        <v>8</v>
      </c>
      <c r="J11" s="77">
        <v>0.16666666666666666</v>
      </c>
      <c r="K11" s="74">
        <v>1</v>
      </c>
      <c r="L11" s="74" t="s">
        <v>98</v>
      </c>
      <c r="M11" s="74" t="s">
        <v>245</v>
      </c>
      <c r="P11" s="199"/>
      <c r="Q11" s="55">
        <f>AVERAGE(K17:K22)</f>
        <v>1.8333333333333333</v>
      </c>
      <c r="R11" s="54" t="s">
        <v>145</v>
      </c>
      <c r="V11" s="201"/>
      <c r="W11" s="197"/>
      <c r="X11" s="194"/>
      <c r="Y11" s="61">
        <v>45915</v>
      </c>
      <c r="Z11" s="54" t="s">
        <v>217</v>
      </c>
      <c r="AA11" s="65" t="s">
        <v>224</v>
      </c>
    </row>
    <row r="12" spans="1:27" s="39" customFormat="1" ht="16.5" customHeight="1">
      <c r="A12" s="74" t="s">
        <v>93</v>
      </c>
      <c r="B12" s="74" t="s">
        <v>143</v>
      </c>
      <c r="C12" s="74" t="s">
        <v>144</v>
      </c>
      <c r="D12" s="74" t="s">
        <v>116</v>
      </c>
      <c r="E12" s="74">
        <v>20</v>
      </c>
      <c r="F12" s="56">
        <v>45931</v>
      </c>
      <c r="G12" s="56">
        <v>45931</v>
      </c>
      <c r="H12" s="74">
        <v>0</v>
      </c>
      <c r="I12" s="74">
        <v>18</v>
      </c>
      <c r="J12" s="77">
        <v>-0.1</v>
      </c>
      <c r="K12" s="74">
        <v>5</v>
      </c>
      <c r="L12" s="74" t="s">
        <v>145</v>
      </c>
      <c r="M12" s="74" t="s">
        <v>245</v>
      </c>
      <c r="P12" s="5"/>
      <c r="Q12" s="5"/>
      <c r="R12" s="5"/>
      <c r="V12" s="201"/>
      <c r="W12" s="197"/>
      <c r="X12" s="194"/>
      <c r="Y12" s="61">
        <v>45919</v>
      </c>
      <c r="Z12" s="54" t="s">
        <v>217</v>
      </c>
      <c r="AA12" s="66" t="s">
        <v>225</v>
      </c>
    </row>
    <row r="13" spans="1:27" s="39" customFormat="1" ht="16.5" customHeight="1">
      <c r="A13" s="74" t="s">
        <v>93</v>
      </c>
      <c r="B13" s="74" t="s">
        <v>154</v>
      </c>
      <c r="C13" s="74" t="s">
        <v>155</v>
      </c>
      <c r="D13" s="74" t="s">
        <v>116</v>
      </c>
      <c r="E13" s="74">
        <v>10</v>
      </c>
      <c r="F13" s="56">
        <v>45940</v>
      </c>
      <c r="G13" s="56"/>
      <c r="H13" s="74">
        <v>0</v>
      </c>
      <c r="I13" s="74">
        <v>4</v>
      </c>
      <c r="J13" s="77">
        <v>-0.6</v>
      </c>
      <c r="K13" s="74">
        <v>0</v>
      </c>
      <c r="L13" s="74" t="s">
        <v>145</v>
      </c>
      <c r="M13" s="74" t="s">
        <v>245</v>
      </c>
      <c r="P13" s="5"/>
      <c r="Q13" s="5"/>
      <c r="R13" s="5"/>
      <c r="V13" s="201"/>
      <c r="W13" s="197"/>
      <c r="X13" s="194"/>
      <c r="Y13" s="61">
        <v>45935</v>
      </c>
      <c r="Z13" s="54" t="s">
        <v>8</v>
      </c>
      <c r="AA13" s="65" t="s">
        <v>226</v>
      </c>
    </row>
    <row r="14" spans="1:27" s="39" customFormat="1" ht="16.5" customHeight="1">
      <c r="A14" s="74" t="s">
        <v>93</v>
      </c>
      <c r="B14" s="74" t="s">
        <v>148</v>
      </c>
      <c r="C14" s="74" t="s">
        <v>149</v>
      </c>
      <c r="D14" s="74" t="s">
        <v>113</v>
      </c>
      <c r="E14" s="74">
        <v>4</v>
      </c>
      <c r="F14" s="56">
        <v>45936</v>
      </c>
      <c r="G14" s="56">
        <v>45937</v>
      </c>
      <c r="H14" s="74">
        <v>0</v>
      </c>
      <c r="I14" s="74">
        <v>5</v>
      </c>
      <c r="J14" s="77">
        <v>0.25</v>
      </c>
      <c r="K14" s="74">
        <v>1</v>
      </c>
      <c r="L14" s="74" t="s">
        <v>145</v>
      </c>
      <c r="M14" s="74" t="s">
        <v>245</v>
      </c>
      <c r="P14" s="5"/>
      <c r="Q14" s="5"/>
      <c r="R14" s="5"/>
      <c r="V14" s="201"/>
      <c r="W14" s="197"/>
      <c r="X14" s="194"/>
      <c r="Y14" s="61">
        <v>45937</v>
      </c>
      <c r="Z14" s="54" t="s">
        <v>217</v>
      </c>
      <c r="AA14" s="65" t="s">
        <v>227</v>
      </c>
    </row>
    <row r="15" spans="1:27" s="39" customFormat="1" ht="16.5" customHeight="1">
      <c r="A15" s="74" t="s">
        <v>93</v>
      </c>
      <c r="B15" s="74" t="s">
        <v>150</v>
      </c>
      <c r="C15" s="74" t="s">
        <v>151</v>
      </c>
      <c r="D15" s="74" t="s">
        <v>113</v>
      </c>
      <c r="E15" s="74">
        <v>28</v>
      </c>
      <c r="F15" s="56">
        <v>45944</v>
      </c>
      <c r="G15" s="56">
        <v>45936</v>
      </c>
      <c r="H15" s="74">
        <v>11</v>
      </c>
      <c r="I15" s="74">
        <v>23</v>
      </c>
      <c r="J15" s="77">
        <v>0.21428571428571427</v>
      </c>
      <c r="K15" s="74">
        <v>1</v>
      </c>
      <c r="L15" s="74" t="s">
        <v>145</v>
      </c>
      <c r="M15" s="74" t="s">
        <v>245</v>
      </c>
      <c r="P15" s="5"/>
      <c r="Q15" s="5"/>
      <c r="R15" s="5"/>
      <c r="V15" s="200" t="s">
        <v>208</v>
      </c>
      <c r="W15" s="196" t="s">
        <v>199</v>
      </c>
      <c r="X15" s="193" t="s">
        <v>200</v>
      </c>
      <c r="Y15" s="63">
        <v>45916</v>
      </c>
      <c r="Z15" s="62" t="s">
        <v>215</v>
      </c>
      <c r="AA15" s="64" t="s">
        <v>228</v>
      </c>
    </row>
    <row r="16" spans="1:27" s="39" customFormat="1" ht="16.5" customHeight="1">
      <c r="A16" s="74" t="s">
        <v>93</v>
      </c>
      <c r="B16" s="74" t="s">
        <v>152</v>
      </c>
      <c r="C16" s="74" t="s">
        <v>153</v>
      </c>
      <c r="D16" s="74" t="s">
        <v>96</v>
      </c>
      <c r="E16" s="74">
        <v>16</v>
      </c>
      <c r="F16" s="56">
        <v>45938</v>
      </c>
      <c r="G16" s="56">
        <v>45938</v>
      </c>
      <c r="H16" s="74">
        <v>0</v>
      </c>
      <c r="I16" s="74">
        <v>8</v>
      </c>
      <c r="J16" s="77">
        <v>-0.5</v>
      </c>
      <c r="K16" s="74">
        <v>2</v>
      </c>
      <c r="L16" s="74" t="s">
        <v>145</v>
      </c>
      <c r="M16" s="74" t="s">
        <v>245</v>
      </c>
      <c r="P16" s="5"/>
      <c r="Q16" s="5"/>
      <c r="R16" s="5"/>
      <c r="V16" s="201"/>
      <c r="W16" s="197"/>
      <c r="X16" s="194"/>
      <c r="Y16" s="61">
        <v>45919</v>
      </c>
      <c r="Z16" s="54" t="s">
        <v>217</v>
      </c>
      <c r="AA16" s="66" t="s">
        <v>229</v>
      </c>
    </row>
    <row r="17" spans="1:27" s="39" customFormat="1" ht="16.5" hidden="1" customHeight="1">
      <c r="A17" s="74" t="s">
        <v>163</v>
      </c>
      <c r="B17" s="74" t="s">
        <v>187</v>
      </c>
      <c r="C17" s="74" t="s">
        <v>188</v>
      </c>
      <c r="D17" s="74" t="s">
        <v>109</v>
      </c>
      <c r="E17" s="74">
        <v>22</v>
      </c>
      <c r="F17" s="56">
        <v>45940</v>
      </c>
      <c r="G17" s="56"/>
      <c r="H17" s="74">
        <v>26.5</v>
      </c>
      <c r="I17" s="74">
        <v>6</v>
      </c>
      <c r="J17" s="77">
        <v>0.47727272727272729</v>
      </c>
      <c r="K17" s="74">
        <v>0</v>
      </c>
      <c r="L17" s="74" t="s">
        <v>145</v>
      </c>
      <c r="M17" s="74" t="s">
        <v>245</v>
      </c>
      <c r="P17" s="5"/>
      <c r="Q17" s="5"/>
      <c r="R17" s="5"/>
      <c r="V17" s="201"/>
      <c r="W17" s="197"/>
      <c r="X17" s="194"/>
      <c r="Y17" s="61">
        <v>45935</v>
      </c>
      <c r="Z17" s="54" t="s">
        <v>8</v>
      </c>
      <c r="AA17" s="65" t="s">
        <v>226</v>
      </c>
    </row>
    <row r="18" spans="1:27" s="39" customFormat="1" ht="16.5" hidden="1" customHeight="1">
      <c r="A18" s="74" t="s">
        <v>163</v>
      </c>
      <c r="B18" s="74" t="s">
        <v>194</v>
      </c>
      <c r="C18" s="74" t="s">
        <v>195</v>
      </c>
      <c r="D18" s="74" t="s">
        <v>113</v>
      </c>
      <c r="E18" s="74">
        <v>50</v>
      </c>
      <c r="F18" s="56">
        <v>45938</v>
      </c>
      <c r="G18" s="56">
        <v>45937</v>
      </c>
      <c r="H18" s="74">
        <v>48</v>
      </c>
      <c r="I18" s="74">
        <v>17</v>
      </c>
      <c r="J18" s="77">
        <v>0.3</v>
      </c>
      <c r="K18" s="74">
        <v>5</v>
      </c>
      <c r="L18" s="74" t="s">
        <v>145</v>
      </c>
      <c r="M18" s="74" t="s">
        <v>245</v>
      </c>
      <c r="P18" s="5"/>
      <c r="Q18" s="5"/>
      <c r="R18" s="5"/>
      <c r="V18" s="202"/>
      <c r="W18" s="198"/>
      <c r="X18" s="195"/>
      <c r="Y18" s="68">
        <v>45938</v>
      </c>
      <c r="Z18" s="67" t="s">
        <v>217</v>
      </c>
      <c r="AA18" s="69" t="s">
        <v>227</v>
      </c>
    </row>
    <row r="19" spans="1:27" s="39" customFormat="1" ht="16.5" hidden="1" customHeight="1">
      <c r="A19" s="74" t="s">
        <v>163</v>
      </c>
      <c r="B19" s="74" t="s">
        <v>199</v>
      </c>
      <c r="C19" s="74" t="s">
        <v>200</v>
      </c>
      <c r="D19" s="74" t="s">
        <v>113</v>
      </c>
      <c r="E19" s="74">
        <v>27</v>
      </c>
      <c r="F19" s="56">
        <v>45940</v>
      </c>
      <c r="G19" s="56">
        <v>45938</v>
      </c>
      <c r="H19" s="74">
        <v>12</v>
      </c>
      <c r="I19" s="74">
        <v>23</v>
      </c>
      <c r="J19" s="77">
        <v>0.29629629629629628</v>
      </c>
      <c r="K19" s="74">
        <v>4</v>
      </c>
      <c r="L19" s="74" t="s">
        <v>145</v>
      </c>
      <c r="M19" s="74" t="s">
        <v>245</v>
      </c>
      <c r="P19" s="5"/>
      <c r="Q19" s="5"/>
      <c r="R19" s="5"/>
    </row>
    <row r="20" spans="1:27" s="39" customFormat="1" ht="16.5" hidden="1" customHeight="1">
      <c r="A20" s="74" t="s">
        <v>163</v>
      </c>
      <c r="B20" s="74" t="s">
        <v>192</v>
      </c>
      <c r="C20" s="74" t="s">
        <v>193</v>
      </c>
      <c r="D20" s="74" t="s">
        <v>113</v>
      </c>
      <c r="E20" s="74">
        <v>15</v>
      </c>
      <c r="F20" s="56">
        <v>45937</v>
      </c>
      <c r="G20" s="56">
        <v>45937</v>
      </c>
      <c r="H20" s="74">
        <v>0</v>
      </c>
      <c r="I20" s="74">
        <v>14</v>
      </c>
      <c r="J20" s="77">
        <v>-6.6666666666666666E-2</v>
      </c>
      <c r="K20" s="74">
        <v>1</v>
      </c>
      <c r="L20" s="74" t="s">
        <v>145</v>
      </c>
      <c r="M20" s="74" t="s">
        <v>245</v>
      </c>
      <c r="P20" s="5"/>
      <c r="Q20" s="5"/>
      <c r="R20" s="5"/>
    </row>
    <row r="21" spans="1:27" s="39" customFormat="1" ht="16.5" hidden="1" customHeight="1">
      <c r="A21" s="74" t="s">
        <v>163</v>
      </c>
      <c r="B21" s="74" t="s">
        <v>197</v>
      </c>
      <c r="C21" s="74" t="s">
        <v>198</v>
      </c>
      <c r="D21" s="74" t="s">
        <v>116</v>
      </c>
      <c r="E21" s="74">
        <v>52</v>
      </c>
      <c r="F21" s="56">
        <v>45947</v>
      </c>
      <c r="G21" s="56"/>
      <c r="H21" s="74">
        <v>0</v>
      </c>
      <c r="I21" s="74">
        <v>12</v>
      </c>
      <c r="J21" s="77">
        <v>-0.76923076923076927</v>
      </c>
      <c r="K21" s="74">
        <v>0</v>
      </c>
      <c r="L21" s="74" t="s">
        <v>145</v>
      </c>
      <c r="M21" s="74" t="s">
        <v>245</v>
      </c>
      <c r="P21" s="5"/>
      <c r="Q21" s="5"/>
      <c r="R21" s="5"/>
    </row>
    <row r="22" spans="1:27" s="39" customFormat="1" ht="16.5" hidden="1" customHeight="1">
      <c r="A22" s="74" t="s">
        <v>163</v>
      </c>
      <c r="B22" s="74" t="s">
        <v>201</v>
      </c>
      <c r="C22" s="74" t="s">
        <v>202</v>
      </c>
      <c r="D22" s="74" t="s">
        <v>113</v>
      </c>
      <c r="E22" s="74">
        <v>24</v>
      </c>
      <c r="F22" s="56">
        <v>45945</v>
      </c>
      <c r="G22" s="56">
        <v>45932</v>
      </c>
      <c r="H22" s="74">
        <v>8</v>
      </c>
      <c r="I22" s="74">
        <v>20</v>
      </c>
      <c r="J22" s="77">
        <v>0.16666666666666666</v>
      </c>
      <c r="K22" s="74">
        <v>1</v>
      </c>
      <c r="L22" s="74" t="s">
        <v>145</v>
      </c>
      <c r="M22" s="74" t="s">
        <v>245</v>
      </c>
      <c r="P22" s="5"/>
      <c r="Q22" s="5"/>
      <c r="R22" s="5"/>
    </row>
    <row r="23" spans="1:27" s="39" customFormat="1" ht="16.5" customHeight="1">
      <c r="A23" s="74" t="s">
        <v>93</v>
      </c>
      <c r="B23" s="74" t="s">
        <v>146</v>
      </c>
      <c r="C23" s="74" t="s">
        <v>147</v>
      </c>
      <c r="D23" s="74" t="s">
        <v>113</v>
      </c>
      <c r="E23" s="74">
        <v>16</v>
      </c>
      <c r="F23" s="56">
        <v>45939</v>
      </c>
      <c r="G23" s="56">
        <v>45939</v>
      </c>
      <c r="H23" s="74">
        <v>0</v>
      </c>
      <c r="I23" s="74">
        <v>16</v>
      </c>
      <c r="J23" s="77">
        <v>0</v>
      </c>
      <c r="K23" s="74">
        <v>1</v>
      </c>
      <c r="L23" s="74" t="s">
        <v>119</v>
      </c>
      <c r="M23" s="74" t="s">
        <v>245</v>
      </c>
      <c r="P23" s="5"/>
      <c r="Q23" s="5"/>
      <c r="R23" s="5"/>
    </row>
    <row r="24" spans="1:27" s="39" customFormat="1" ht="16.5" customHeight="1">
      <c r="A24" s="74" t="s">
        <v>93</v>
      </c>
      <c r="B24" s="74" t="s">
        <v>117</v>
      </c>
      <c r="C24" s="74" t="s">
        <v>118</v>
      </c>
      <c r="D24" s="74" t="s">
        <v>106</v>
      </c>
      <c r="E24" s="74">
        <v>16</v>
      </c>
      <c r="F24" s="56">
        <v>45908</v>
      </c>
      <c r="G24" s="56">
        <v>45908</v>
      </c>
      <c r="H24" s="74">
        <v>12</v>
      </c>
      <c r="I24" s="74">
        <v>8</v>
      </c>
      <c r="J24" s="77">
        <v>0.25</v>
      </c>
      <c r="K24" s="74">
        <v>3</v>
      </c>
      <c r="L24" s="74" t="s">
        <v>119</v>
      </c>
      <c r="M24" s="74" t="s">
        <v>245</v>
      </c>
      <c r="P24" s="5"/>
      <c r="Q24" s="5"/>
      <c r="R24" s="5"/>
    </row>
    <row r="25" spans="1:27" s="39" customFormat="1" ht="16.5" customHeight="1">
      <c r="A25" s="74" t="s">
        <v>93</v>
      </c>
      <c r="B25" s="74" t="s">
        <v>120</v>
      </c>
      <c r="C25" s="74" t="s">
        <v>121</v>
      </c>
      <c r="D25" s="74" t="s">
        <v>113</v>
      </c>
      <c r="E25" s="74">
        <v>8</v>
      </c>
      <c r="F25" s="56">
        <v>45909</v>
      </c>
      <c r="G25" s="56">
        <v>45909</v>
      </c>
      <c r="H25" s="74">
        <v>0</v>
      </c>
      <c r="I25" s="74">
        <v>10</v>
      </c>
      <c r="J25" s="77">
        <v>0.25</v>
      </c>
      <c r="K25" s="74">
        <v>2</v>
      </c>
      <c r="L25" s="74" t="s">
        <v>119</v>
      </c>
      <c r="M25" s="74" t="s">
        <v>245</v>
      </c>
      <c r="P25" s="5"/>
      <c r="Q25" s="5"/>
      <c r="R25" s="5"/>
    </row>
    <row r="26" spans="1:27" s="39" customFormat="1" ht="16.5" customHeight="1">
      <c r="A26" s="74" t="s">
        <v>93</v>
      </c>
      <c r="B26" s="74" t="s">
        <v>122</v>
      </c>
      <c r="C26" s="74" t="s">
        <v>123</v>
      </c>
      <c r="D26" s="74" t="s">
        <v>113</v>
      </c>
      <c r="E26" s="74">
        <v>16</v>
      </c>
      <c r="F26" s="56">
        <v>45909</v>
      </c>
      <c r="G26" s="56">
        <v>45909</v>
      </c>
      <c r="H26" s="74">
        <v>0</v>
      </c>
      <c r="I26" s="74">
        <v>20</v>
      </c>
      <c r="J26" s="77">
        <v>0.25</v>
      </c>
      <c r="K26" s="74">
        <v>4</v>
      </c>
      <c r="L26" s="74" t="s">
        <v>119</v>
      </c>
      <c r="M26" s="74" t="s">
        <v>245</v>
      </c>
      <c r="P26" s="5"/>
      <c r="Q26" s="5"/>
      <c r="R26" s="5"/>
    </row>
    <row r="27" spans="1:27" s="39" customFormat="1" ht="16.5" customHeight="1">
      <c r="A27" s="74" t="s">
        <v>93</v>
      </c>
      <c r="B27" s="74" t="s">
        <v>124</v>
      </c>
      <c r="C27" s="74" t="s">
        <v>125</v>
      </c>
      <c r="D27" s="74" t="s">
        <v>113</v>
      </c>
      <c r="E27" s="74">
        <v>28</v>
      </c>
      <c r="F27" s="56">
        <v>45918</v>
      </c>
      <c r="G27" s="56">
        <v>45918</v>
      </c>
      <c r="H27" s="74">
        <v>0</v>
      </c>
      <c r="I27" s="74">
        <v>36</v>
      </c>
      <c r="J27" s="77">
        <v>0.2857142857142857</v>
      </c>
      <c r="K27" s="74">
        <v>1</v>
      </c>
      <c r="L27" s="74" t="s">
        <v>119</v>
      </c>
      <c r="M27" s="74" t="s">
        <v>245</v>
      </c>
      <c r="P27" s="5"/>
      <c r="Q27" s="5"/>
      <c r="R27" s="5"/>
    </row>
    <row r="28" spans="1:27" s="39" customFormat="1" ht="16.5" customHeight="1">
      <c r="A28" s="74" t="s">
        <v>93</v>
      </c>
      <c r="B28" s="74" t="s">
        <v>126</v>
      </c>
      <c r="C28" s="74" t="s">
        <v>127</v>
      </c>
      <c r="D28" s="74" t="s">
        <v>113</v>
      </c>
      <c r="E28" s="74">
        <v>24</v>
      </c>
      <c r="F28" s="56">
        <v>45929</v>
      </c>
      <c r="G28" s="56">
        <v>45929</v>
      </c>
      <c r="H28" s="74">
        <v>0</v>
      </c>
      <c r="I28" s="74">
        <v>31</v>
      </c>
      <c r="J28" s="77">
        <v>0.29166666666666669</v>
      </c>
      <c r="K28" s="74">
        <v>1</v>
      </c>
      <c r="L28" s="74" t="s">
        <v>119</v>
      </c>
      <c r="M28" s="74" t="s">
        <v>245</v>
      </c>
      <c r="P28" s="5"/>
      <c r="Q28" s="5"/>
      <c r="R28" s="5"/>
    </row>
    <row r="29" spans="1:27" s="39" customFormat="1" ht="16.5" customHeight="1">
      <c r="A29" s="74" t="s">
        <v>93</v>
      </c>
      <c r="B29" s="74" t="s">
        <v>128</v>
      </c>
      <c r="C29" s="74" t="s">
        <v>129</v>
      </c>
      <c r="D29" s="74" t="s">
        <v>130</v>
      </c>
      <c r="E29" s="74">
        <v>8</v>
      </c>
      <c r="F29" s="56">
        <v>45917</v>
      </c>
      <c r="G29" s="56">
        <v>45917</v>
      </c>
      <c r="H29" s="74">
        <v>0</v>
      </c>
      <c r="I29" s="74">
        <v>10</v>
      </c>
      <c r="J29" s="77">
        <v>0.25</v>
      </c>
      <c r="K29" s="74">
        <v>3</v>
      </c>
      <c r="L29" s="74" t="s">
        <v>119</v>
      </c>
      <c r="M29" s="74" t="s">
        <v>245</v>
      </c>
      <c r="P29" s="5"/>
      <c r="Q29" s="5"/>
      <c r="R29" s="5"/>
    </row>
    <row r="30" spans="1:27" s="39" customFormat="1" ht="16.5" customHeight="1">
      <c r="A30" s="74" t="s">
        <v>93</v>
      </c>
      <c r="B30" s="74" t="s">
        <v>131</v>
      </c>
      <c r="C30" s="74" t="s">
        <v>132</v>
      </c>
      <c r="D30" s="74" t="s">
        <v>130</v>
      </c>
      <c r="E30" s="74">
        <v>24</v>
      </c>
      <c r="F30" s="56">
        <v>45909</v>
      </c>
      <c r="G30" s="56">
        <v>45909</v>
      </c>
      <c r="H30" s="74">
        <v>0</v>
      </c>
      <c r="I30" s="74">
        <v>27</v>
      </c>
      <c r="J30" s="77">
        <v>0.125</v>
      </c>
      <c r="K30" s="74">
        <v>7</v>
      </c>
      <c r="L30" s="74" t="s">
        <v>119</v>
      </c>
      <c r="M30" s="74" t="s">
        <v>245</v>
      </c>
      <c r="P30" s="5"/>
      <c r="Q30" s="5"/>
      <c r="R30" s="5"/>
    </row>
    <row r="31" spans="1:27" s="39" customFormat="1" ht="16.5" customHeight="1">
      <c r="A31" s="74" t="s">
        <v>93</v>
      </c>
      <c r="B31" s="74" t="s">
        <v>133</v>
      </c>
      <c r="C31" s="74" t="s">
        <v>134</v>
      </c>
      <c r="D31" s="74" t="s">
        <v>130</v>
      </c>
      <c r="E31" s="74">
        <v>20</v>
      </c>
      <c r="F31" s="56">
        <v>45917</v>
      </c>
      <c r="G31" s="56">
        <v>45917</v>
      </c>
      <c r="H31" s="74">
        <v>0</v>
      </c>
      <c r="I31" s="74">
        <v>26</v>
      </c>
      <c r="J31" s="77">
        <v>0.3</v>
      </c>
      <c r="K31" s="74">
        <v>2</v>
      </c>
      <c r="L31" s="74" t="s">
        <v>119</v>
      </c>
      <c r="M31" s="74" t="s">
        <v>245</v>
      </c>
      <c r="P31" s="5"/>
      <c r="Q31" s="5"/>
      <c r="R31" s="5"/>
    </row>
    <row r="32" spans="1:27" s="39" customFormat="1" ht="16.5" customHeight="1">
      <c r="A32" s="74" t="s">
        <v>93</v>
      </c>
      <c r="B32" s="74" t="s">
        <v>135</v>
      </c>
      <c r="C32" s="74" t="s">
        <v>136</v>
      </c>
      <c r="D32" s="74" t="s">
        <v>106</v>
      </c>
      <c r="E32" s="74">
        <v>10</v>
      </c>
      <c r="F32" s="56">
        <v>45923</v>
      </c>
      <c r="G32" s="56">
        <v>45923</v>
      </c>
      <c r="H32" s="74">
        <v>0</v>
      </c>
      <c r="I32" s="74">
        <v>13</v>
      </c>
      <c r="J32" s="77">
        <v>0.3</v>
      </c>
      <c r="K32" s="74">
        <v>2</v>
      </c>
      <c r="L32" s="74" t="s">
        <v>119</v>
      </c>
      <c r="M32" s="74" t="s">
        <v>245</v>
      </c>
      <c r="P32" s="5"/>
      <c r="Q32" s="5"/>
      <c r="R32" s="5"/>
    </row>
    <row r="33" spans="1:18" s="39" customFormat="1" ht="16.5" customHeight="1">
      <c r="A33" s="74" t="s">
        <v>93</v>
      </c>
      <c r="B33" s="74" t="s">
        <v>137</v>
      </c>
      <c r="C33" s="74" t="s">
        <v>138</v>
      </c>
      <c r="D33" s="74" t="s">
        <v>106</v>
      </c>
      <c r="E33" s="74">
        <v>11</v>
      </c>
      <c r="F33" s="56">
        <v>45925</v>
      </c>
      <c r="G33" s="56">
        <v>45926</v>
      </c>
      <c r="H33" s="74">
        <v>0</v>
      </c>
      <c r="I33" s="74">
        <v>14</v>
      </c>
      <c r="J33" s="77">
        <v>0.27272727272727271</v>
      </c>
      <c r="K33" s="74">
        <v>4</v>
      </c>
      <c r="L33" s="74" t="s">
        <v>119</v>
      </c>
      <c r="M33" s="74" t="s">
        <v>180</v>
      </c>
      <c r="P33" s="5"/>
      <c r="Q33" s="5"/>
      <c r="R33" s="5"/>
    </row>
    <row r="34" spans="1:18" s="39" customFormat="1" ht="16.5" customHeight="1">
      <c r="A34" s="74" t="s">
        <v>93</v>
      </c>
      <c r="B34" s="74" t="s">
        <v>139</v>
      </c>
      <c r="C34" s="74" t="s">
        <v>140</v>
      </c>
      <c r="D34" s="74" t="s">
        <v>109</v>
      </c>
      <c r="E34" s="74">
        <v>0</v>
      </c>
      <c r="F34" s="56">
        <v>45903</v>
      </c>
      <c r="G34" s="56">
        <v>45903</v>
      </c>
      <c r="H34" s="74">
        <v>0</v>
      </c>
      <c r="I34" s="74">
        <v>15</v>
      </c>
      <c r="J34" s="77" t="s">
        <v>142</v>
      </c>
      <c r="K34" s="74">
        <v>0</v>
      </c>
      <c r="L34" s="74" t="s">
        <v>119</v>
      </c>
      <c r="M34" s="74" t="s">
        <v>245</v>
      </c>
      <c r="P34" s="5"/>
      <c r="Q34" s="5"/>
      <c r="R34" s="5"/>
    </row>
    <row r="35" spans="1:18" s="39" customFormat="1" ht="16.5" hidden="1" customHeight="1">
      <c r="A35" s="74" t="s">
        <v>163</v>
      </c>
      <c r="B35" s="74" t="s">
        <v>170</v>
      </c>
      <c r="C35" s="74" t="s">
        <v>171</v>
      </c>
      <c r="D35" s="74" t="s">
        <v>109</v>
      </c>
      <c r="E35" s="74">
        <v>16</v>
      </c>
      <c r="F35" s="56">
        <v>45925</v>
      </c>
      <c r="G35" s="56">
        <v>45925</v>
      </c>
      <c r="H35" s="74">
        <v>14</v>
      </c>
      <c r="I35" s="74">
        <v>4</v>
      </c>
      <c r="J35" s="77">
        <v>0.125</v>
      </c>
      <c r="K35" s="74">
        <v>1</v>
      </c>
      <c r="L35" s="74" t="s">
        <v>119</v>
      </c>
      <c r="M35" s="74" t="s">
        <v>245</v>
      </c>
      <c r="P35" s="5"/>
      <c r="Q35" s="5"/>
      <c r="R35" s="5"/>
    </row>
    <row r="36" spans="1:18" s="39" customFormat="1" ht="16.5" hidden="1" customHeight="1">
      <c r="A36" s="74" t="s">
        <v>163</v>
      </c>
      <c r="B36" s="74" t="s">
        <v>172</v>
      </c>
      <c r="C36" s="74" t="s">
        <v>173</v>
      </c>
      <c r="D36" s="74" t="s">
        <v>113</v>
      </c>
      <c r="E36" s="74">
        <v>30</v>
      </c>
      <c r="F36" s="56">
        <v>45902</v>
      </c>
      <c r="G36" s="56">
        <v>45902</v>
      </c>
      <c r="H36" s="74">
        <v>0</v>
      </c>
      <c r="I36" s="74">
        <v>27</v>
      </c>
      <c r="J36" s="77">
        <v>-0.1</v>
      </c>
      <c r="K36" s="74">
        <v>3</v>
      </c>
      <c r="L36" s="74" t="s">
        <v>119</v>
      </c>
      <c r="M36" s="74" t="s">
        <v>245</v>
      </c>
      <c r="P36" s="5"/>
      <c r="Q36" s="5"/>
      <c r="R36" s="5"/>
    </row>
    <row r="37" spans="1:18" s="39" customFormat="1" ht="16.5" hidden="1" customHeight="1">
      <c r="A37" s="74" t="s">
        <v>163</v>
      </c>
      <c r="B37" s="74" t="s">
        <v>185</v>
      </c>
      <c r="C37" s="74" t="s">
        <v>186</v>
      </c>
      <c r="D37" s="74" t="s">
        <v>106</v>
      </c>
      <c r="E37" s="74">
        <v>36</v>
      </c>
      <c r="F37" s="56">
        <v>45925</v>
      </c>
      <c r="G37" s="56">
        <v>45925</v>
      </c>
      <c r="H37" s="74">
        <v>41</v>
      </c>
      <c r="I37" s="74">
        <v>8</v>
      </c>
      <c r="J37" s="77">
        <v>0.3611111111111111</v>
      </c>
      <c r="K37" s="74">
        <v>5</v>
      </c>
      <c r="L37" s="74" t="s">
        <v>119</v>
      </c>
      <c r="M37" s="74" t="s">
        <v>245</v>
      </c>
      <c r="P37" s="5"/>
      <c r="Q37" s="5"/>
      <c r="R37" s="5"/>
    </row>
    <row r="38" spans="1:18" s="39" customFormat="1" ht="16.5" hidden="1" customHeight="1">
      <c r="A38" s="74" t="s">
        <v>163</v>
      </c>
      <c r="B38" s="74" t="s">
        <v>174</v>
      </c>
      <c r="C38" s="74" t="s">
        <v>175</v>
      </c>
      <c r="D38" s="74" t="s">
        <v>113</v>
      </c>
      <c r="E38" s="74">
        <v>10</v>
      </c>
      <c r="F38" s="56">
        <v>45940</v>
      </c>
      <c r="G38" s="56">
        <v>45919</v>
      </c>
      <c r="H38" s="74">
        <v>0</v>
      </c>
      <c r="I38" s="74">
        <v>13</v>
      </c>
      <c r="J38" s="77">
        <v>0.3</v>
      </c>
      <c r="K38" s="74">
        <v>1</v>
      </c>
      <c r="L38" s="74" t="s">
        <v>119</v>
      </c>
      <c r="M38" s="74" t="s">
        <v>245</v>
      </c>
      <c r="P38" s="5"/>
      <c r="Q38" s="5"/>
      <c r="R38" s="5"/>
    </row>
    <row r="39" spans="1:18" s="39" customFormat="1" ht="16.5" hidden="1" customHeight="1">
      <c r="A39" s="74" t="s">
        <v>163</v>
      </c>
      <c r="B39" s="74" t="s">
        <v>117</v>
      </c>
      <c r="C39" s="74" t="s">
        <v>118</v>
      </c>
      <c r="D39" s="74" t="s">
        <v>106</v>
      </c>
      <c r="E39" s="74">
        <v>16</v>
      </c>
      <c r="F39" s="56">
        <v>45908</v>
      </c>
      <c r="G39" s="56">
        <v>45908</v>
      </c>
      <c r="H39" s="74">
        <v>12</v>
      </c>
      <c r="I39" s="74">
        <v>1</v>
      </c>
      <c r="J39" s="77"/>
      <c r="K39" s="74">
        <v>2</v>
      </c>
      <c r="L39" s="74" t="s">
        <v>119</v>
      </c>
      <c r="M39" s="74" t="s">
        <v>245</v>
      </c>
      <c r="P39" s="5"/>
      <c r="Q39" s="5"/>
      <c r="R39" s="5"/>
    </row>
    <row r="40" spans="1:18" s="39" customFormat="1" ht="16.5" hidden="1" customHeight="1">
      <c r="A40" s="74" t="s">
        <v>163</v>
      </c>
      <c r="B40" s="74" t="s">
        <v>176</v>
      </c>
      <c r="C40" s="74" t="s">
        <v>177</v>
      </c>
      <c r="D40" s="74" t="s">
        <v>130</v>
      </c>
      <c r="E40" s="74">
        <v>8</v>
      </c>
      <c r="F40" s="56">
        <v>45922</v>
      </c>
      <c r="G40" s="56">
        <v>45915</v>
      </c>
      <c r="H40" s="74">
        <v>0</v>
      </c>
      <c r="I40" s="74">
        <v>10</v>
      </c>
      <c r="J40" s="77">
        <v>0.25</v>
      </c>
      <c r="K40" s="74">
        <v>2</v>
      </c>
      <c r="L40" s="74" t="s">
        <v>119</v>
      </c>
      <c r="M40" s="74" t="s">
        <v>245</v>
      </c>
      <c r="P40" s="5"/>
      <c r="Q40" s="5"/>
      <c r="R40" s="5"/>
    </row>
    <row r="41" spans="1:18" s="39" customFormat="1" ht="16.5" hidden="1" customHeight="1">
      <c r="A41" s="74" t="s">
        <v>163</v>
      </c>
      <c r="B41" s="74" t="s">
        <v>178</v>
      </c>
      <c r="C41" s="74" t="s">
        <v>179</v>
      </c>
      <c r="D41" s="74" t="s">
        <v>130</v>
      </c>
      <c r="E41" s="74">
        <v>14</v>
      </c>
      <c r="F41" s="56">
        <v>45922</v>
      </c>
      <c r="G41" s="56">
        <v>45919</v>
      </c>
      <c r="H41" s="74">
        <v>0</v>
      </c>
      <c r="I41" s="74">
        <v>18</v>
      </c>
      <c r="J41" s="77">
        <v>0.2857142857142857</v>
      </c>
      <c r="K41" s="74">
        <v>3</v>
      </c>
      <c r="L41" s="74" t="s">
        <v>119</v>
      </c>
      <c r="M41" s="74" t="s">
        <v>245</v>
      </c>
      <c r="P41" s="5"/>
      <c r="Q41" s="5"/>
      <c r="R41" s="5"/>
    </row>
    <row r="42" spans="1:18" s="39" customFormat="1" ht="16.5" hidden="1" customHeight="1">
      <c r="A42" s="74" t="s">
        <v>163</v>
      </c>
      <c r="B42" s="74" t="s">
        <v>124</v>
      </c>
      <c r="C42" s="74" t="s">
        <v>125</v>
      </c>
      <c r="D42" s="74" t="s">
        <v>113</v>
      </c>
      <c r="E42" s="74">
        <v>28</v>
      </c>
      <c r="F42" s="56">
        <v>45918</v>
      </c>
      <c r="G42" s="56">
        <v>45918</v>
      </c>
      <c r="H42" s="74">
        <v>0</v>
      </c>
      <c r="I42" s="74">
        <v>1</v>
      </c>
      <c r="J42" s="77"/>
      <c r="K42" s="74">
        <v>1</v>
      </c>
      <c r="L42" s="74" t="s">
        <v>119</v>
      </c>
      <c r="M42" s="74" t="s">
        <v>245</v>
      </c>
      <c r="P42" s="5"/>
      <c r="Q42" s="5"/>
      <c r="R42" s="5"/>
    </row>
    <row r="43" spans="1:18" s="39" customFormat="1" ht="16.5" hidden="1" customHeight="1">
      <c r="A43" s="74" t="s">
        <v>163</v>
      </c>
      <c r="B43" s="74" t="s">
        <v>131</v>
      </c>
      <c r="C43" s="74" t="s">
        <v>132</v>
      </c>
      <c r="D43" s="74" t="s">
        <v>130</v>
      </c>
      <c r="E43" s="74">
        <v>24</v>
      </c>
      <c r="F43" s="56">
        <v>45909</v>
      </c>
      <c r="G43" s="56">
        <v>45909</v>
      </c>
      <c r="H43" s="74">
        <v>0</v>
      </c>
      <c r="I43" s="74">
        <v>3</v>
      </c>
      <c r="J43" s="77"/>
      <c r="K43" s="74">
        <v>7</v>
      </c>
      <c r="L43" s="74" t="s">
        <v>119</v>
      </c>
      <c r="M43" s="74" t="s">
        <v>245</v>
      </c>
      <c r="P43" s="5"/>
      <c r="Q43" s="5"/>
      <c r="R43" s="5"/>
    </row>
    <row r="44" spans="1:18" s="39" customFormat="1" ht="16.5" hidden="1" customHeight="1">
      <c r="A44" s="74" t="s">
        <v>163</v>
      </c>
      <c r="B44" s="74" t="s">
        <v>133</v>
      </c>
      <c r="C44" s="74" t="s">
        <v>134</v>
      </c>
      <c r="D44" s="74" t="s">
        <v>130</v>
      </c>
      <c r="E44" s="74">
        <v>20</v>
      </c>
      <c r="F44" s="56">
        <v>45917</v>
      </c>
      <c r="G44" s="56">
        <v>45917</v>
      </c>
      <c r="H44" s="74">
        <v>0</v>
      </c>
      <c r="I44" s="74">
        <v>1</v>
      </c>
      <c r="J44" s="77"/>
      <c r="K44" s="74">
        <v>2</v>
      </c>
      <c r="L44" s="74" t="s">
        <v>119</v>
      </c>
      <c r="M44" s="74" t="s">
        <v>180</v>
      </c>
      <c r="P44" s="5"/>
      <c r="Q44" s="5"/>
      <c r="R44" s="5"/>
    </row>
    <row r="45" spans="1:18" s="39" customFormat="1" ht="16.5" hidden="1" customHeight="1">
      <c r="A45" s="74" t="s">
        <v>163</v>
      </c>
      <c r="B45" s="74" t="s">
        <v>181</v>
      </c>
      <c r="C45" s="74" t="s">
        <v>182</v>
      </c>
      <c r="D45" s="74" t="s">
        <v>130</v>
      </c>
      <c r="E45" s="74">
        <v>12</v>
      </c>
      <c r="F45" s="56">
        <v>45904</v>
      </c>
      <c r="G45" s="56">
        <v>45904</v>
      </c>
      <c r="H45" s="74">
        <v>0</v>
      </c>
      <c r="I45" s="74">
        <v>15</v>
      </c>
      <c r="J45" s="77">
        <v>0.25</v>
      </c>
      <c r="K45" s="74">
        <v>1</v>
      </c>
      <c r="L45" s="74" t="s">
        <v>119</v>
      </c>
      <c r="M45" s="74" t="s">
        <v>245</v>
      </c>
      <c r="P45" s="5"/>
      <c r="Q45" s="5"/>
      <c r="R45" s="5"/>
    </row>
    <row r="46" spans="1:18" s="39" customFormat="1" ht="16.5" hidden="1" customHeight="1">
      <c r="A46" s="74" t="s">
        <v>163</v>
      </c>
      <c r="B46" s="74" t="s">
        <v>183</v>
      </c>
      <c r="C46" s="74" t="s">
        <v>184</v>
      </c>
      <c r="D46" s="74" t="s">
        <v>130</v>
      </c>
      <c r="E46" s="74">
        <v>4</v>
      </c>
      <c r="F46" s="56">
        <v>45908</v>
      </c>
      <c r="G46" s="56">
        <v>45908</v>
      </c>
      <c r="H46" s="74">
        <v>0</v>
      </c>
      <c r="I46" s="74">
        <v>5</v>
      </c>
      <c r="J46" s="77">
        <v>0.25</v>
      </c>
      <c r="K46" s="74">
        <v>1</v>
      </c>
      <c r="L46" s="74" t="s">
        <v>119</v>
      </c>
      <c r="M46" s="74" t="s">
        <v>245</v>
      </c>
      <c r="P46" s="5"/>
      <c r="Q46" s="5"/>
      <c r="R46" s="5"/>
    </row>
    <row r="47" spans="1:18" s="39" customFormat="1" ht="16.5" hidden="1" customHeight="1">
      <c r="A47" s="74" t="s">
        <v>163</v>
      </c>
      <c r="B47" s="74" t="s">
        <v>190</v>
      </c>
      <c r="C47" s="74" t="s">
        <v>191</v>
      </c>
      <c r="D47" s="74" t="s">
        <v>113</v>
      </c>
      <c r="E47" s="74">
        <v>50</v>
      </c>
      <c r="F47" s="56">
        <v>45929</v>
      </c>
      <c r="G47" s="56">
        <v>45929</v>
      </c>
      <c r="H47" s="74">
        <v>53</v>
      </c>
      <c r="I47" s="74">
        <v>4</v>
      </c>
      <c r="J47" s="77">
        <v>0.14000000000000001</v>
      </c>
      <c r="K47" s="74">
        <v>1</v>
      </c>
      <c r="L47" s="74" t="s">
        <v>119</v>
      </c>
      <c r="M47" s="74" t="s">
        <v>245</v>
      </c>
      <c r="P47" s="5"/>
      <c r="Q47" s="5"/>
      <c r="R47" s="5"/>
    </row>
  </sheetData>
  <autoFilter ref="A1:L47" xr:uid="{4B865DBE-0FDD-45C6-A3D7-CD7ACE794B5F}">
    <filterColumn colId="0">
      <filters>
        <filter val="Eric De la Nuez"/>
      </filters>
    </filterColumn>
    <sortState xmlns:xlrd2="http://schemas.microsoft.com/office/spreadsheetml/2017/richdata2" ref="A2:L47">
      <sortCondition ref="L1"/>
    </sortState>
  </autoFilter>
  <mergeCells count="11">
    <mergeCell ref="X5:X8"/>
    <mergeCell ref="W5:W8"/>
    <mergeCell ref="X15:X18"/>
    <mergeCell ref="X10:X14"/>
    <mergeCell ref="P5:P7"/>
    <mergeCell ref="P9:P11"/>
    <mergeCell ref="V5:V8"/>
    <mergeCell ref="V15:V18"/>
    <mergeCell ref="W15:W18"/>
    <mergeCell ref="V10:V14"/>
    <mergeCell ref="W10:W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EC52-C6AC-4AA3-8BA6-353845D37B10}">
  <dimension ref="A3:B11"/>
  <sheetViews>
    <sheetView workbookViewId="0">
      <selection activeCell="B7" sqref="B7"/>
    </sheetView>
  </sheetViews>
  <sheetFormatPr defaultColWidth="11.42578125" defaultRowHeight="14.45"/>
  <cols>
    <col min="1" max="1" width="16.5703125" bestFit="1" customWidth="1"/>
    <col min="2" max="2" width="23.140625" bestFit="1" customWidth="1"/>
  </cols>
  <sheetData>
    <row r="3" spans="1:2">
      <c r="A3" s="149" t="s">
        <v>246</v>
      </c>
      <c r="B3" t="s">
        <v>247</v>
      </c>
    </row>
    <row r="4" spans="1:2">
      <c r="A4" s="148" t="s">
        <v>93</v>
      </c>
      <c r="B4">
        <v>168</v>
      </c>
    </row>
    <row r="5" spans="1:2">
      <c r="A5" s="148" t="s">
        <v>248</v>
      </c>
      <c r="B5">
        <v>161.5</v>
      </c>
    </row>
    <row r="6" spans="1:2">
      <c r="A6" s="148" t="s">
        <v>240</v>
      </c>
      <c r="B6">
        <v>174.5</v>
      </c>
    </row>
    <row r="7" spans="1:2">
      <c r="A7" s="148" t="s">
        <v>163</v>
      </c>
      <c r="B7">
        <v>160</v>
      </c>
    </row>
    <row r="8" spans="1:2">
      <c r="A8" s="148" t="s">
        <v>249</v>
      </c>
      <c r="B8">
        <v>0</v>
      </c>
    </row>
    <row r="9" spans="1:2">
      <c r="A9" s="148" t="s">
        <v>250</v>
      </c>
      <c r="B9">
        <v>178.5</v>
      </c>
    </row>
    <row r="10" spans="1:2">
      <c r="A10" s="148" t="s">
        <v>251</v>
      </c>
      <c r="B10">
        <v>56</v>
      </c>
    </row>
    <row r="11" spans="1:2">
      <c r="A11" s="148" t="s">
        <v>252</v>
      </c>
      <c r="B11">
        <v>898.5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3F2C5-0FFA-4A61-A849-F76981839D42}">
  <dimension ref="A1:M17"/>
  <sheetViews>
    <sheetView workbookViewId="0">
      <selection activeCell="O12" sqref="O12"/>
    </sheetView>
  </sheetViews>
  <sheetFormatPr defaultRowHeight="15"/>
  <cols>
    <col min="1" max="2" width="11.85546875" bestFit="1" customWidth="1"/>
    <col min="4" max="5" width="9.5703125" bestFit="1" customWidth="1"/>
    <col min="8" max="8" width="9.5703125" bestFit="1" customWidth="1"/>
    <col min="9" max="9" width="11.85546875" bestFit="1" customWidth="1"/>
    <col min="11" max="11" width="10.140625" bestFit="1" customWidth="1"/>
    <col min="12" max="12" width="9.7109375" bestFit="1" customWidth="1"/>
  </cols>
  <sheetData>
    <row r="1" spans="1:13">
      <c r="A1" s="203" t="s">
        <v>253</v>
      </c>
      <c r="B1" s="203"/>
      <c r="C1" s="203"/>
      <c r="D1" s="203"/>
      <c r="E1" s="203"/>
      <c r="F1" s="203"/>
      <c r="G1" s="203"/>
      <c r="H1" s="203"/>
      <c r="I1" s="203"/>
      <c r="J1" s="203"/>
      <c r="K1" s="203"/>
      <c r="L1" s="203"/>
    </row>
    <row r="2" spans="1:13">
      <c r="A2" t="s">
        <v>254</v>
      </c>
      <c r="B2" t="s">
        <v>255</v>
      </c>
      <c r="C2" t="s">
        <v>256</v>
      </c>
      <c r="D2" t="s">
        <v>257</v>
      </c>
      <c r="E2" t="s">
        <v>258</v>
      </c>
      <c r="F2" t="s">
        <v>259</v>
      </c>
      <c r="G2" t="s">
        <v>260</v>
      </c>
      <c r="H2" t="s">
        <v>98</v>
      </c>
      <c r="I2" t="s">
        <v>119</v>
      </c>
      <c r="J2" t="s">
        <v>145</v>
      </c>
      <c r="K2" t="s">
        <v>261</v>
      </c>
      <c r="L2" t="s">
        <v>262</v>
      </c>
    </row>
    <row r="3" spans="1:13">
      <c r="A3" t="s">
        <v>263</v>
      </c>
      <c r="B3" t="s">
        <v>264</v>
      </c>
      <c r="C3" t="s">
        <v>265</v>
      </c>
      <c r="D3" s="150" t="s">
        <v>266</v>
      </c>
      <c r="E3" t="s">
        <v>267</v>
      </c>
      <c r="F3" t="s">
        <v>268</v>
      </c>
      <c r="I3" t="s">
        <v>269</v>
      </c>
      <c r="K3" t="s">
        <v>264</v>
      </c>
      <c r="L3" t="s">
        <v>270</v>
      </c>
      <c r="M3" s="204">
        <v>20</v>
      </c>
    </row>
    <row r="4" spans="1:13">
      <c r="A4" t="s">
        <v>271</v>
      </c>
      <c r="B4" t="s">
        <v>272</v>
      </c>
      <c r="D4" s="150" t="s">
        <v>273</v>
      </c>
      <c r="E4" t="s">
        <v>274</v>
      </c>
      <c r="K4" t="s">
        <v>265</v>
      </c>
      <c r="L4" t="s">
        <v>275</v>
      </c>
      <c r="M4" s="204"/>
    </row>
    <row r="5" spans="1:13">
      <c r="A5" t="s">
        <v>276</v>
      </c>
      <c r="B5" t="s">
        <v>277</v>
      </c>
      <c r="E5" t="s">
        <v>278</v>
      </c>
      <c r="L5" t="s">
        <v>279</v>
      </c>
      <c r="M5" s="204"/>
    </row>
    <row r="6" spans="1:13">
      <c r="L6" t="s">
        <v>280</v>
      </c>
      <c r="M6" s="204"/>
    </row>
    <row r="7" spans="1:13">
      <c r="A7" s="203" t="s">
        <v>281</v>
      </c>
      <c r="B7" s="203"/>
      <c r="C7" s="203"/>
      <c r="D7" s="203"/>
      <c r="E7" s="203"/>
      <c r="F7" s="203"/>
      <c r="G7" s="203"/>
      <c r="H7" s="203"/>
      <c r="I7" s="203"/>
      <c r="J7" s="203"/>
      <c r="K7" s="203"/>
      <c r="L7" s="203"/>
    </row>
    <row r="8" spans="1:13">
      <c r="A8" t="s">
        <v>254</v>
      </c>
      <c r="B8" t="s">
        <v>255</v>
      </c>
      <c r="C8" t="s">
        <v>256</v>
      </c>
      <c r="D8" t="s">
        <v>257</v>
      </c>
      <c r="E8" t="s">
        <v>258</v>
      </c>
      <c r="F8" t="s">
        <v>259</v>
      </c>
      <c r="G8" t="s">
        <v>260</v>
      </c>
      <c r="H8" t="s">
        <v>98</v>
      </c>
      <c r="I8" t="s">
        <v>119</v>
      </c>
      <c r="J8" t="s">
        <v>145</v>
      </c>
      <c r="K8" t="s">
        <v>261</v>
      </c>
      <c r="L8" t="s">
        <v>262</v>
      </c>
    </row>
    <row r="9" spans="1:13">
      <c r="A9" t="s">
        <v>263</v>
      </c>
      <c r="C9" t="s">
        <v>282</v>
      </c>
      <c r="D9" s="150" t="s">
        <v>266</v>
      </c>
      <c r="E9" t="s">
        <v>267</v>
      </c>
      <c r="F9" t="s">
        <v>283</v>
      </c>
      <c r="G9" t="s">
        <v>284</v>
      </c>
      <c r="H9" t="s">
        <v>285</v>
      </c>
      <c r="J9" t="s">
        <v>286</v>
      </c>
      <c r="K9" t="s">
        <v>286</v>
      </c>
      <c r="L9" t="s">
        <v>287</v>
      </c>
      <c r="M9" s="204">
        <v>18</v>
      </c>
    </row>
    <row r="10" spans="1:13">
      <c r="A10" t="s">
        <v>288</v>
      </c>
      <c r="D10" s="150" t="s">
        <v>273</v>
      </c>
      <c r="E10" t="s">
        <v>289</v>
      </c>
      <c r="F10" t="s">
        <v>290</v>
      </c>
      <c r="H10" t="s">
        <v>291</v>
      </c>
      <c r="K10" t="s">
        <v>265</v>
      </c>
      <c r="L10" t="s">
        <v>279</v>
      </c>
      <c r="M10" s="204"/>
    </row>
    <row r="11" spans="1:13">
      <c r="F11" t="s">
        <v>292</v>
      </c>
      <c r="M11" s="204"/>
    </row>
    <row r="16" spans="1:13">
      <c r="A16" s="151"/>
    </row>
    <row r="17" spans="1:1">
      <c r="A17" s="151"/>
    </row>
  </sheetData>
  <mergeCells count="4">
    <mergeCell ref="A7:L7"/>
    <mergeCell ref="A1:L1"/>
    <mergeCell ref="M3:M6"/>
    <mergeCell ref="M9:M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FABB-DF5C-4F9E-B98F-F8DC866DADF5}">
  <sheetPr filterMode="1"/>
  <dimension ref="A1:DB518"/>
  <sheetViews>
    <sheetView showGridLines="0" tabSelected="1" workbookViewId="0">
      <pane xSplit="4" ySplit="1" topLeftCell="E2" activePane="bottomRight" state="frozen"/>
      <selection pane="bottomRight" activeCell="J1" sqref="J1"/>
      <selection pane="bottomLeft"/>
      <selection pane="topRight"/>
    </sheetView>
  </sheetViews>
  <sheetFormatPr defaultColWidth="9.140625" defaultRowHeight="15.75" customHeight="1"/>
  <cols>
    <col min="1" max="1" width="15.85546875" style="44" customWidth="1"/>
    <col min="2" max="2" width="17" style="75" customWidth="1"/>
    <col min="3" max="3" width="60.7109375" style="57" customWidth="1"/>
    <col min="4" max="4" width="15.28515625" style="53" customWidth="1"/>
    <col min="5" max="5" width="13.140625" style="78" customWidth="1"/>
    <col min="6" max="6" width="15.42578125" style="78" customWidth="1"/>
    <col min="7" max="8" width="16.28515625" style="44" customWidth="1"/>
    <col min="9" max="9" width="17.140625" style="153" customWidth="1"/>
    <col min="10" max="10" width="16.28515625" style="158" customWidth="1"/>
    <col min="11" max="11" width="14.85546875" style="44" customWidth="1"/>
    <col min="12" max="12" width="17" style="44" customWidth="1"/>
    <col min="13" max="13" width="44.85546875" style="84" hidden="1" customWidth="1"/>
    <col min="14" max="15" width="11.42578125" style="44" customWidth="1"/>
    <col min="16" max="16" width="11.42578125" style="53" customWidth="1"/>
    <col min="17" max="18" width="11.42578125" style="44" customWidth="1"/>
    <col min="19" max="19" width="13.140625" style="53" customWidth="1"/>
    <col min="20" max="20" width="13.28515625" style="44" customWidth="1"/>
    <col min="21" max="21" width="13.28515625" style="53" bestFit="1" customWidth="1"/>
    <col min="22" max="22" width="13.28515625" style="44" bestFit="1" customWidth="1"/>
    <col min="23" max="23" width="13.28515625" style="53" customWidth="1"/>
    <col min="24" max="25" width="13.28515625" style="44" bestFit="1" customWidth="1"/>
    <col min="26" max="26" width="13.28515625" style="53" bestFit="1" customWidth="1"/>
    <col min="27" max="27" width="11.28515625" style="53" bestFit="1" customWidth="1"/>
    <col min="28" max="28" width="11.28515625" style="44" bestFit="1" customWidth="1"/>
    <col min="29" max="30" width="11.28515625" style="44" customWidth="1"/>
    <col min="31" max="36" width="11.28515625" style="44" bestFit="1" customWidth="1"/>
    <col min="37" max="44" width="9.140625" style="44"/>
    <col min="45" max="16384" width="9.140625" style="51"/>
  </cols>
  <sheetData>
    <row r="1" spans="1:48" s="102" customFormat="1" ht="29.25">
      <c r="A1" s="209" t="s">
        <v>77</v>
      </c>
      <c r="B1" s="209" t="s">
        <v>78</v>
      </c>
      <c r="C1" s="209" t="s">
        <v>79</v>
      </c>
      <c r="D1" s="209" t="s">
        <v>22</v>
      </c>
      <c r="E1" s="209" t="s">
        <v>85</v>
      </c>
      <c r="F1" s="209" t="s">
        <v>293</v>
      </c>
      <c r="G1" s="210" t="s">
        <v>84</v>
      </c>
      <c r="H1" s="210" t="s">
        <v>87</v>
      </c>
      <c r="I1" s="269" t="s">
        <v>294</v>
      </c>
      <c r="J1" s="210" t="s">
        <v>295</v>
      </c>
      <c r="K1" s="211" t="s">
        <v>296</v>
      </c>
      <c r="L1" s="212" t="s">
        <v>233</v>
      </c>
      <c r="M1" s="213" t="s">
        <v>297</v>
      </c>
      <c r="N1" s="212">
        <v>46237</v>
      </c>
      <c r="O1" s="212">
        <v>46238</v>
      </c>
      <c r="P1" s="212">
        <v>46239</v>
      </c>
      <c r="Q1" s="212">
        <v>46240</v>
      </c>
      <c r="R1" s="214">
        <v>46241</v>
      </c>
      <c r="S1" s="212">
        <v>46244</v>
      </c>
      <c r="T1" s="212">
        <v>46245</v>
      </c>
      <c r="U1" s="212">
        <v>46246</v>
      </c>
      <c r="V1" s="212">
        <v>46247</v>
      </c>
      <c r="W1" s="212">
        <v>46248</v>
      </c>
      <c r="X1" s="214">
        <v>46251</v>
      </c>
      <c r="Y1" s="212">
        <v>46252</v>
      </c>
      <c r="Z1" s="212">
        <v>46253</v>
      </c>
      <c r="AA1" s="212">
        <v>46254</v>
      </c>
      <c r="AB1" s="212">
        <v>46255</v>
      </c>
      <c r="AC1" s="212">
        <v>46258</v>
      </c>
      <c r="AD1" s="212">
        <v>46259</v>
      </c>
      <c r="AE1" s="212">
        <v>46260</v>
      </c>
      <c r="AF1" s="212">
        <v>46261</v>
      </c>
      <c r="AG1" s="212">
        <v>46262</v>
      </c>
      <c r="AH1" s="212">
        <v>46263</v>
      </c>
      <c r="AI1" s="212">
        <v>46264</v>
      </c>
      <c r="AJ1" s="212">
        <v>46265</v>
      </c>
      <c r="AK1" s="159"/>
      <c r="AL1" s="159"/>
      <c r="AM1" s="159"/>
      <c r="AN1" s="159"/>
      <c r="AO1" s="159"/>
      <c r="AP1" s="159"/>
      <c r="AQ1" s="159"/>
      <c r="AR1" s="159"/>
      <c r="AS1" s="159"/>
      <c r="AT1" s="159"/>
      <c r="AU1" s="152"/>
      <c r="AV1" s="152"/>
    </row>
    <row r="2" spans="1:48" customFormat="1" ht="15.75" hidden="1" customHeight="1">
      <c r="A2" s="161" t="s">
        <v>93</v>
      </c>
      <c r="B2" s="161" t="s">
        <v>143</v>
      </c>
      <c r="C2" s="215" t="s">
        <v>144</v>
      </c>
      <c r="D2" s="216" t="s">
        <v>298</v>
      </c>
      <c r="E2" s="217">
        <v>45883</v>
      </c>
      <c r="F2" s="217">
        <v>45891</v>
      </c>
      <c r="G2" s="218">
        <v>20</v>
      </c>
      <c r="H2" s="219">
        <v>28</v>
      </c>
      <c r="I2" s="220">
        <f>SUM(N2:AB2)</f>
        <v>0</v>
      </c>
      <c r="J2" s="221">
        <f>IFERROR((H2+I2-G2)/G2,"")</f>
        <v>0.4</v>
      </c>
      <c r="K2" s="222">
        <v>6</v>
      </c>
      <c r="L2" s="221" t="str">
        <f>IF(OR(J2="",J2="Sin estimado"),"Sin estimación",IF(J2&gt;=30%,"Desviado","Normal"))</f>
        <v>Desviado</v>
      </c>
      <c r="M2" s="223"/>
      <c r="N2" s="224"/>
      <c r="O2" s="224"/>
      <c r="P2" s="224"/>
      <c r="Q2" s="224"/>
      <c r="R2" s="161"/>
      <c r="S2" s="161"/>
      <c r="T2" s="225"/>
      <c r="U2" s="226"/>
      <c r="V2" s="226"/>
      <c r="W2" s="226"/>
      <c r="X2" s="226"/>
      <c r="Y2" s="226"/>
      <c r="Z2" s="226"/>
      <c r="AA2" s="226"/>
      <c r="AB2" s="226"/>
      <c r="AC2" s="226"/>
      <c r="AD2" s="226"/>
      <c r="AE2" s="226"/>
      <c r="AF2" s="226"/>
      <c r="AG2" s="226"/>
      <c r="AH2" s="226"/>
      <c r="AI2" s="226"/>
      <c r="AJ2" s="226"/>
    </row>
    <row r="3" spans="1:48" customFormat="1" ht="15.75" hidden="1" customHeight="1">
      <c r="A3" s="161" t="s">
        <v>93</v>
      </c>
      <c r="B3" s="161" t="s">
        <v>122</v>
      </c>
      <c r="C3" s="215" t="s">
        <v>123</v>
      </c>
      <c r="D3" s="216" t="s">
        <v>298</v>
      </c>
      <c r="E3" s="217">
        <v>45880</v>
      </c>
      <c r="F3" s="217">
        <v>45888</v>
      </c>
      <c r="G3" s="218">
        <v>16</v>
      </c>
      <c r="H3" s="219">
        <v>23</v>
      </c>
      <c r="I3" s="220">
        <f>SUM(N3:AB3)</f>
        <v>0</v>
      </c>
      <c r="J3" s="221">
        <f t="shared" ref="J3:J66" si="0">IFERROR((H3+I3-G3)/G3,"")</f>
        <v>0.4375</v>
      </c>
      <c r="K3" s="222">
        <v>4</v>
      </c>
      <c r="L3" s="221" t="str">
        <f t="shared" ref="L3:L66" si="1">IF(OR(J3="",J3="Sin estimado"),"Sin estimación",IF(J3&gt;=30%,"Desviado","Normal"))</f>
        <v>Desviado</v>
      </c>
      <c r="M3" s="223"/>
      <c r="N3" s="224"/>
      <c r="O3" s="224"/>
      <c r="P3" s="224"/>
      <c r="Q3" s="224"/>
      <c r="R3" s="161"/>
      <c r="S3" s="161"/>
      <c r="T3" s="227"/>
      <c r="U3" s="226"/>
      <c r="V3" s="226"/>
      <c r="W3" s="226"/>
      <c r="X3" s="226"/>
      <c r="Y3" s="226"/>
      <c r="Z3" s="226"/>
      <c r="AA3" s="226"/>
      <c r="AB3" s="226"/>
      <c r="AC3" s="226"/>
      <c r="AD3" s="226"/>
      <c r="AE3" s="226"/>
      <c r="AF3" s="226"/>
      <c r="AG3" s="226"/>
      <c r="AH3" s="226"/>
      <c r="AI3" s="226"/>
      <c r="AJ3" s="226"/>
    </row>
    <row r="4" spans="1:48" customFormat="1" ht="15.75" hidden="1" customHeight="1">
      <c r="A4" s="224" t="s">
        <v>93</v>
      </c>
      <c r="B4" s="228" t="s">
        <v>159</v>
      </c>
      <c r="C4" s="215" t="s">
        <v>160</v>
      </c>
      <c r="D4" s="216" t="s">
        <v>298</v>
      </c>
      <c r="E4" s="217">
        <v>45957</v>
      </c>
      <c r="F4" s="217">
        <v>45954</v>
      </c>
      <c r="G4" s="218">
        <v>25</v>
      </c>
      <c r="H4" s="219">
        <v>32</v>
      </c>
      <c r="I4" s="220">
        <f>SUM(N4:AB4)</f>
        <v>0</v>
      </c>
      <c r="J4" s="221">
        <f t="shared" si="0"/>
        <v>0.28000000000000003</v>
      </c>
      <c r="K4" s="229">
        <v>2</v>
      </c>
      <c r="L4" s="221" t="str">
        <f t="shared" si="1"/>
        <v>Normal</v>
      </c>
      <c r="M4" s="223"/>
      <c r="N4" s="224"/>
      <c r="O4" s="224"/>
      <c r="P4" s="224"/>
      <c r="Q4" s="224"/>
      <c r="R4" s="161"/>
      <c r="S4" s="161"/>
      <c r="T4" s="226"/>
      <c r="U4" s="226"/>
      <c r="V4" s="226"/>
      <c r="W4" s="226"/>
      <c r="X4" s="226"/>
      <c r="Y4" s="226"/>
      <c r="Z4" s="226"/>
      <c r="AA4" s="226"/>
      <c r="AB4" s="226"/>
      <c r="AC4" s="226"/>
      <c r="AD4" s="226"/>
      <c r="AE4" s="226"/>
      <c r="AF4" s="226"/>
      <c r="AG4" s="226"/>
      <c r="AH4" s="226"/>
      <c r="AI4" s="226"/>
      <c r="AJ4" s="226"/>
    </row>
    <row r="5" spans="1:48" customFormat="1" ht="15.75" hidden="1" customHeight="1">
      <c r="A5" s="224" t="s">
        <v>93</v>
      </c>
      <c r="B5" s="228" t="s">
        <v>299</v>
      </c>
      <c r="C5" s="215" t="s">
        <v>300</v>
      </c>
      <c r="D5" s="216" t="s">
        <v>301</v>
      </c>
      <c r="E5" s="230">
        <v>46017</v>
      </c>
      <c r="F5" s="230">
        <v>46027</v>
      </c>
      <c r="G5" s="218">
        <f>(8*3)+5</f>
        <v>29</v>
      </c>
      <c r="H5" s="219">
        <v>38</v>
      </c>
      <c r="I5" s="220">
        <f>SUM(N5:AB5)</f>
        <v>0</v>
      </c>
      <c r="J5" s="221">
        <f t="shared" si="0"/>
        <v>0.31034482758620691</v>
      </c>
      <c r="K5" s="229">
        <v>1</v>
      </c>
      <c r="L5" s="221" t="str">
        <f t="shared" si="1"/>
        <v>Desviado</v>
      </c>
      <c r="M5" s="223"/>
      <c r="N5" s="224"/>
      <c r="O5" s="224"/>
      <c r="P5" s="224"/>
      <c r="Q5" s="224"/>
      <c r="R5" s="222"/>
      <c r="S5" s="222"/>
      <c r="T5" s="226"/>
      <c r="U5" s="226"/>
      <c r="V5" s="226"/>
      <c r="W5" s="226"/>
      <c r="X5" s="226"/>
      <c r="Y5" s="226"/>
      <c r="Z5" s="226"/>
      <c r="AA5" s="226"/>
      <c r="AB5" s="226"/>
      <c r="AC5" s="226"/>
      <c r="AD5" s="226"/>
      <c r="AE5" s="226"/>
      <c r="AF5" s="226"/>
      <c r="AG5" s="226"/>
      <c r="AH5" s="226"/>
      <c r="AI5" s="226"/>
      <c r="AJ5" s="226"/>
    </row>
    <row r="6" spans="1:48" customFormat="1" ht="15.75" hidden="1" customHeight="1">
      <c r="A6" s="224" t="s">
        <v>93</v>
      </c>
      <c r="B6" s="228" t="s">
        <v>302</v>
      </c>
      <c r="C6" s="215" t="s">
        <v>303</v>
      </c>
      <c r="D6" s="216" t="s">
        <v>304</v>
      </c>
      <c r="E6" s="230">
        <v>46014</v>
      </c>
      <c r="F6" s="230">
        <v>46014</v>
      </c>
      <c r="G6" s="218">
        <f>8*2</f>
        <v>16</v>
      </c>
      <c r="H6" s="219">
        <v>31</v>
      </c>
      <c r="I6" s="220">
        <f>SUM(N6:AB6)</f>
        <v>0</v>
      </c>
      <c r="J6" s="221">
        <f t="shared" si="0"/>
        <v>0.9375</v>
      </c>
      <c r="K6" s="229">
        <v>3</v>
      </c>
      <c r="L6" s="221" t="str">
        <f t="shared" si="1"/>
        <v>Desviado</v>
      </c>
      <c r="M6" s="223"/>
      <c r="N6" s="224"/>
      <c r="O6" s="224"/>
      <c r="P6" s="224"/>
      <c r="Q6" s="224"/>
      <c r="R6" s="222"/>
      <c r="S6" s="222"/>
      <c r="T6" s="226"/>
      <c r="U6" s="226"/>
      <c r="V6" s="226"/>
      <c r="W6" s="226"/>
      <c r="X6" s="226"/>
      <c r="Y6" s="226"/>
      <c r="Z6" s="226"/>
      <c r="AA6" s="226"/>
      <c r="AB6" s="226"/>
      <c r="AC6" s="226"/>
      <c r="AD6" s="226"/>
      <c r="AE6" s="226"/>
      <c r="AF6" s="226"/>
      <c r="AG6" s="226"/>
      <c r="AH6" s="226"/>
      <c r="AI6" s="226"/>
      <c r="AJ6" s="226"/>
    </row>
    <row r="7" spans="1:48" ht="15.75" hidden="1" customHeight="1">
      <c r="A7" s="224" t="s">
        <v>93</v>
      </c>
      <c r="B7" s="228" t="s">
        <v>305</v>
      </c>
      <c r="C7" s="215" t="s">
        <v>306</v>
      </c>
      <c r="D7" s="216" t="s">
        <v>307</v>
      </c>
      <c r="E7" s="230">
        <v>46036</v>
      </c>
      <c r="F7" s="230">
        <v>46036</v>
      </c>
      <c r="G7" s="218">
        <v>24</v>
      </c>
      <c r="H7" s="219">
        <v>34</v>
      </c>
      <c r="I7" s="220">
        <f>SUM(N7:AB7)</f>
        <v>0</v>
      </c>
      <c r="J7" s="221">
        <f t="shared" si="0"/>
        <v>0.41666666666666669</v>
      </c>
      <c r="K7" s="229">
        <v>2</v>
      </c>
      <c r="L7" s="221" t="str">
        <f t="shared" si="1"/>
        <v>Desviado</v>
      </c>
      <c r="M7" s="223"/>
      <c r="N7" s="224"/>
      <c r="O7" s="224"/>
      <c r="P7" s="224"/>
      <c r="Q7" s="224"/>
      <c r="R7" s="222"/>
      <c r="S7" s="222"/>
      <c r="T7" s="226"/>
      <c r="U7" s="225"/>
      <c r="V7" s="225"/>
      <c r="W7" s="225"/>
      <c r="X7" s="225"/>
      <c r="Y7" s="225"/>
      <c r="Z7" s="225"/>
      <c r="AA7" s="225"/>
      <c r="AB7" s="225"/>
      <c r="AC7" s="225"/>
      <c r="AD7" s="225"/>
      <c r="AE7" s="225"/>
      <c r="AF7" s="225"/>
      <c r="AG7" s="225"/>
      <c r="AH7" s="225"/>
      <c r="AI7" s="225"/>
      <c r="AJ7" s="225"/>
      <c r="AK7" s="51"/>
      <c r="AL7" s="51"/>
      <c r="AM7" s="51"/>
      <c r="AN7" s="51"/>
      <c r="AO7" s="51"/>
      <c r="AP7" s="51"/>
      <c r="AQ7" s="51"/>
      <c r="AR7" s="51"/>
    </row>
    <row r="8" spans="1:48" customFormat="1" ht="15.75" hidden="1" customHeight="1">
      <c r="A8" s="224" t="s">
        <v>93</v>
      </c>
      <c r="B8" s="228" t="s">
        <v>308</v>
      </c>
      <c r="C8" s="215" t="s">
        <v>309</v>
      </c>
      <c r="D8" s="216" t="s">
        <v>298</v>
      </c>
      <c r="E8" s="230">
        <v>46052</v>
      </c>
      <c r="F8" s="230">
        <v>46059</v>
      </c>
      <c r="G8" s="218">
        <v>16</v>
      </c>
      <c r="H8" s="219">
        <v>24</v>
      </c>
      <c r="I8" s="220">
        <f>SUM(N8:AB8)</f>
        <v>0</v>
      </c>
      <c r="J8" s="221">
        <f t="shared" si="0"/>
        <v>0.5</v>
      </c>
      <c r="K8" s="229">
        <v>1</v>
      </c>
      <c r="L8" s="221" t="str">
        <f t="shared" si="1"/>
        <v>Desviado</v>
      </c>
      <c r="M8" s="223"/>
      <c r="N8" s="224"/>
      <c r="O8" s="224"/>
      <c r="P8" s="224"/>
      <c r="Q8" s="224"/>
      <c r="R8" s="222"/>
      <c r="S8" s="222"/>
      <c r="T8" s="226"/>
      <c r="U8" s="226"/>
      <c r="V8" s="226"/>
      <c r="W8" s="226"/>
      <c r="X8" s="226"/>
      <c r="Y8" s="226"/>
      <c r="Z8" s="226"/>
      <c r="AA8" s="226"/>
      <c r="AB8" s="226"/>
      <c r="AC8" s="226"/>
      <c r="AD8" s="226"/>
      <c r="AE8" s="226"/>
      <c r="AF8" s="226"/>
      <c r="AG8" s="226"/>
      <c r="AH8" s="226"/>
      <c r="AI8" s="226"/>
      <c r="AJ8" s="226"/>
    </row>
    <row r="9" spans="1:48" customFormat="1" ht="15.75" hidden="1" customHeight="1">
      <c r="A9" s="161" t="s">
        <v>93</v>
      </c>
      <c r="B9" s="161" t="s">
        <v>310</v>
      </c>
      <c r="C9" s="215" t="s">
        <v>311</v>
      </c>
      <c r="D9" s="216" t="s">
        <v>298</v>
      </c>
      <c r="E9" s="217">
        <v>45848</v>
      </c>
      <c r="F9" s="217">
        <v>45903</v>
      </c>
      <c r="G9" s="218">
        <v>22</v>
      </c>
      <c r="H9" s="219">
        <v>6</v>
      </c>
      <c r="I9" s="220">
        <f>SUM(N9:AB9)</f>
        <v>0</v>
      </c>
      <c r="J9" s="221">
        <f t="shared" si="0"/>
        <v>-0.72727272727272729</v>
      </c>
      <c r="K9" s="222">
        <v>3</v>
      </c>
      <c r="L9" s="221" t="str">
        <f t="shared" si="1"/>
        <v>Normal</v>
      </c>
      <c r="M9" s="223"/>
      <c r="N9" s="224"/>
      <c r="O9" s="224"/>
      <c r="P9" s="224"/>
      <c r="Q9" s="224"/>
      <c r="R9" s="161"/>
      <c r="S9" s="161"/>
      <c r="T9" s="226"/>
      <c r="U9" s="226"/>
      <c r="V9" s="226"/>
      <c r="W9" s="226"/>
      <c r="X9" s="226"/>
      <c r="Y9" s="226"/>
      <c r="Z9" s="226"/>
      <c r="AA9" s="226"/>
      <c r="AB9" s="226"/>
      <c r="AC9" s="226"/>
      <c r="AD9" s="226"/>
      <c r="AE9" s="226"/>
      <c r="AF9" s="226"/>
      <c r="AG9" s="226"/>
      <c r="AH9" s="226"/>
      <c r="AI9" s="226"/>
      <c r="AJ9" s="226"/>
    </row>
    <row r="10" spans="1:48" customFormat="1" ht="15.75" hidden="1" customHeight="1">
      <c r="A10" s="224" t="s">
        <v>93</v>
      </c>
      <c r="B10" s="224" t="s">
        <v>146</v>
      </c>
      <c r="C10" s="215" t="s">
        <v>147</v>
      </c>
      <c r="D10" s="216" t="s">
        <v>298</v>
      </c>
      <c r="E10" s="217">
        <v>45939</v>
      </c>
      <c r="F10" s="217">
        <v>45939</v>
      </c>
      <c r="G10" s="218">
        <v>16</v>
      </c>
      <c r="H10" s="219">
        <v>20</v>
      </c>
      <c r="I10" s="220">
        <f>SUM(N10:AB10)</f>
        <v>0</v>
      </c>
      <c r="J10" s="221">
        <f t="shared" si="0"/>
        <v>0.25</v>
      </c>
      <c r="K10" s="229">
        <v>3</v>
      </c>
      <c r="L10" s="221" t="str">
        <f t="shared" si="1"/>
        <v>Normal</v>
      </c>
      <c r="M10" s="223"/>
      <c r="N10" s="224"/>
      <c r="O10" s="224"/>
      <c r="P10" s="224"/>
      <c r="Q10" s="224"/>
      <c r="R10" s="222"/>
      <c r="S10" s="222"/>
      <c r="T10" s="226"/>
      <c r="U10" s="226"/>
      <c r="V10" s="226"/>
      <c r="W10" s="226"/>
      <c r="X10" s="226"/>
      <c r="Y10" s="226"/>
      <c r="Z10" s="226"/>
      <c r="AA10" s="226"/>
      <c r="AB10" s="226"/>
      <c r="AC10" s="226"/>
      <c r="AD10" s="226"/>
      <c r="AE10" s="226"/>
      <c r="AF10" s="226"/>
      <c r="AG10" s="226"/>
      <c r="AH10" s="226"/>
      <c r="AI10" s="226"/>
      <c r="AJ10" s="226"/>
    </row>
    <row r="11" spans="1:48" customFormat="1" ht="15.75" hidden="1" customHeight="1">
      <c r="A11" s="161" t="s">
        <v>93</v>
      </c>
      <c r="B11" s="161" t="s">
        <v>94</v>
      </c>
      <c r="C11" s="215" t="s">
        <v>95</v>
      </c>
      <c r="D11" s="216" t="s">
        <v>298</v>
      </c>
      <c r="E11" s="217">
        <v>45835</v>
      </c>
      <c r="F11" s="217">
        <v>45866</v>
      </c>
      <c r="G11" s="218">
        <v>33</v>
      </c>
      <c r="H11" s="219">
        <v>8</v>
      </c>
      <c r="I11" s="220">
        <f>SUM(N11:AB11)</f>
        <v>0</v>
      </c>
      <c r="J11" s="221">
        <f t="shared" si="0"/>
        <v>-0.75757575757575757</v>
      </c>
      <c r="K11" s="222">
        <v>2</v>
      </c>
      <c r="L11" s="221" t="str">
        <f t="shared" si="1"/>
        <v>Normal</v>
      </c>
      <c r="M11" s="223"/>
      <c r="N11" s="224"/>
      <c r="O11" s="224"/>
      <c r="P11" s="224"/>
      <c r="Q11" s="224"/>
      <c r="R11" s="161"/>
      <c r="S11" s="161"/>
      <c r="T11" s="226"/>
      <c r="U11" s="226"/>
      <c r="V11" s="226"/>
      <c r="W11" s="226"/>
      <c r="X11" s="226"/>
      <c r="Y11" s="226"/>
      <c r="Z11" s="226"/>
      <c r="AA11" s="226"/>
      <c r="AB11" s="226"/>
      <c r="AC11" s="226"/>
      <c r="AD11" s="226"/>
      <c r="AE11" s="226"/>
      <c r="AF11" s="226"/>
      <c r="AG11" s="226"/>
      <c r="AH11" s="226"/>
      <c r="AI11" s="226"/>
      <c r="AJ11" s="226"/>
    </row>
    <row r="12" spans="1:48" customFormat="1" ht="15.75" hidden="1" customHeight="1">
      <c r="A12" s="161" t="s">
        <v>93</v>
      </c>
      <c r="B12" s="161" t="s">
        <v>100</v>
      </c>
      <c r="C12" s="215" t="s">
        <v>101</v>
      </c>
      <c r="D12" s="216" t="s">
        <v>298</v>
      </c>
      <c r="E12" s="217">
        <v>45854</v>
      </c>
      <c r="F12" s="231">
        <v>45860</v>
      </c>
      <c r="G12" s="218">
        <v>12</v>
      </c>
      <c r="H12" s="219">
        <v>1</v>
      </c>
      <c r="I12" s="220">
        <f>SUM(N12:AB12)</f>
        <v>0</v>
      </c>
      <c r="J12" s="221">
        <f t="shared" si="0"/>
        <v>-0.91666666666666663</v>
      </c>
      <c r="K12" s="222">
        <v>3</v>
      </c>
      <c r="L12" s="221" t="str">
        <f t="shared" si="1"/>
        <v>Normal</v>
      </c>
      <c r="M12" s="223"/>
      <c r="N12" s="224"/>
      <c r="O12" s="224"/>
      <c r="P12" s="224"/>
      <c r="Q12" s="224"/>
      <c r="R12" s="161"/>
      <c r="S12" s="161"/>
      <c r="T12" s="226"/>
      <c r="U12" s="226"/>
      <c r="V12" s="226"/>
      <c r="W12" s="226"/>
      <c r="X12" s="226"/>
      <c r="Y12" s="226"/>
      <c r="Z12" s="226"/>
      <c r="AA12" s="226"/>
      <c r="AB12" s="226"/>
      <c r="AC12" s="226"/>
      <c r="AD12" s="226"/>
      <c r="AE12" s="226"/>
      <c r="AF12" s="226"/>
      <c r="AG12" s="226"/>
      <c r="AH12" s="226"/>
      <c r="AI12" s="226"/>
      <c r="AJ12" s="226"/>
    </row>
    <row r="13" spans="1:48" ht="15.75" hidden="1" customHeight="1">
      <c r="A13" s="161" t="s">
        <v>93</v>
      </c>
      <c r="B13" s="161" t="s">
        <v>102</v>
      </c>
      <c r="C13" s="215" t="s">
        <v>103</v>
      </c>
      <c r="D13" s="216" t="s">
        <v>298</v>
      </c>
      <c r="E13" s="217">
        <v>45869</v>
      </c>
      <c r="F13" s="217">
        <v>45874</v>
      </c>
      <c r="G13" s="218">
        <v>8</v>
      </c>
      <c r="H13" s="219">
        <v>2</v>
      </c>
      <c r="I13" s="220">
        <f>SUM(N13:AB13)</f>
        <v>0</v>
      </c>
      <c r="J13" s="221">
        <f t="shared" si="0"/>
        <v>-0.75</v>
      </c>
      <c r="K13" s="222">
        <v>2</v>
      </c>
      <c r="L13" s="221" t="str">
        <f t="shared" si="1"/>
        <v>Normal</v>
      </c>
      <c r="M13" s="223"/>
      <c r="N13" s="224"/>
      <c r="O13" s="224"/>
      <c r="P13" s="224"/>
      <c r="Q13" s="224"/>
      <c r="R13" s="161"/>
      <c r="S13" s="161"/>
      <c r="T13" s="226"/>
      <c r="U13" s="225"/>
      <c r="V13" s="225"/>
      <c r="W13" s="225"/>
      <c r="X13" s="225"/>
      <c r="Y13" s="225"/>
      <c r="Z13" s="225"/>
      <c r="AA13" s="225"/>
      <c r="AB13" s="225"/>
      <c r="AC13" s="225"/>
      <c r="AD13" s="225"/>
      <c r="AE13" s="225"/>
      <c r="AF13" s="225"/>
      <c r="AG13" s="225"/>
      <c r="AH13" s="225"/>
      <c r="AI13" s="225"/>
      <c r="AJ13" s="225"/>
      <c r="AK13" s="51"/>
      <c r="AL13" s="51"/>
      <c r="AM13" s="51"/>
      <c r="AN13" s="51"/>
      <c r="AO13" s="51"/>
      <c r="AP13" s="51"/>
      <c r="AQ13" s="51"/>
      <c r="AR13" s="51"/>
    </row>
    <row r="14" spans="1:48" customFormat="1" ht="15.75" hidden="1" customHeight="1">
      <c r="A14" s="161" t="s">
        <v>93</v>
      </c>
      <c r="B14" s="161" t="s">
        <v>104</v>
      </c>
      <c r="C14" s="215" t="s">
        <v>105</v>
      </c>
      <c r="D14" s="216" t="s">
        <v>298</v>
      </c>
      <c r="E14" s="217">
        <v>45863</v>
      </c>
      <c r="F14" s="217">
        <v>45868</v>
      </c>
      <c r="G14" s="218">
        <v>16</v>
      </c>
      <c r="H14" s="219">
        <v>4</v>
      </c>
      <c r="I14" s="220">
        <f>SUM(N14:AB14)</f>
        <v>0</v>
      </c>
      <c r="J14" s="221">
        <f t="shared" si="0"/>
        <v>-0.75</v>
      </c>
      <c r="K14" s="222">
        <v>2</v>
      </c>
      <c r="L14" s="221" t="str">
        <f t="shared" si="1"/>
        <v>Normal</v>
      </c>
      <c r="M14" s="223"/>
      <c r="N14" s="224"/>
      <c r="O14" s="224"/>
      <c r="P14" s="224"/>
      <c r="Q14" s="224"/>
      <c r="R14" s="161"/>
      <c r="S14" s="161"/>
      <c r="T14" s="225"/>
      <c r="U14" s="226"/>
      <c r="V14" s="226"/>
      <c r="W14" s="226"/>
      <c r="X14" s="226"/>
      <c r="Y14" s="226"/>
      <c r="Z14" s="226"/>
      <c r="AA14" s="226"/>
      <c r="AB14" s="226"/>
      <c r="AC14" s="226"/>
      <c r="AD14" s="226"/>
      <c r="AE14" s="226"/>
      <c r="AF14" s="226"/>
      <c r="AG14" s="226"/>
      <c r="AH14" s="226"/>
      <c r="AI14" s="226"/>
      <c r="AJ14" s="226"/>
    </row>
    <row r="15" spans="1:48" ht="15.75" hidden="1" customHeight="1">
      <c r="A15" s="224" t="s">
        <v>93</v>
      </c>
      <c r="B15" s="224" t="s">
        <v>107</v>
      </c>
      <c r="C15" s="215" t="s">
        <v>108</v>
      </c>
      <c r="D15" s="216" t="s">
        <v>307</v>
      </c>
      <c r="E15" s="230">
        <v>45861</v>
      </c>
      <c r="F15" s="230">
        <v>45889</v>
      </c>
      <c r="G15" s="218">
        <v>16</v>
      </c>
      <c r="H15" s="219">
        <v>3</v>
      </c>
      <c r="I15" s="220">
        <f>SUM(N15:AB15)</f>
        <v>0</v>
      </c>
      <c r="J15" s="221">
        <f t="shared" si="0"/>
        <v>-0.8125</v>
      </c>
      <c r="K15" s="216">
        <v>1</v>
      </c>
      <c r="L15" s="221" t="str">
        <f t="shared" si="1"/>
        <v>Normal</v>
      </c>
      <c r="M15" s="223"/>
      <c r="N15" s="224"/>
      <c r="O15" s="224"/>
      <c r="P15" s="224"/>
      <c r="Q15" s="224"/>
      <c r="R15" s="224"/>
      <c r="S15" s="224"/>
      <c r="T15" s="226"/>
      <c r="U15" s="225"/>
      <c r="V15" s="225"/>
      <c r="W15" s="225"/>
      <c r="X15" s="225"/>
      <c r="Y15" s="225"/>
      <c r="Z15" s="225"/>
      <c r="AA15" s="225"/>
      <c r="AB15" s="225"/>
      <c r="AC15" s="225"/>
      <c r="AD15" s="225"/>
      <c r="AE15" s="225"/>
      <c r="AF15" s="225"/>
      <c r="AG15" s="225"/>
      <c r="AH15" s="225"/>
      <c r="AI15" s="225"/>
      <c r="AJ15" s="225"/>
      <c r="AK15" s="51"/>
      <c r="AL15" s="51"/>
      <c r="AM15" s="51"/>
      <c r="AN15" s="51"/>
      <c r="AO15" s="51"/>
      <c r="AP15" s="51"/>
      <c r="AQ15" s="51"/>
      <c r="AR15" s="51"/>
    </row>
    <row r="16" spans="1:48" s="39" customFormat="1" ht="15.75" hidden="1" customHeight="1">
      <c r="A16" s="161" t="s">
        <v>93</v>
      </c>
      <c r="B16" s="161" t="s">
        <v>111</v>
      </c>
      <c r="C16" s="215" t="s">
        <v>112</v>
      </c>
      <c r="D16" s="216" t="s">
        <v>298</v>
      </c>
      <c r="E16" s="217">
        <v>45875</v>
      </c>
      <c r="F16" s="217">
        <v>45877</v>
      </c>
      <c r="G16" s="218">
        <v>4</v>
      </c>
      <c r="H16" s="219">
        <v>5</v>
      </c>
      <c r="I16" s="220">
        <f>SUM(N16:AB16)</f>
        <v>0</v>
      </c>
      <c r="J16" s="221">
        <f t="shared" si="0"/>
        <v>0.25</v>
      </c>
      <c r="K16" s="222">
        <v>1</v>
      </c>
      <c r="L16" s="221" t="str">
        <f t="shared" si="1"/>
        <v>Normal</v>
      </c>
      <c r="M16" s="223"/>
      <c r="N16" s="224"/>
      <c r="O16" s="224"/>
      <c r="P16" s="224"/>
      <c r="Q16" s="224"/>
      <c r="R16" s="161"/>
      <c r="S16" s="161"/>
      <c r="T16" s="226"/>
      <c r="U16" s="227"/>
      <c r="V16" s="227"/>
      <c r="W16" s="227"/>
      <c r="X16" s="227"/>
      <c r="Y16" s="227"/>
      <c r="Z16" s="227"/>
      <c r="AA16" s="227"/>
      <c r="AB16" s="227"/>
      <c r="AC16" s="227"/>
      <c r="AD16" s="227"/>
      <c r="AE16" s="227"/>
      <c r="AF16" s="227"/>
      <c r="AG16" s="227"/>
      <c r="AH16" s="227"/>
      <c r="AI16" s="227"/>
      <c r="AJ16" s="227"/>
    </row>
    <row r="17" spans="1:44" customFormat="1" ht="15.75" hidden="1" customHeight="1">
      <c r="A17" s="161" t="s">
        <v>93</v>
      </c>
      <c r="B17" s="161" t="s">
        <v>114</v>
      </c>
      <c r="C17" s="215" t="s">
        <v>115</v>
      </c>
      <c r="D17" s="216" t="s">
        <v>298</v>
      </c>
      <c r="E17" s="217">
        <v>45883</v>
      </c>
      <c r="F17" s="217">
        <v>45889</v>
      </c>
      <c r="G17" s="218">
        <v>2</v>
      </c>
      <c r="H17" s="219">
        <v>2</v>
      </c>
      <c r="I17" s="220">
        <f>SUM(N17:AB17)</f>
        <v>0</v>
      </c>
      <c r="J17" s="221">
        <f t="shared" si="0"/>
        <v>0</v>
      </c>
      <c r="K17" s="222">
        <v>1</v>
      </c>
      <c r="L17" s="221" t="str">
        <f t="shared" si="1"/>
        <v>Normal</v>
      </c>
      <c r="M17" s="223"/>
      <c r="N17" s="224"/>
      <c r="O17" s="224"/>
      <c r="P17" s="224"/>
      <c r="Q17" s="224"/>
      <c r="R17" s="161"/>
      <c r="S17" s="161"/>
      <c r="T17" s="226"/>
      <c r="U17" s="226"/>
      <c r="V17" s="226"/>
      <c r="W17" s="226"/>
      <c r="X17" s="226"/>
      <c r="Y17" s="226"/>
      <c r="Z17" s="226"/>
      <c r="AA17" s="226"/>
      <c r="AB17" s="226"/>
      <c r="AC17" s="226"/>
      <c r="AD17" s="226"/>
      <c r="AE17" s="226"/>
      <c r="AF17" s="226"/>
      <c r="AG17" s="226"/>
      <c r="AH17" s="226"/>
      <c r="AI17" s="226"/>
      <c r="AJ17" s="226"/>
    </row>
    <row r="18" spans="1:44" customFormat="1" ht="15.75" hidden="1" customHeight="1">
      <c r="A18" s="224" t="s">
        <v>93</v>
      </c>
      <c r="B18" s="228" t="s">
        <v>312</v>
      </c>
      <c r="C18" s="215" t="s">
        <v>313</v>
      </c>
      <c r="D18" s="216" t="s">
        <v>298</v>
      </c>
      <c r="E18" s="217">
        <v>45985</v>
      </c>
      <c r="F18" s="217">
        <v>45986</v>
      </c>
      <c r="G18" s="218">
        <v>12</v>
      </c>
      <c r="H18" s="219">
        <v>14</v>
      </c>
      <c r="I18" s="220">
        <f>SUM(N18:AB18)</f>
        <v>0</v>
      </c>
      <c r="J18" s="221">
        <f t="shared" si="0"/>
        <v>0.16666666666666666</v>
      </c>
      <c r="K18" s="229">
        <v>2</v>
      </c>
      <c r="L18" s="221" t="str">
        <f t="shared" si="1"/>
        <v>Normal</v>
      </c>
      <c r="M18" s="223"/>
      <c r="N18" s="224"/>
      <c r="O18" s="224"/>
      <c r="P18" s="224"/>
      <c r="Q18" s="224"/>
      <c r="R18" s="222"/>
      <c r="S18" s="222"/>
      <c r="T18" s="226"/>
      <c r="U18" s="226"/>
      <c r="V18" s="226"/>
      <c r="W18" s="226"/>
      <c r="X18" s="226"/>
      <c r="Y18" s="226"/>
      <c r="Z18" s="226"/>
      <c r="AA18" s="226"/>
      <c r="AB18" s="226"/>
      <c r="AC18" s="226"/>
      <c r="AD18" s="226"/>
      <c r="AE18" s="226"/>
      <c r="AF18" s="226"/>
      <c r="AG18" s="226"/>
      <c r="AH18" s="226"/>
      <c r="AI18" s="226"/>
      <c r="AJ18" s="226"/>
    </row>
    <row r="19" spans="1:44" customFormat="1" ht="15.75" hidden="1" customHeight="1">
      <c r="A19" s="224" t="s">
        <v>93</v>
      </c>
      <c r="B19" s="224" t="s">
        <v>117</v>
      </c>
      <c r="C19" s="215" t="s">
        <v>118</v>
      </c>
      <c r="D19" s="216" t="s">
        <v>298</v>
      </c>
      <c r="E19" s="230">
        <v>45908</v>
      </c>
      <c r="F19" s="230">
        <v>45908</v>
      </c>
      <c r="G19" s="218">
        <v>16</v>
      </c>
      <c r="H19" s="219">
        <v>20</v>
      </c>
      <c r="I19" s="220">
        <f>SUM(N19:AB19)</f>
        <v>0</v>
      </c>
      <c r="J19" s="221">
        <f t="shared" si="0"/>
        <v>0.25</v>
      </c>
      <c r="K19" s="216">
        <v>3</v>
      </c>
      <c r="L19" s="221" t="str">
        <f t="shared" si="1"/>
        <v>Normal</v>
      </c>
      <c r="M19" s="223"/>
      <c r="N19" s="224"/>
      <c r="O19" s="224"/>
      <c r="P19" s="224"/>
      <c r="Q19" s="224"/>
      <c r="R19" s="224"/>
      <c r="S19" s="224"/>
      <c r="T19" s="226"/>
      <c r="U19" s="226"/>
      <c r="V19" s="226"/>
      <c r="W19" s="226"/>
      <c r="X19" s="226"/>
      <c r="Y19" s="226"/>
      <c r="Z19" s="226"/>
      <c r="AA19" s="226"/>
      <c r="AB19" s="226"/>
      <c r="AC19" s="226"/>
      <c r="AD19" s="226"/>
      <c r="AE19" s="226"/>
      <c r="AF19" s="226"/>
      <c r="AG19" s="226"/>
      <c r="AH19" s="226"/>
      <c r="AI19" s="226"/>
      <c r="AJ19" s="226"/>
    </row>
    <row r="20" spans="1:44" ht="15.75" hidden="1" customHeight="1">
      <c r="A20" s="161" t="s">
        <v>93</v>
      </c>
      <c r="B20" s="161" t="s">
        <v>120</v>
      </c>
      <c r="C20" s="215" t="s">
        <v>121</v>
      </c>
      <c r="D20" s="216" t="s">
        <v>298</v>
      </c>
      <c r="E20" s="217">
        <v>45875</v>
      </c>
      <c r="F20" s="217">
        <v>45882</v>
      </c>
      <c r="G20" s="218">
        <v>8</v>
      </c>
      <c r="H20" s="219">
        <v>10</v>
      </c>
      <c r="I20" s="220">
        <f>SUM(N20:AB20)</f>
        <v>0</v>
      </c>
      <c r="J20" s="221">
        <f t="shared" si="0"/>
        <v>0.25</v>
      </c>
      <c r="K20" s="222">
        <v>2</v>
      </c>
      <c r="L20" s="221" t="str">
        <f t="shared" si="1"/>
        <v>Normal</v>
      </c>
      <c r="M20" s="223"/>
      <c r="N20" s="224"/>
      <c r="O20" s="224"/>
      <c r="P20" s="224"/>
      <c r="Q20" s="224"/>
      <c r="R20" s="161"/>
      <c r="S20" s="161"/>
      <c r="T20" s="225"/>
      <c r="U20" s="225"/>
      <c r="V20" s="225"/>
      <c r="W20" s="225"/>
      <c r="X20" s="225"/>
      <c r="Y20" s="225"/>
      <c r="Z20" s="225"/>
      <c r="AA20" s="225"/>
      <c r="AB20" s="225"/>
      <c r="AC20" s="225"/>
      <c r="AD20" s="225"/>
      <c r="AE20" s="225"/>
      <c r="AF20" s="225"/>
      <c r="AG20" s="225"/>
      <c r="AH20" s="225"/>
      <c r="AI20" s="225"/>
      <c r="AJ20" s="225"/>
      <c r="AK20" s="51"/>
      <c r="AL20" s="51"/>
      <c r="AM20" s="51"/>
      <c r="AN20" s="51"/>
      <c r="AO20" s="51"/>
      <c r="AP20" s="51"/>
      <c r="AQ20" s="51"/>
      <c r="AR20" s="51"/>
    </row>
    <row r="21" spans="1:44" ht="15.75" hidden="1" customHeight="1">
      <c r="A21" s="224" t="s">
        <v>93</v>
      </c>
      <c r="B21" s="228" t="s">
        <v>314</v>
      </c>
      <c r="C21" s="215" t="s">
        <v>315</v>
      </c>
      <c r="D21" s="216" t="s">
        <v>141</v>
      </c>
      <c r="E21" s="217">
        <v>45975</v>
      </c>
      <c r="F21" s="217">
        <v>46044</v>
      </c>
      <c r="G21" s="218">
        <v>12</v>
      </c>
      <c r="H21" s="219">
        <v>15</v>
      </c>
      <c r="I21" s="220">
        <f>SUM(N21:AB21)</f>
        <v>0</v>
      </c>
      <c r="J21" s="221">
        <f t="shared" si="0"/>
        <v>0.25</v>
      </c>
      <c r="K21" s="229">
        <v>0</v>
      </c>
      <c r="L21" s="221" t="str">
        <f t="shared" si="1"/>
        <v>Normal</v>
      </c>
      <c r="M21" s="223"/>
      <c r="N21" s="224"/>
      <c r="O21" s="224"/>
      <c r="P21" s="224"/>
      <c r="Q21" s="224"/>
      <c r="R21" s="161"/>
      <c r="S21" s="161"/>
      <c r="T21" s="226"/>
      <c r="U21" s="225"/>
      <c r="V21" s="225"/>
      <c r="W21" s="225"/>
      <c r="X21" s="225"/>
      <c r="Y21" s="225"/>
      <c r="Z21" s="225"/>
      <c r="AA21" s="225"/>
      <c r="AB21" s="225"/>
      <c r="AC21" s="225"/>
      <c r="AD21" s="225"/>
      <c r="AE21" s="225"/>
      <c r="AF21" s="225"/>
      <c r="AG21" s="225"/>
      <c r="AH21" s="225"/>
      <c r="AI21" s="225"/>
      <c r="AJ21" s="225"/>
      <c r="AK21" s="51"/>
      <c r="AL21" s="51"/>
      <c r="AM21" s="51"/>
      <c r="AN21" s="51"/>
      <c r="AO21" s="51"/>
      <c r="AP21" s="51"/>
      <c r="AQ21" s="51"/>
      <c r="AR21" s="51"/>
    </row>
    <row r="22" spans="1:44" customFormat="1" ht="15.75" hidden="1" customHeight="1">
      <c r="A22" s="224" t="s">
        <v>93</v>
      </c>
      <c r="B22" s="224" t="s">
        <v>316</v>
      </c>
      <c r="C22" s="215" t="s">
        <v>317</v>
      </c>
      <c r="D22" s="216" t="s">
        <v>307</v>
      </c>
      <c r="E22" s="230">
        <v>45888</v>
      </c>
      <c r="F22" s="230">
        <v>45898</v>
      </c>
      <c r="G22" s="218">
        <v>34</v>
      </c>
      <c r="H22" s="219">
        <v>19</v>
      </c>
      <c r="I22" s="220">
        <f>SUM(N22:AB22)</f>
        <v>0</v>
      </c>
      <c r="J22" s="221">
        <f t="shared" si="0"/>
        <v>-0.44117647058823528</v>
      </c>
      <c r="K22" s="216">
        <v>0</v>
      </c>
      <c r="L22" s="221" t="str">
        <f t="shared" si="1"/>
        <v>Normal</v>
      </c>
      <c r="M22" s="223"/>
      <c r="N22" s="224"/>
      <c r="O22" s="224"/>
      <c r="P22" s="224"/>
      <c r="Q22" s="224"/>
      <c r="R22" s="224"/>
      <c r="S22" s="224"/>
      <c r="T22" s="226"/>
      <c r="U22" s="226"/>
      <c r="V22" s="226"/>
      <c r="W22" s="226"/>
      <c r="X22" s="226"/>
      <c r="Y22" s="226"/>
      <c r="Z22" s="226"/>
      <c r="AA22" s="226"/>
      <c r="AB22" s="226"/>
      <c r="AC22" s="226"/>
      <c r="AD22" s="226"/>
      <c r="AE22" s="226"/>
      <c r="AF22" s="226"/>
      <c r="AG22" s="226"/>
      <c r="AH22" s="226"/>
      <c r="AI22" s="226"/>
      <c r="AJ22" s="226"/>
    </row>
    <row r="23" spans="1:44" s="39" customFormat="1" ht="15.75" hidden="1" customHeight="1">
      <c r="A23" s="224" t="s">
        <v>93</v>
      </c>
      <c r="B23" s="224" t="s">
        <v>154</v>
      </c>
      <c r="C23" s="215" t="s">
        <v>155</v>
      </c>
      <c r="D23" s="216" t="s">
        <v>298</v>
      </c>
      <c r="E23" s="217">
        <v>45959</v>
      </c>
      <c r="F23" s="217">
        <v>45946</v>
      </c>
      <c r="G23" s="218">
        <v>8</v>
      </c>
      <c r="H23" s="219">
        <v>10</v>
      </c>
      <c r="I23" s="220">
        <f>SUM(N23:AB23)</f>
        <v>0</v>
      </c>
      <c r="J23" s="221">
        <f t="shared" si="0"/>
        <v>0.25</v>
      </c>
      <c r="K23" s="229">
        <v>5</v>
      </c>
      <c r="L23" s="221" t="str">
        <f t="shared" si="1"/>
        <v>Normal</v>
      </c>
      <c r="M23" s="223"/>
      <c r="N23" s="216"/>
      <c r="O23" s="216"/>
      <c r="P23" s="216"/>
      <c r="Q23" s="216"/>
      <c r="R23" s="222"/>
      <c r="S23" s="222"/>
      <c r="T23" s="226"/>
      <c r="U23" s="227"/>
      <c r="V23" s="227"/>
      <c r="W23" s="227"/>
      <c r="X23" s="227"/>
      <c r="Y23" s="227"/>
      <c r="Z23" s="227"/>
      <c r="AA23" s="227"/>
      <c r="AB23" s="227"/>
      <c r="AC23" s="227"/>
      <c r="AD23" s="227"/>
      <c r="AE23" s="227"/>
      <c r="AF23" s="227"/>
      <c r="AG23" s="227"/>
      <c r="AH23" s="227"/>
      <c r="AI23" s="227"/>
      <c r="AJ23" s="227"/>
    </row>
    <row r="24" spans="1:44" ht="15.75" hidden="1" customHeight="1">
      <c r="A24" s="161" t="s">
        <v>93</v>
      </c>
      <c r="B24" s="161" t="s">
        <v>124</v>
      </c>
      <c r="C24" s="215" t="s">
        <v>125</v>
      </c>
      <c r="D24" s="216" t="s">
        <v>298</v>
      </c>
      <c r="E24" s="217">
        <v>45918</v>
      </c>
      <c r="F24" s="217">
        <v>45918</v>
      </c>
      <c r="G24" s="218">
        <v>28</v>
      </c>
      <c r="H24" s="219">
        <v>36</v>
      </c>
      <c r="I24" s="220">
        <f>SUM(N24:AB24)</f>
        <v>0</v>
      </c>
      <c r="J24" s="221">
        <f t="shared" si="0"/>
        <v>0.2857142857142857</v>
      </c>
      <c r="K24" s="222">
        <v>3</v>
      </c>
      <c r="L24" s="221" t="str">
        <f t="shared" si="1"/>
        <v>Normal</v>
      </c>
      <c r="M24" s="223"/>
      <c r="N24" s="224"/>
      <c r="O24" s="224"/>
      <c r="P24" s="224"/>
      <c r="Q24" s="224"/>
      <c r="R24" s="222"/>
      <c r="S24" s="222"/>
      <c r="T24" s="226"/>
      <c r="U24" s="225"/>
      <c r="V24" s="225"/>
      <c r="W24" s="225"/>
      <c r="X24" s="225"/>
      <c r="Y24" s="225"/>
      <c r="Z24" s="225"/>
      <c r="AA24" s="225"/>
      <c r="AB24" s="225"/>
      <c r="AC24" s="225"/>
      <c r="AD24" s="225"/>
      <c r="AE24" s="225"/>
      <c r="AF24" s="225"/>
      <c r="AG24" s="225"/>
      <c r="AH24" s="225"/>
      <c r="AI24" s="225"/>
      <c r="AJ24" s="225"/>
      <c r="AK24" s="51"/>
      <c r="AL24" s="51"/>
      <c r="AM24" s="51"/>
      <c r="AN24" s="51"/>
      <c r="AO24" s="51"/>
      <c r="AP24" s="51"/>
      <c r="AQ24" s="51"/>
      <c r="AR24" s="51"/>
    </row>
    <row r="25" spans="1:44" customFormat="1" ht="15.75" hidden="1" customHeight="1">
      <c r="A25" s="161" t="s">
        <v>93</v>
      </c>
      <c r="B25" s="161" t="s">
        <v>126</v>
      </c>
      <c r="C25" s="215" t="s">
        <v>127</v>
      </c>
      <c r="D25" s="216" t="s">
        <v>298</v>
      </c>
      <c r="E25" s="217">
        <v>45929</v>
      </c>
      <c r="F25" s="217">
        <v>45930</v>
      </c>
      <c r="G25" s="218">
        <v>24</v>
      </c>
      <c r="H25" s="219">
        <v>31</v>
      </c>
      <c r="I25" s="220">
        <f>SUM(N25:AB25)</f>
        <v>0</v>
      </c>
      <c r="J25" s="221">
        <f t="shared" si="0"/>
        <v>0.29166666666666669</v>
      </c>
      <c r="K25" s="222">
        <v>2</v>
      </c>
      <c r="L25" s="221" t="str">
        <f t="shared" si="1"/>
        <v>Normal</v>
      </c>
      <c r="M25" s="223"/>
      <c r="N25" s="224"/>
      <c r="O25" s="224"/>
      <c r="P25" s="224"/>
      <c r="Q25" s="224"/>
      <c r="R25" s="161"/>
      <c r="S25" s="161"/>
      <c r="T25" s="225"/>
      <c r="U25" s="226"/>
      <c r="V25" s="226"/>
      <c r="W25" s="226"/>
      <c r="X25" s="226"/>
      <c r="Y25" s="226"/>
      <c r="Z25" s="226"/>
      <c r="AA25" s="226"/>
      <c r="AB25" s="226"/>
      <c r="AC25" s="226"/>
      <c r="AD25" s="226"/>
      <c r="AE25" s="226"/>
      <c r="AF25" s="226"/>
      <c r="AG25" s="226"/>
      <c r="AH25" s="226"/>
      <c r="AI25" s="226"/>
      <c r="AJ25" s="226"/>
    </row>
    <row r="26" spans="1:44" customFormat="1" ht="15.75" hidden="1" customHeight="1">
      <c r="A26" s="224" t="s">
        <v>93</v>
      </c>
      <c r="B26" s="224" t="s">
        <v>148</v>
      </c>
      <c r="C26" s="215" t="s">
        <v>149</v>
      </c>
      <c r="D26" s="216" t="s">
        <v>298</v>
      </c>
      <c r="E26" s="230">
        <v>45936</v>
      </c>
      <c r="F26" s="230">
        <v>45937</v>
      </c>
      <c r="G26" s="218">
        <v>4</v>
      </c>
      <c r="H26" s="219">
        <v>5</v>
      </c>
      <c r="I26" s="220">
        <f>SUM(N26:AB26)</f>
        <v>0</v>
      </c>
      <c r="J26" s="221">
        <f t="shared" si="0"/>
        <v>0.25</v>
      </c>
      <c r="K26" s="232">
        <v>1</v>
      </c>
      <c r="L26" s="221" t="str">
        <f t="shared" si="1"/>
        <v>Normal</v>
      </c>
      <c r="M26" s="223"/>
      <c r="N26" s="224"/>
      <c r="O26" s="224"/>
      <c r="P26" s="224"/>
      <c r="Q26" s="224"/>
      <c r="R26" s="224"/>
      <c r="S26" s="224"/>
      <c r="T26" s="225"/>
      <c r="U26" s="226"/>
      <c r="V26" s="226"/>
      <c r="W26" s="226"/>
      <c r="X26" s="226"/>
      <c r="Y26" s="226"/>
      <c r="Z26" s="226"/>
      <c r="AA26" s="226"/>
      <c r="AB26" s="226"/>
      <c r="AC26" s="226"/>
      <c r="AD26" s="226"/>
      <c r="AE26" s="226"/>
      <c r="AF26" s="226"/>
      <c r="AG26" s="226"/>
      <c r="AH26" s="226"/>
      <c r="AI26" s="226"/>
      <c r="AJ26" s="226"/>
    </row>
    <row r="27" spans="1:44" s="39" customFormat="1" ht="15.75" hidden="1" customHeight="1">
      <c r="A27" s="161" t="s">
        <v>93</v>
      </c>
      <c r="B27" s="161" t="s">
        <v>128</v>
      </c>
      <c r="C27" s="215" t="s">
        <v>129</v>
      </c>
      <c r="D27" s="216" t="s">
        <v>298</v>
      </c>
      <c r="E27" s="217">
        <v>45917</v>
      </c>
      <c r="F27" s="217">
        <v>45909</v>
      </c>
      <c r="G27" s="218">
        <v>8</v>
      </c>
      <c r="H27" s="219">
        <v>10</v>
      </c>
      <c r="I27" s="220">
        <f>SUM(N27:AB27)</f>
        <v>0</v>
      </c>
      <c r="J27" s="221">
        <f t="shared" si="0"/>
        <v>0.25</v>
      </c>
      <c r="K27" s="222">
        <v>3</v>
      </c>
      <c r="L27" s="221" t="str">
        <f t="shared" si="1"/>
        <v>Normal</v>
      </c>
      <c r="M27" s="223"/>
      <c r="N27" s="224"/>
      <c r="O27" s="224"/>
      <c r="P27" s="224"/>
      <c r="Q27" s="224"/>
      <c r="R27" s="161"/>
      <c r="S27" s="161"/>
      <c r="T27" s="226"/>
      <c r="U27" s="227"/>
      <c r="V27" s="227"/>
      <c r="W27" s="227"/>
      <c r="X27" s="227"/>
      <c r="Y27" s="227"/>
      <c r="Z27" s="227"/>
      <c r="AA27" s="227"/>
      <c r="AB27" s="227"/>
      <c r="AC27" s="227"/>
      <c r="AD27" s="227"/>
      <c r="AE27" s="227"/>
      <c r="AF27" s="227"/>
      <c r="AG27" s="227"/>
      <c r="AH27" s="227"/>
      <c r="AI27" s="227"/>
      <c r="AJ27" s="227"/>
    </row>
    <row r="28" spans="1:44" s="39" customFormat="1" ht="15.75" hidden="1" customHeight="1">
      <c r="A28" s="161" t="s">
        <v>93</v>
      </c>
      <c r="B28" s="161" t="s">
        <v>131</v>
      </c>
      <c r="C28" s="215" t="s">
        <v>132</v>
      </c>
      <c r="D28" s="216" t="s">
        <v>298</v>
      </c>
      <c r="E28" s="217">
        <v>45909</v>
      </c>
      <c r="F28" s="217">
        <v>45909</v>
      </c>
      <c r="G28" s="218">
        <v>24</v>
      </c>
      <c r="H28" s="219">
        <v>27</v>
      </c>
      <c r="I28" s="220">
        <f>SUM(N28:AB28)</f>
        <v>0</v>
      </c>
      <c r="J28" s="221">
        <f t="shared" si="0"/>
        <v>0.125</v>
      </c>
      <c r="K28" s="222">
        <v>7</v>
      </c>
      <c r="L28" s="221" t="str">
        <f t="shared" si="1"/>
        <v>Normal</v>
      </c>
      <c r="M28" s="223"/>
      <c r="N28" s="224"/>
      <c r="O28" s="224"/>
      <c r="P28" s="224"/>
      <c r="Q28" s="224"/>
      <c r="R28" s="161"/>
      <c r="S28" s="161"/>
      <c r="T28" s="227"/>
      <c r="U28" s="227"/>
      <c r="V28" s="227"/>
      <c r="W28" s="227"/>
      <c r="X28" s="227"/>
      <c r="Y28" s="227"/>
      <c r="Z28" s="227"/>
      <c r="AA28" s="227"/>
      <c r="AB28" s="227"/>
      <c r="AC28" s="227"/>
      <c r="AD28" s="227"/>
      <c r="AE28" s="227"/>
      <c r="AF28" s="227"/>
      <c r="AG28" s="227"/>
      <c r="AH28" s="227"/>
      <c r="AI28" s="227"/>
      <c r="AJ28" s="227"/>
    </row>
    <row r="29" spans="1:44" customFormat="1" ht="15.75" hidden="1" customHeight="1">
      <c r="A29" s="161" t="s">
        <v>93</v>
      </c>
      <c r="B29" s="161" t="s">
        <v>133</v>
      </c>
      <c r="C29" s="215" t="s">
        <v>134</v>
      </c>
      <c r="D29" s="216" t="s">
        <v>298</v>
      </c>
      <c r="E29" s="217">
        <v>45917</v>
      </c>
      <c r="F29" s="217">
        <v>45911</v>
      </c>
      <c r="G29" s="218">
        <v>20</v>
      </c>
      <c r="H29" s="219">
        <v>26</v>
      </c>
      <c r="I29" s="220">
        <f>SUM(N29:AB29)</f>
        <v>0</v>
      </c>
      <c r="J29" s="221">
        <f t="shared" si="0"/>
        <v>0.3</v>
      </c>
      <c r="K29" s="222">
        <v>2</v>
      </c>
      <c r="L29" s="221" t="str">
        <f t="shared" si="1"/>
        <v>Desviado</v>
      </c>
      <c r="M29" s="223"/>
      <c r="N29" s="224"/>
      <c r="O29" s="224"/>
      <c r="P29" s="224"/>
      <c r="Q29" s="224"/>
      <c r="R29" s="161"/>
      <c r="S29" s="161"/>
      <c r="T29" s="225"/>
      <c r="U29" s="226"/>
      <c r="V29" s="226"/>
      <c r="W29" s="226"/>
      <c r="X29" s="226"/>
      <c r="Y29" s="226"/>
      <c r="Z29" s="226"/>
      <c r="AA29" s="226"/>
      <c r="AB29" s="226"/>
      <c r="AC29" s="226"/>
      <c r="AD29" s="226"/>
      <c r="AE29" s="226"/>
      <c r="AF29" s="226"/>
      <c r="AG29" s="226"/>
      <c r="AH29" s="226"/>
      <c r="AI29" s="226"/>
      <c r="AJ29" s="226"/>
    </row>
    <row r="30" spans="1:44" customFormat="1" ht="15.75" hidden="1" customHeight="1">
      <c r="A30" s="224" t="s">
        <v>93</v>
      </c>
      <c r="B30" s="228" t="s">
        <v>161</v>
      </c>
      <c r="C30" s="215" t="s">
        <v>162</v>
      </c>
      <c r="D30" s="216" t="s">
        <v>298</v>
      </c>
      <c r="E30" s="217">
        <v>45967</v>
      </c>
      <c r="F30" s="217">
        <v>45968</v>
      </c>
      <c r="G30" s="218">
        <v>24</v>
      </c>
      <c r="H30" s="219">
        <v>31</v>
      </c>
      <c r="I30" s="220">
        <f>SUM(N30:AB30)</f>
        <v>0</v>
      </c>
      <c r="J30" s="221">
        <f t="shared" si="0"/>
        <v>0.29166666666666669</v>
      </c>
      <c r="K30" s="229">
        <v>5</v>
      </c>
      <c r="L30" s="221" t="str">
        <f t="shared" si="1"/>
        <v>Normal</v>
      </c>
      <c r="M30" s="223"/>
      <c r="N30" s="224"/>
      <c r="O30" s="224"/>
      <c r="P30" s="224"/>
      <c r="Q30" s="224"/>
      <c r="R30" s="161"/>
      <c r="S30" s="161"/>
      <c r="T30" s="226"/>
      <c r="U30" s="226"/>
      <c r="V30" s="226"/>
      <c r="W30" s="226"/>
      <c r="X30" s="226"/>
      <c r="Y30" s="226"/>
      <c r="Z30" s="226"/>
      <c r="AA30" s="226"/>
      <c r="AB30" s="226"/>
      <c r="AC30" s="226"/>
      <c r="AD30" s="226"/>
      <c r="AE30" s="226"/>
      <c r="AF30" s="226"/>
      <c r="AG30" s="226"/>
      <c r="AH30" s="226"/>
      <c r="AI30" s="226"/>
      <c r="AJ30" s="226"/>
    </row>
    <row r="31" spans="1:44" customFormat="1" ht="15.75" hidden="1" customHeight="1">
      <c r="A31" s="224" t="s">
        <v>93</v>
      </c>
      <c r="B31" s="224" t="s">
        <v>135</v>
      </c>
      <c r="C31" s="215" t="s">
        <v>136</v>
      </c>
      <c r="D31" s="216" t="s">
        <v>298</v>
      </c>
      <c r="E31" s="230">
        <v>45923</v>
      </c>
      <c r="F31" s="230">
        <v>45923</v>
      </c>
      <c r="G31" s="218">
        <v>10</v>
      </c>
      <c r="H31" s="219">
        <v>13</v>
      </c>
      <c r="I31" s="220">
        <f>SUM(N31:AB31)</f>
        <v>0</v>
      </c>
      <c r="J31" s="221">
        <f t="shared" si="0"/>
        <v>0.3</v>
      </c>
      <c r="K31" s="216">
        <v>2</v>
      </c>
      <c r="L31" s="221" t="str">
        <f t="shared" si="1"/>
        <v>Desviado</v>
      </c>
      <c r="M31" s="223"/>
      <c r="N31" s="224"/>
      <c r="O31" s="224"/>
      <c r="P31" s="224"/>
      <c r="Q31" s="224"/>
      <c r="R31" s="224"/>
      <c r="S31" s="224"/>
      <c r="T31" s="226"/>
      <c r="U31" s="226"/>
      <c r="V31" s="226"/>
      <c r="W31" s="226"/>
      <c r="X31" s="226"/>
      <c r="Y31" s="226"/>
      <c r="Z31" s="226"/>
      <c r="AA31" s="226"/>
      <c r="AB31" s="226"/>
      <c r="AC31" s="226"/>
      <c r="AD31" s="226"/>
      <c r="AE31" s="226"/>
      <c r="AF31" s="226"/>
      <c r="AG31" s="226"/>
      <c r="AH31" s="226"/>
      <c r="AI31" s="226"/>
      <c r="AJ31" s="226"/>
    </row>
    <row r="32" spans="1:44" customFormat="1" ht="15.75" hidden="1" customHeight="1">
      <c r="A32" s="224" t="s">
        <v>93</v>
      </c>
      <c r="B32" s="224" t="s">
        <v>137</v>
      </c>
      <c r="C32" s="215" t="s">
        <v>138</v>
      </c>
      <c r="D32" s="216" t="s">
        <v>298</v>
      </c>
      <c r="E32" s="230">
        <v>45925</v>
      </c>
      <c r="F32" s="230">
        <v>45923</v>
      </c>
      <c r="G32" s="218">
        <v>11</v>
      </c>
      <c r="H32" s="219">
        <v>14</v>
      </c>
      <c r="I32" s="220">
        <f>SUM(N32:AB32)</f>
        <v>0</v>
      </c>
      <c r="J32" s="221">
        <f t="shared" si="0"/>
        <v>0.27272727272727271</v>
      </c>
      <c r="K32" s="216">
        <v>4</v>
      </c>
      <c r="L32" s="221" t="str">
        <f t="shared" si="1"/>
        <v>Normal</v>
      </c>
      <c r="M32" s="223"/>
      <c r="N32" s="224"/>
      <c r="O32" s="224"/>
      <c r="P32" s="224"/>
      <c r="Q32" s="224"/>
      <c r="R32" s="224"/>
      <c r="S32" s="224"/>
      <c r="T32" s="227"/>
      <c r="U32" s="226"/>
      <c r="V32" s="226"/>
      <c r="W32" s="226"/>
      <c r="X32" s="226"/>
      <c r="Y32" s="226"/>
      <c r="Z32" s="226"/>
      <c r="AA32" s="226"/>
      <c r="AB32" s="226"/>
      <c r="AC32" s="226"/>
      <c r="AD32" s="226"/>
      <c r="AE32" s="226"/>
      <c r="AF32" s="226"/>
      <c r="AG32" s="226"/>
      <c r="AH32" s="226"/>
      <c r="AI32" s="226"/>
      <c r="AJ32" s="226"/>
    </row>
    <row r="33" spans="1:36" customFormat="1" ht="15.75" hidden="1" customHeight="1">
      <c r="A33" s="224" t="s">
        <v>93</v>
      </c>
      <c r="B33" s="228" t="s">
        <v>318</v>
      </c>
      <c r="C33" s="215" t="s">
        <v>319</v>
      </c>
      <c r="D33" s="216" t="s">
        <v>298</v>
      </c>
      <c r="E33" s="217">
        <v>45960</v>
      </c>
      <c r="F33" s="217">
        <v>45961</v>
      </c>
      <c r="G33" s="218">
        <v>24</v>
      </c>
      <c r="H33" s="219">
        <v>31</v>
      </c>
      <c r="I33" s="220">
        <f>SUM(N33:AB33)</f>
        <v>0</v>
      </c>
      <c r="J33" s="221">
        <f t="shared" si="0"/>
        <v>0.29166666666666669</v>
      </c>
      <c r="K33" s="229">
        <v>5</v>
      </c>
      <c r="L33" s="221" t="str">
        <f t="shared" si="1"/>
        <v>Normal</v>
      </c>
      <c r="M33" s="223"/>
      <c r="N33" s="224"/>
      <c r="O33" s="224"/>
      <c r="P33" s="224"/>
      <c r="Q33" s="224"/>
      <c r="R33" s="161"/>
      <c r="S33" s="161"/>
      <c r="T33" s="227"/>
      <c r="U33" s="226"/>
      <c r="V33" s="226"/>
      <c r="W33" s="226"/>
      <c r="X33" s="226"/>
      <c r="Y33" s="226"/>
      <c r="Z33" s="226"/>
      <c r="AA33" s="226"/>
      <c r="AB33" s="226"/>
      <c r="AC33" s="226"/>
      <c r="AD33" s="226"/>
      <c r="AE33" s="226"/>
      <c r="AF33" s="226"/>
      <c r="AG33" s="226"/>
      <c r="AH33" s="226"/>
      <c r="AI33" s="226"/>
      <c r="AJ33" s="226"/>
    </row>
    <row r="34" spans="1:36" customFormat="1" ht="15.75" hidden="1" customHeight="1">
      <c r="A34" s="224" t="s">
        <v>93</v>
      </c>
      <c r="B34" s="224" t="s">
        <v>150</v>
      </c>
      <c r="C34" s="215" t="s">
        <v>151</v>
      </c>
      <c r="D34" s="216" t="s">
        <v>298</v>
      </c>
      <c r="E34" s="217">
        <v>45944</v>
      </c>
      <c r="F34" s="217">
        <v>45936</v>
      </c>
      <c r="G34" s="218">
        <v>24</v>
      </c>
      <c r="H34" s="219">
        <v>28</v>
      </c>
      <c r="I34" s="220">
        <f>SUM(N34:AB34)</f>
        <v>0</v>
      </c>
      <c r="J34" s="221">
        <f t="shared" si="0"/>
        <v>0.16666666666666666</v>
      </c>
      <c r="K34" s="229">
        <v>1</v>
      </c>
      <c r="L34" s="221" t="str">
        <f t="shared" si="1"/>
        <v>Normal</v>
      </c>
      <c r="M34" s="223"/>
      <c r="N34" s="224"/>
      <c r="O34" s="224"/>
      <c r="P34" s="224"/>
      <c r="Q34" s="224"/>
      <c r="R34" s="161"/>
      <c r="S34" s="161"/>
      <c r="T34" s="226"/>
      <c r="U34" s="226"/>
      <c r="V34" s="226"/>
      <c r="W34" s="226"/>
      <c r="X34" s="226"/>
      <c r="Y34" s="226"/>
      <c r="Z34" s="226"/>
      <c r="AA34" s="226"/>
      <c r="AB34" s="226"/>
      <c r="AC34" s="226"/>
      <c r="AD34" s="226"/>
      <c r="AE34" s="226"/>
      <c r="AF34" s="226"/>
      <c r="AG34" s="226"/>
      <c r="AH34" s="226"/>
      <c r="AI34" s="226"/>
      <c r="AJ34" s="226"/>
    </row>
    <row r="35" spans="1:36" customFormat="1" ht="15.75" hidden="1" customHeight="1">
      <c r="A35" s="224" t="s">
        <v>93</v>
      </c>
      <c r="B35" s="224" t="s">
        <v>152</v>
      </c>
      <c r="C35" s="233" t="s">
        <v>153</v>
      </c>
      <c r="D35" s="216" t="s">
        <v>298</v>
      </c>
      <c r="E35" s="217">
        <v>45936</v>
      </c>
      <c r="F35" s="217">
        <v>45933</v>
      </c>
      <c r="G35" s="218">
        <v>16</v>
      </c>
      <c r="H35" s="219">
        <v>20</v>
      </c>
      <c r="I35" s="220">
        <f>SUM(N35:AB35)</f>
        <v>0</v>
      </c>
      <c r="J35" s="221">
        <f t="shared" si="0"/>
        <v>0.25</v>
      </c>
      <c r="K35" s="229">
        <v>2</v>
      </c>
      <c r="L35" s="221" t="str">
        <f t="shared" si="1"/>
        <v>Normal</v>
      </c>
      <c r="M35" s="223"/>
      <c r="N35" s="224"/>
      <c r="O35" s="224"/>
      <c r="P35" s="224"/>
      <c r="Q35" s="224"/>
      <c r="R35" s="161"/>
      <c r="S35" s="161"/>
      <c r="T35" s="226"/>
      <c r="U35" s="226"/>
      <c r="V35" s="226"/>
      <c r="W35" s="226"/>
      <c r="X35" s="226"/>
      <c r="Y35" s="226"/>
      <c r="Z35" s="226"/>
      <c r="AA35" s="226"/>
      <c r="AB35" s="226"/>
      <c r="AC35" s="226"/>
      <c r="AD35" s="226"/>
      <c r="AE35" s="226"/>
      <c r="AF35" s="226"/>
      <c r="AG35" s="226"/>
      <c r="AH35" s="226"/>
      <c r="AI35" s="226"/>
      <c r="AJ35" s="226"/>
    </row>
    <row r="36" spans="1:36" customFormat="1" ht="15.75" hidden="1" customHeight="1">
      <c r="A36" s="224" t="s">
        <v>93</v>
      </c>
      <c r="B36" s="228" t="s">
        <v>320</v>
      </c>
      <c r="C36" s="215" t="s">
        <v>321</v>
      </c>
      <c r="D36" s="216" t="s">
        <v>307</v>
      </c>
      <c r="E36" s="217">
        <v>46079</v>
      </c>
      <c r="F36" s="217">
        <v>46079</v>
      </c>
      <c r="G36" s="218" t="s">
        <v>219</v>
      </c>
      <c r="H36" s="219">
        <v>8</v>
      </c>
      <c r="I36" s="220">
        <f>SUM(N36:AB36)</f>
        <v>0</v>
      </c>
      <c r="J36" s="221" t="str">
        <f t="shared" si="0"/>
        <v/>
      </c>
      <c r="K36" s="229">
        <v>0</v>
      </c>
      <c r="L36" s="221" t="str">
        <f t="shared" si="1"/>
        <v>Sin estimación</v>
      </c>
      <c r="M36" s="223"/>
      <c r="N36" s="224"/>
      <c r="O36" s="224"/>
      <c r="P36" s="224"/>
      <c r="Q36" s="161"/>
      <c r="R36" s="161"/>
      <c r="S36" s="161"/>
      <c r="T36" s="226"/>
      <c r="U36" s="226"/>
      <c r="V36" s="226"/>
      <c r="W36" s="226"/>
      <c r="X36" s="226"/>
      <c r="Y36" s="226"/>
      <c r="Z36" s="226"/>
      <c r="AA36" s="226"/>
      <c r="AB36" s="226"/>
      <c r="AC36" s="226"/>
      <c r="AD36" s="226"/>
      <c r="AE36" s="226"/>
      <c r="AF36" s="226"/>
      <c r="AG36" s="226"/>
      <c r="AH36" s="226"/>
      <c r="AI36" s="226"/>
      <c r="AJ36" s="226"/>
    </row>
    <row r="37" spans="1:36" customFormat="1" ht="15.75" hidden="1" customHeight="1">
      <c r="A37" s="224" t="s">
        <v>93</v>
      </c>
      <c r="B37" s="228" t="s">
        <v>322</v>
      </c>
      <c r="C37" s="215" t="s">
        <v>323</v>
      </c>
      <c r="D37" s="216" t="s">
        <v>298</v>
      </c>
      <c r="E37" s="217">
        <v>45971</v>
      </c>
      <c r="F37" s="217">
        <v>45968</v>
      </c>
      <c r="G37" s="218">
        <v>13</v>
      </c>
      <c r="H37" s="219">
        <v>16</v>
      </c>
      <c r="I37" s="220">
        <f>SUM(N37:AB37)</f>
        <v>0</v>
      </c>
      <c r="J37" s="221">
        <f t="shared" si="0"/>
        <v>0.23076923076923078</v>
      </c>
      <c r="K37" s="229">
        <v>2</v>
      </c>
      <c r="L37" s="221" t="str">
        <f t="shared" si="1"/>
        <v>Normal</v>
      </c>
      <c r="M37" s="223"/>
      <c r="N37" s="224"/>
      <c r="O37" s="224"/>
      <c r="P37" s="224"/>
      <c r="Q37" s="161"/>
      <c r="R37" s="161"/>
      <c r="S37" s="161"/>
      <c r="T37" s="226"/>
      <c r="U37" s="226"/>
      <c r="V37" s="226"/>
      <c r="W37" s="226"/>
      <c r="X37" s="226"/>
      <c r="Y37" s="226"/>
      <c r="Z37" s="226"/>
      <c r="AA37" s="226"/>
      <c r="AB37" s="226"/>
      <c r="AC37" s="226"/>
      <c r="AD37" s="226"/>
      <c r="AE37" s="226"/>
      <c r="AF37" s="226"/>
      <c r="AG37" s="226"/>
      <c r="AH37" s="226"/>
      <c r="AI37" s="226"/>
      <c r="AJ37" s="226"/>
    </row>
    <row r="38" spans="1:36" customFormat="1" ht="15.75" hidden="1" customHeight="1">
      <c r="A38" s="224" t="s">
        <v>93</v>
      </c>
      <c r="B38" s="228" t="s">
        <v>324</v>
      </c>
      <c r="C38" s="215" t="s">
        <v>325</v>
      </c>
      <c r="D38" s="216" t="s">
        <v>298</v>
      </c>
      <c r="E38" s="217">
        <v>45980</v>
      </c>
      <c r="F38" s="217">
        <v>45980</v>
      </c>
      <c r="G38" s="218">
        <v>24</v>
      </c>
      <c r="H38" s="219">
        <v>31</v>
      </c>
      <c r="I38" s="220">
        <f>SUM(N38:AB38)</f>
        <v>0</v>
      </c>
      <c r="J38" s="221">
        <f t="shared" si="0"/>
        <v>0.29166666666666669</v>
      </c>
      <c r="K38" s="229">
        <v>2</v>
      </c>
      <c r="L38" s="221" t="str">
        <f t="shared" si="1"/>
        <v>Normal</v>
      </c>
      <c r="M38" s="223"/>
      <c r="N38" s="224"/>
      <c r="O38" s="224"/>
      <c r="P38" s="224"/>
      <c r="Q38" s="224"/>
      <c r="R38" s="161"/>
      <c r="S38" s="161"/>
      <c r="T38" s="226"/>
      <c r="U38" s="226"/>
      <c r="V38" s="226"/>
      <c r="W38" s="226"/>
      <c r="X38" s="226"/>
      <c r="Y38" s="226"/>
      <c r="Z38" s="226"/>
      <c r="AA38" s="226"/>
      <c r="AB38" s="226"/>
      <c r="AC38" s="226"/>
      <c r="AD38" s="226"/>
      <c r="AE38" s="226"/>
      <c r="AF38" s="226"/>
      <c r="AG38" s="226"/>
      <c r="AH38" s="226"/>
      <c r="AI38" s="226"/>
      <c r="AJ38" s="226"/>
    </row>
    <row r="39" spans="1:36" customFormat="1" ht="15.75" hidden="1" customHeight="1">
      <c r="A39" s="224" t="s">
        <v>93</v>
      </c>
      <c r="B39" s="228" t="s">
        <v>326</v>
      </c>
      <c r="C39" s="215" t="s">
        <v>327</v>
      </c>
      <c r="D39" s="216" t="s">
        <v>298</v>
      </c>
      <c r="E39" s="217">
        <v>45974</v>
      </c>
      <c r="F39" s="217">
        <v>45973</v>
      </c>
      <c r="G39" s="218">
        <v>5</v>
      </c>
      <c r="H39" s="219">
        <v>6</v>
      </c>
      <c r="I39" s="220">
        <f>SUM(N39:AB39)</f>
        <v>0</v>
      </c>
      <c r="J39" s="221">
        <f t="shared" si="0"/>
        <v>0.2</v>
      </c>
      <c r="K39" s="229">
        <v>1</v>
      </c>
      <c r="L39" s="221" t="str">
        <f t="shared" si="1"/>
        <v>Normal</v>
      </c>
      <c r="M39" s="223"/>
      <c r="N39" s="224"/>
      <c r="O39" s="224"/>
      <c r="P39" s="224"/>
      <c r="Q39" s="224"/>
      <c r="R39" s="161"/>
      <c r="S39" s="161"/>
      <c r="T39" s="226"/>
      <c r="U39" s="226"/>
      <c r="V39" s="226"/>
      <c r="W39" s="226"/>
      <c r="X39" s="226"/>
      <c r="Y39" s="226"/>
      <c r="Z39" s="226"/>
      <c r="AA39" s="226"/>
      <c r="AB39" s="226"/>
      <c r="AC39" s="226"/>
      <c r="AD39" s="226"/>
      <c r="AE39" s="226"/>
      <c r="AF39" s="226"/>
      <c r="AG39" s="226"/>
      <c r="AH39" s="226"/>
      <c r="AI39" s="226"/>
      <c r="AJ39" s="226"/>
    </row>
    <row r="40" spans="1:36" customFormat="1" ht="15.75" hidden="1" customHeight="1">
      <c r="A40" s="224" t="s">
        <v>93</v>
      </c>
      <c r="B40" s="228" t="s">
        <v>328</v>
      </c>
      <c r="C40" s="215" t="s">
        <v>329</v>
      </c>
      <c r="D40" s="216" t="s">
        <v>298</v>
      </c>
      <c r="E40" s="217">
        <v>45988</v>
      </c>
      <c r="F40" s="217">
        <v>45988</v>
      </c>
      <c r="G40" s="218">
        <v>24</v>
      </c>
      <c r="H40" s="219">
        <v>31</v>
      </c>
      <c r="I40" s="220">
        <f>SUM(N40:AB40)</f>
        <v>0</v>
      </c>
      <c r="J40" s="221">
        <f t="shared" si="0"/>
        <v>0.29166666666666669</v>
      </c>
      <c r="K40" s="229">
        <v>4</v>
      </c>
      <c r="L40" s="221" t="str">
        <f t="shared" si="1"/>
        <v>Normal</v>
      </c>
      <c r="M40" s="223"/>
      <c r="N40" s="224"/>
      <c r="O40" s="224"/>
      <c r="P40" s="224"/>
      <c r="Q40" s="224"/>
      <c r="R40" s="222"/>
      <c r="S40" s="222"/>
      <c r="T40" s="226"/>
      <c r="U40" s="226"/>
      <c r="V40" s="226"/>
      <c r="W40" s="226"/>
      <c r="X40" s="226"/>
      <c r="Y40" s="226"/>
      <c r="Z40" s="226"/>
      <c r="AA40" s="226"/>
      <c r="AB40" s="226"/>
      <c r="AC40" s="226"/>
      <c r="AD40" s="226"/>
      <c r="AE40" s="226"/>
      <c r="AF40" s="226"/>
      <c r="AG40" s="226"/>
      <c r="AH40" s="226"/>
      <c r="AI40" s="226"/>
      <c r="AJ40" s="226"/>
    </row>
    <row r="41" spans="1:36" customFormat="1" ht="15.75" hidden="1" customHeight="1">
      <c r="A41" s="224" t="s">
        <v>93</v>
      </c>
      <c r="B41" s="228" t="s">
        <v>330</v>
      </c>
      <c r="C41" s="215" t="s">
        <v>331</v>
      </c>
      <c r="D41" s="216" t="s">
        <v>141</v>
      </c>
      <c r="E41" s="217">
        <v>45993</v>
      </c>
      <c r="F41" s="217">
        <v>45993</v>
      </c>
      <c r="G41" s="218">
        <v>24</v>
      </c>
      <c r="H41" s="219">
        <v>31</v>
      </c>
      <c r="I41" s="220">
        <f>SUM(N41:AB41)</f>
        <v>0</v>
      </c>
      <c r="J41" s="221">
        <f t="shared" si="0"/>
        <v>0.29166666666666669</v>
      </c>
      <c r="K41" s="229">
        <v>1</v>
      </c>
      <c r="L41" s="221" t="str">
        <f t="shared" si="1"/>
        <v>Normal</v>
      </c>
      <c r="M41" s="223"/>
      <c r="N41" s="224"/>
      <c r="O41" s="224"/>
      <c r="P41" s="224"/>
      <c r="Q41" s="224"/>
      <c r="R41" s="222"/>
      <c r="S41" s="222"/>
      <c r="T41" s="226"/>
      <c r="U41" s="226"/>
      <c r="V41" s="226"/>
      <c r="W41" s="226"/>
      <c r="X41" s="226"/>
      <c r="Y41" s="226"/>
      <c r="Z41" s="226"/>
      <c r="AA41" s="226"/>
      <c r="AB41" s="226"/>
      <c r="AC41" s="226"/>
      <c r="AD41" s="226"/>
      <c r="AE41" s="226"/>
      <c r="AF41" s="226"/>
      <c r="AG41" s="226"/>
      <c r="AH41" s="226"/>
      <c r="AI41" s="226"/>
      <c r="AJ41" s="226"/>
    </row>
    <row r="42" spans="1:36" customFormat="1" ht="15.75" hidden="1" customHeight="1">
      <c r="A42" s="224" t="s">
        <v>93</v>
      </c>
      <c r="B42" s="228" t="s">
        <v>332</v>
      </c>
      <c r="C42" s="215" t="s">
        <v>333</v>
      </c>
      <c r="D42" s="216" t="s">
        <v>334</v>
      </c>
      <c r="E42" s="217">
        <v>45995</v>
      </c>
      <c r="F42" s="217">
        <v>45995</v>
      </c>
      <c r="G42" s="218">
        <v>12</v>
      </c>
      <c r="H42" s="219">
        <v>15</v>
      </c>
      <c r="I42" s="220">
        <f>SUM(N42:AB42)</f>
        <v>0</v>
      </c>
      <c r="J42" s="221">
        <f t="shared" si="0"/>
        <v>0.25</v>
      </c>
      <c r="K42" s="229">
        <v>1</v>
      </c>
      <c r="L42" s="221" t="str">
        <f t="shared" si="1"/>
        <v>Normal</v>
      </c>
      <c r="M42" s="223"/>
      <c r="N42" s="224"/>
      <c r="O42" s="224"/>
      <c r="P42" s="224"/>
      <c r="Q42" s="224"/>
      <c r="R42" s="222"/>
      <c r="S42" s="222"/>
      <c r="T42" s="226"/>
      <c r="U42" s="226"/>
      <c r="V42" s="226"/>
      <c r="W42" s="226"/>
      <c r="X42" s="226"/>
      <c r="Y42" s="226"/>
      <c r="Z42" s="226"/>
      <c r="AA42" s="226"/>
      <c r="AB42" s="226"/>
      <c r="AC42" s="226"/>
      <c r="AD42" s="226"/>
      <c r="AE42" s="226"/>
      <c r="AF42" s="226"/>
      <c r="AG42" s="226"/>
      <c r="AH42" s="226"/>
      <c r="AI42" s="226"/>
      <c r="AJ42" s="226"/>
    </row>
    <row r="43" spans="1:36" customFormat="1" ht="15.75" hidden="1" customHeight="1">
      <c r="A43" s="224" t="s">
        <v>93</v>
      </c>
      <c r="B43" s="228" t="s">
        <v>335</v>
      </c>
      <c r="C43" s="215" t="s">
        <v>336</v>
      </c>
      <c r="D43" s="216" t="s">
        <v>334</v>
      </c>
      <c r="E43" s="217">
        <v>46000</v>
      </c>
      <c r="F43" s="217">
        <v>46000</v>
      </c>
      <c r="G43" s="218">
        <v>16</v>
      </c>
      <c r="H43" s="219">
        <v>19</v>
      </c>
      <c r="I43" s="220">
        <f>SUM(N43:AB43)</f>
        <v>0</v>
      </c>
      <c r="J43" s="221">
        <f t="shared" si="0"/>
        <v>0.1875</v>
      </c>
      <c r="K43" s="229">
        <v>1</v>
      </c>
      <c r="L43" s="221" t="str">
        <f t="shared" si="1"/>
        <v>Normal</v>
      </c>
      <c r="M43" s="223"/>
      <c r="N43" s="224"/>
      <c r="O43" s="224"/>
      <c r="P43" s="224"/>
      <c r="Q43" s="224"/>
      <c r="R43" s="222"/>
      <c r="S43" s="222"/>
      <c r="T43" s="226"/>
      <c r="U43" s="226"/>
      <c r="V43" s="226"/>
      <c r="W43" s="226"/>
      <c r="X43" s="226"/>
      <c r="Y43" s="226"/>
      <c r="Z43" s="226"/>
      <c r="AA43" s="226"/>
      <c r="AB43" s="226"/>
      <c r="AC43" s="226"/>
      <c r="AD43" s="226"/>
      <c r="AE43" s="226"/>
      <c r="AF43" s="226"/>
      <c r="AG43" s="226"/>
      <c r="AH43" s="226"/>
      <c r="AI43" s="226"/>
      <c r="AJ43" s="226"/>
    </row>
    <row r="44" spans="1:36" customFormat="1" ht="15.75" hidden="1" customHeight="1">
      <c r="A44" s="224" t="s">
        <v>93</v>
      </c>
      <c r="B44" s="228" t="s">
        <v>337</v>
      </c>
      <c r="C44" s="215" t="s">
        <v>338</v>
      </c>
      <c r="D44" s="216" t="s">
        <v>307</v>
      </c>
      <c r="E44" s="217">
        <v>46007</v>
      </c>
      <c r="F44" s="217">
        <v>46015</v>
      </c>
      <c r="G44" s="218">
        <v>20</v>
      </c>
      <c r="H44" s="219">
        <v>24</v>
      </c>
      <c r="I44" s="220">
        <f>SUM(N44:AB44)</f>
        <v>0</v>
      </c>
      <c r="J44" s="221">
        <f t="shared" si="0"/>
        <v>0.2</v>
      </c>
      <c r="K44" s="229">
        <v>3</v>
      </c>
      <c r="L44" s="221" t="str">
        <f t="shared" si="1"/>
        <v>Normal</v>
      </c>
      <c r="M44" s="223"/>
      <c r="N44" s="224"/>
      <c r="O44" s="224"/>
      <c r="P44" s="224"/>
      <c r="Q44" s="224"/>
      <c r="R44" s="222"/>
      <c r="S44" s="222"/>
      <c r="T44" s="226"/>
      <c r="U44" s="226"/>
      <c r="V44" s="226"/>
      <c r="W44" s="226"/>
      <c r="X44" s="226"/>
      <c r="Y44" s="226"/>
      <c r="Z44" s="226"/>
      <c r="AA44" s="226"/>
      <c r="AB44" s="226"/>
      <c r="AC44" s="226"/>
      <c r="AD44" s="226"/>
      <c r="AE44" s="226"/>
      <c r="AF44" s="226"/>
      <c r="AG44" s="226"/>
      <c r="AH44" s="226"/>
      <c r="AI44" s="226"/>
      <c r="AJ44" s="226"/>
    </row>
    <row r="45" spans="1:36" customFormat="1" ht="15.75" hidden="1" customHeight="1">
      <c r="A45" s="224" t="s">
        <v>93</v>
      </c>
      <c r="B45" s="228" t="s">
        <v>339</v>
      </c>
      <c r="C45" s="215" t="s">
        <v>340</v>
      </c>
      <c r="D45" s="216" t="s">
        <v>307</v>
      </c>
      <c r="E45" s="217">
        <v>46007</v>
      </c>
      <c r="F45" s="217">
        <v>46010</v>
      </c>
      <c r="G45" s="218" t="s">
        <v>219</v>
      </c>
      <c r="H45" s="219">
        <v>24</v>
      </c>
      <c r="I45" s="220">
        <f>SUM(N45:AB45)</f>
        <v>0</v>
      </c>
      <c r="J45" s="221" t="str">
        <f t="shared" si="0"/>
        <v/>
      </c>
      <c r="K45" s="229">
        <v>1</v>
      </c>
      <c r="L45" s="221" t="str">
        <f t="shared" si="1"/>
        <v>Sin estimación</v>
      </c>
      <c r="M45" s="223"/>
      <c r="N45" s="224"/>
      <c r="O45" s="224"/>
      <c r="P45" s="224"/>
      <c r="Q45" s="224"/>
      <c r="R45" s="222"/>
      <c r="S45" s="222"/>
      <c r="T45" s="226"/>
      <c r="U45" s="226"/>
      <c r="V45" s="226"/>
      <c r="W45" s="226"/>
      <c r="X45" s="226"/>
      <c r="Y45" s="226"/>
      <c r="Z45" s="226"/>
      <c r="AA45" s="226"/>
      <c r="AB45" s="226"/>
      <c r="AC45" s="226"/>
      <c r="AD45" s="226"/>
      <c r="AE45" s="226"/>
      <c r="AF45" s="226"/>
      <c r="AG45" s="226"/>
      <c r="AH45" s="226"/>
      <c r="AI45" s="226"/>
      <c r="AJ45" s="226"/>
    </row>
    <row r="46" spans="1:36" customFormat="1" ht="15.75" hidden="1" customHeight="1">
      <c r="A46" s="224" t="s">
        <v>93</v>
      </c>
      <c r="B46" s="228" t="s">
        <v>341</v>
      </c>
      <c r="C46" s="215" t="s">
        <v>342</v>
      </c>
      <c r="D46" s="216" t="s">
        <v>298</v>
      </c>
      <c r="E46" s="230">
        <v>46015</v>
      </c>
      <c r="F46" s="230">
        <v>46021</v>
      </c>
      <c r="G46" s="218">
        <v>16</v>
      </c>
      <c r="H46" s="219">
        <v>17</v>
      </c>
      <c r="I46" s="220">
        <f>SUM(N46:AB46)</f>
        <v>0</v>
      </c>
      <c r="J46" s="221">
        <f t="shared" si="0"/>
        <v>6.25E-2</v>
      </c>
      <c r="K46" s="229">
        <v>2</v>
      </c>
      <c r="L46" s="221" t="str">
        <f t="shared" si="1"/>
        <v>Normal</v>
      </c>
      <c r="M46" s="223"/>
      <c r="N46" s="224"/>
      <c r="O46" s="224"/>
      <c r="P46" s="224"/>
      <c r="Q46" s="224"/>
      <c r="R46" s="222"/>
      <c r="S46" s="222"/>
      <c r="T46" s="226"/>
      <c r="U46" s="226"/>
      <c r="V46" s="226"/>
      <c r="W46" s="226"/>
      <c r="X46" s="226"/>
      <c r="Y46" s="226"/>
      <c r="Z46" s="226"/>
      <c r="AA46" s="226"/>
      <c r="AB46" s="226"/>
      <c r="AC46" s="226"/>
      <c r="AD46" s="226"/>
      <c r="AE46" s="226"/>
      <c r="AF46" s="226"/>
      <c r="AG46" s="226"/>
      <c r="AH46" s="226"/>
      <c r="AI46" s="226"/>
      <c r="AJ46" s="226"/>
    </row>
    <row r="47" spans="1:36" customFormat="1" ht="15.75" hidden="1" customHeight="1">
      <c r="A47" s="161" t="s">
        <v>93</v>
      </c>
      <c r="B47" s="161" t="s">
        <v>343</v>
      </c>
      <c r="C47" s="215" t="s">
        <v>344</v>
      </c>
      <c r="D47" s="216" t="s">
        <v>298</v>
      </c>
      <c r="E47" s="217">
        <v>45798</v>
      </c>
      <c r="F47" s="217">
        <v>45825</v>
      </c>
      <c r="G47" s="218">
        <v>38</v>
      </c>
      <c r="H47" s="219">
        <v>9</v>
      </c>
      <c r="I47" s="220">
        <f>SUM(N47:AB47)</f>
        <v>0</v>
      </c>
      <c r="J47" s="221">
        <f t="shared" si="0"/>
        <v>-0.76315789473684215</v>
      </c>
      <c r="K47" s="161">
        <v>2</v>
      </c>
      <c r="L47" s="221" t="str">
        <f t="shared" si="1"/>
        <v>Normal</v>
      </c>
      <c r="M47" s="223"/>
      <c r="N47" s="224"/>
      <c r="O47" s="224"/>
      <c r="P47" s="224"/>
      <c r="Q47" s="224"/>
      <c r="R47" s="161"/>
      <c r="S47" s="161"/>
      <c r="T47" s="226"/>
      <c r="U47" s="226"/>
      <c r="V47" s="226"/>
      <c r="W47" s="226"/>
      <c r="X47" s="226"/>
      <c r="Y47" s="226"/>
      <c r="Z47" s="226"/>
      <c r="AA47" s="226"/>
      <c r="AB47" s="226"/>
      <c r="AC47" s="226"/>
      <c r="AD47" s="226"/>
      <c r="AE47" s="226"/>
      <c r="AF47" s="226"/>
      <c r="AG47" s="226"/>
      <c r="AH47" s="226"/>
      <c r="AI47" s="226"/>
      <c r="AJ47" s="226"/>
    </row>
    <row r="48" spans="1:36" customFormat="1" ht="15.75" hidden="1" customHeight="1">
      <c r="A48" s="224" t="s">
        <v>93</v>
      </c>
      <c r="B48" s="228" t="s">
        <v>156</v>
      </c>
      <c r="C48" s="215" t="s">
        <v>157</v>
      </c>
      <c r="D48" s="216" t="s">
        <v>298</v>
      </c>
      <c r="E48" s="217">
        <v>45960</v>
      </c>
      <c r="F48" s="217">
        <v>45952</v>
      </c>
      <c r="G48" s="218">
        <v>28</v>
      </c>
      <c r="H48" s="219">
        <v>35</v>
      </c>
      <c r="I48" s="220">
        <f>SUM(N48:AB48)</f>
        <v>0</v>
      </c>
      <c r="J48" s="221">
        <f t="shared" si="0"/>
        <v>0.25</v>
      </c>
      <c r="K48" s="229">
        <v>2</v>
      </c>
      <c r="L48" s="221" t="str">
        <f t="shared" si="1"/>
        <v>Normal</v>
      </c>
      <c r="M48" s="223"/>
      <c r="N48" s="216"/>
      <c r="O48" s="216"/>
      <c r="P48" s="216"/>
      <c r="Q48" s="216"/>
      <c r="R48" s="222"/>
      <c r="S48" s="222"/>
      <c r="T48" s="226"/>
      <c r="U48" s="226"/>
      <c r="V48" s="226"/>
      <c r="W48" s="226"/>
      <c r="X48" s="226"/>
      <c r="Y48" s="226"/>
      <c r="Z48" s="226"/>
      <c r="AA48" s="226"/>
      <c r="AB48" s="226"/>
      <c r="AC48" s="226"/>
      <c r="AD48" s="226"/>
      <c r="AE48" s="226"/>
      <c r="AF48" s="226"/>
      <c r="AG48" s="226"/>
      <c r="AH48" s="226"/>
      <c r="AI48" s="226"/>
      <c r="AJ48" s="226"/>
    </row>
    <row r="49" spans="1:66" customFormat="1" ht="15.75" hidden="1" customHeight="1">
      <c r="A49" s="224" t="s">
        <v>93</v>
      </c>
      <c r="B49" s="228" t="s">
        <v>345</v>
      </c>
      <c r="C49" s="215" t="s">
        <v>346</v>
      </c>
      <c r="D49" s="216" t="s">
        <v>298</v>
      </c>
      <c r="E49" s="230">
        <v>46041</v>
      </c>
      <c r="F49" s="230">
        <v>46042</v>
      </c>
      <c r="G49" s="218">
        <v>16</v>
      </c>
      <c r="H49" s="219">
        <v>20</v>
      </c>
      <c r="I49" s="220">
        <f>SUM(N49:AB49)</f>
        <v>0</v>
      </c>
      <c r="J49" s="221">
        <f t="shared" si="0"/>
        <v>0.25</v>
      </c>
      <c r="K49" s="229">
        <v>2</v>
      </c>
      <c r="L49" s="221" t="str">
        <f t="shared" si="1"/>
        <v>Normal</v>
      </c>
      <c r="M49" s="223"/>
      <c r="N49" s="224"/>
      <c r="O49" s="224"/>
      <c r="P49" s="224"/>
      <c r="Q49" s="224"/>
      <c r="R49" s="222"/>
      <c r="S49" s="222"/>
      <c r="T49" s="226"/>
      <c r="U49" s="226"/>
      <c r="V49" s="226"/>
      <c r="W49" s="226"/>
      <c r="X49" s="226"/>
      <c r="Y49" s="226"/>
      <c r="Z49" s="226"/>
      <c r="AA49" s="226"/>
      <c r="AB49" s="226"/>
      <c r="AC49" s="226"/>
      <c r="AD49" s="226"/>
      <c r="AE49" s="226"/>
      <c r="AF49" s="226"/>
      <c r="AG49" s="226"/>
      <c r="AH49" s="226"/>
      <c r="AI49" s="226"/>
      <c r="AJ49" s="226"/>
    </row>
    <row r="50" spans="1:66" customFormat="1" ht="15.75" hidden="1" customHeight="1">
      <c r="A50" s="224" t="s">
        <v>93</v>
      </c>
      <c r="B50" s="228" t="s">
        <v>347</v>
      </c>
      <c r="C50" s="215" t="s">
        <v>348</v>
      </c>
      <c r="D50" s="216" t="s">
        <v>298</v>
      </c>
      <c r="E50" s="230">
        <v>46037</v>
      </c>
      <c r="F50" s="230">
        <v>46037</v>
      </c>
      <c r="G50" s="218">
        <v>27</v>
      </c>
      <c r="H50" s="219">
        <v>34</v>
      </c>
      <c r="I50" s="220">
        <f>SUM(N50:AB50)</f>
        <v>0</v>
      </c>
      <c r="J50" s="221">
        <f t="shared" si="0"/>
        <v>0.25925925925925924</v>
      </c>
      <c r="K50" s="229">
        <v>3</v>
      </c>
      <c r="L50" s="221" t="str">
        <f t="shared" si="1"/>
        <v>Normal</v>
      </c>
      <c r="M50" s="223"/>
      <c r="N50" s="224"/>
      <c r="O50" s="224"/>
      <c r="P50" s="224"/>
      <c r="Q50" s="224"/>
      <c r="R50" s="222"/>
      <c r="S50" s="222"/>
      <c r="T50" s="226"/>
      <c r="U50" s="226"/>
      <c r="V50" s="226"/>
      <c r="W50" s="226"/>
      <c r="X50" s="226"/>
      <c r="Y50" s="226"/>
      <c r="Z50" s="226"/>
      <c r="AA50" s="226"/>
      <c r="AB50" s="226"/>
      <c r="AC50" s="226"/>
      <c r="AD50" s="226"/>
      <c r="AE50" s="226"/>
      <c r="AF50" s="226"/>
      <c r="AG50" s="226"/>
      <c r="AH50" s="226"/>
      <c r="AI50" s="226"/>
      <c r="AJ50" s="226"/>
    </row>
    <row r="51" spans="1:66" customFormat="1" ht="15.75" hidden="1" customHeight="1">
      <c r="A51" s="224" t="s">
        <v>93</v>
      </c>
      <c r="B51" s="228" t="s">
        <v>349</v>
      </c>
      <c r="C51" s="215" t="s">
        <v>350</v>
      </c>
      <c r="D51" s="216" t="s">
        <v>351</v>
      </c>
      <c r="E51" s="230">
        <v>46043</v>
      </c>
      <c r="F51" s="230">
        <v>46044</v>
      </c>
      <c r="G51" s="218">
        <v>10</v>
      </c>
      <c r="H51" s="219">
        <v>12</v>
      </c>
      <c r="I51" s="220">
        <f>SUM(N51:AB51)</f>
        <v>0</v>
      </c>
      <c r="J51" s="221">
        <f t="shared" si="0"/>
        <v>0.2</v>
      </c>
      <c r="K51" s="216">
        <v>0</v>
      </c>
      <c r="L51" s="221" t="str">
        <f t="shared" si="1"/>
        <v>Normal</v>
      </c>
      <c r="M51" s="223"/>
      <c r="N51" s="224"/>
      <c r="O51" s="224"/>
      <c r="P51" s="224"/>
      <c r="Q51" s="224"/>
      <c r="R51" s="222"/>
      <c r="S51" s="222"/>
      <c r="T51" s="226"/>
      <c r="U51" s="226"/>
      <c r="V51" s="226"/>
      <c r="W51" s="226"/>
      <c r="X51" s="226"/>
      <c r="Y51" s="226"/>
      <c r="Z51" s="226"/>
      <c r="AA51" s="226"/>
      <c r="AB51" s="226"/>
      <c r="AC51" s="226"/>
      <c r="AD51" s="226"/>
      <c r="AE51" s="226"/>
      <c r="AF51" s="226"/>
      <c r="AG51" s="226"/>
      <c r="AH51" s="226"/>
      <c r="AI51" s="226"/>
      <c r="AJ51" s="226"/>
    </row>
    <row r="52" spans="1:66" customFormat="1" ht="15.75" hidden="1" customHeight="1">
      <c r="A52" s="224" t="s">
        <v>93</v>
      </c>
      <c r="B52" s="228" t="s">
        <v>352</v>
      </c>
      <c r="C52" s="215" t="s">
        <v>353</v>
      </c>
      <c r="D52" s="216" t="s">
        <v>301</v>
      </c>
      <c r="E52" s="230" t="s">
        <v>219</v>
      </c>
      <c r="F52" s="230">
        <v>46050</v>
      </c>
      <c r="G52" s="230" t="s">
        <v>219</v>
      </c>
      <c r="H52" s="219">
        <v>24</v>
      </c>
      <c r="I52" s="220">
        <v>0</v>
      </c>
      <c r="J52" s="221" t="str">
        <f t="shared" si="0"/>
        <v/>
      </c>
      <c r="K52" s="229">
        <v>1</v>
      </c>
      <c r="L52" s="221" t="str">
        <f t="shared" si="1"/>
        <v>Sin estimación</v>
      </c>
      <c r="M52" s="223"/>
      <c r="N52" s="224"/>
      <c r="O52" s="224"/>
      <c r="P52" s="224"/>
      <c r="Q52" s="224"/>
      <c r="R52" s="222"/>
      <c r="S52" s="222"/>
      <c r="T52" s="226"/>
      <c r="U52" s="226"/>
      <c r="V52" s="226"/>
      <c r="W52" s="226"/>
      <c r="X52" s="226"/>
      <c r="Y52" s="226"/>
      <c r="Z52" s="226"/>
      <c r="AA52" s="226"/>
      <c r="AB52" s="226"/>
      <c r="AC52" s="226"/>
      <c r="AD52" s="226"/>
      <c r="AE52" s="226"/>
      <c r="AF52" s="226"/>
      <c r="AG52" s="226"/>
      <c r="AH52" s="226"/>
      <c r="AI52" s="226"/>
      <c r="AJ52" s="226"/>
    </row>
    <row r="53" spans="1:66" customFormat="1" ht="15.75" hidden="1" customHeight="1">
      <c r="A53" s="224" t="s">
        <v>93</v>
      </c>
      <c r="B53" s="228" t="s">
        <v>354</v>
      </c>
      <c r="C53" s="215" t="s">
        <v>355</v>
      </c>
      <c r="D53" s="216" t="s">
        <v>298</v>
      </c>
      <c r="E53" s="230">
        <v>46055</v>
      </c>
      <c r="F53" s="230">
        <v>46052</v>
      </c>
      <c r="G53" s="218">
        <v>10</v>
      </c>
      <c r="H53" s="219">
        <v>12</v>
      </c>
      <c r="I53" s="220">
        <f>SUM(N53:AB53)</f>
        <v>0</v>
      </c>
      <c r="J53" s="221">
        <f t="shared" si="0"/>
        <v>0.2</v>
      </c>
      <c r="K53" s="229">
        <v>2</v>
      </c>
      <c r="L53" s="221" t="str">
        <f t="shared" si="1"/>
        <v>Normal</v>
      </c>
      <c r="M53" s="223"/>
      <c r="N53" s="224"/>
      <c r="O53" s="224"/>
      <c r="P53" s="224"/>
      <c r="Q53" s="224"/>
      <c r="R53" s="222"/>
      <c r="S53" s="222"/>
      <c r="T53" s="226"/>
      <c r="U53" s="226"/>
      <c r="V53" s="226"/>
      <c r="W53" s="226"/>
      <c r="X53" s="226"/>
      <c r="Y53" s="226"/>
      <c r="Z53" s="226"/>
      <c r="AA53" s="226"/>
      <c r="AB53" s="226"/>
      <c r="AC53" s="226"/>
      <c r="AD53" s="226"/>
      <c r="AE53" s="226"/>
      <c r="AF53" s="226"/>
      <c r="AG53" s="226"/>
      <c r="AH53" s="226"/>
      <c r="AI53" s="226"/>
      <c r="AJ53" s="226"/>
    </row>
    <row r="54" spans="1:66" customFormat="1" ht="15.75" hidden="1" customHeight="1">
      <c r="A54" s="224" t="s">
        <v>93</v>
      </c>
      <c r="B54" s="228" t="s">
        <v>356</v>
      </c>
      <c r="C54" s="215" t="s">
        <v>357</v>
      </c>
      <c r="D54" s="216" t="s">
        <v>298</v>
      </c>
      <c r="E54" s="230">
        <v>46062</v>
      </c>
      <c r="F54" s="230">
        <v>46064</v>
      </c>
      <c r="G54" s="218">
        <v>24</v>
      </c>
      <c r="H54" s="219">
        <v>30</v>
      </c>
      <c r="I54" s="220">
        <f>SUM(N54:AB54)</f>
        <v>0</v>
      </c>
      <c r="J54" s="221">
        <f t="shared" si="0"/>
        <v>0.25</v>
      </c>
      <c r="K54" s="229">
        <v>2</v>
      </c>
      <c r="L54" s="221" t="str">
        <f t="shared" si="1"/>
        <v>Normal</v>
      </c>
      <c r="M54" s="223"/>
      <c r="N54" s="224"/>
      <c r="O54" s="224"/>
      <c r="P54" s="224"/>
      <c r="Q54" s="224"/>
      <c r="R54" s="222"/>
      <c r="S54" s="222"/>
      <c r="T54" s="226"/>
      <c r="U54" s="226"/>
      <c r="V54" s="226"/>
      <c r="W54" s="226"/>
      <c r="X54" s="226"/>
      <c r="Y54" s="226"/>
      <c r="Z54" s="226"/>
      <c r="AA54" s="226"/>
      <c r="AB54" s="226"/>
      <c r="AC54" s="226"/>
      <c r="AD54" s="226"/>
      <c r="AE54" s="226"/>
      <c r="AF54" s="226"/>
      <c r="AG54" s="226"/>
      <c r="AH54" s="226"/>
      <c r="AI54" s="226"/>
      <c r="AJ54" s="226"/>
    </row>
    <row r="55" spans="1:66" customFormat="1" ht="15.75" hidden="1" customHeight="1">
      <c r="A55" s="224" t="s">
        <v>93</v>
      </c>
      <c r="B55" s="228" t="s">
        <v>358</v>
      </c>
      <c r="C55" s="215" t="s">
        <v>359</v>
      </c>
      <c r="D55" s="216" t="s">
        <v>298</v>
      </c>
      <c r="E55" s="230">
        <v>46062</v>
      </c>
      <c r="F55" s="230">
        <v>46062</v>
      </c>
      <c r="G55" s="218">
        <v>10</v>
      </c>
      <c r="H55" s="219">
        <v>12</v>
      </c>
      <c r="I55" s="220">
        <f>SUM(N55:AB55)</f>
        <v>0</v>
      </c>
      <c r="J55" s="221">
        <f t="shared" si="0"/>
        <v>0.2</v>
      </c>
      <c r="K55" s="229">
        <v>2</v>
      </c>
      <c r="L55" s="221" t="str">
        <f t="shared" si="1"/>
        <v>Normal</v>
      </c>
      <c r="M55" s="223"/>
      <c r="N55" s="224"/>
      <c r="O55" s="224"/>
      <c r="P55" s="224"/>
      <c r="Q55" s="224"/>
      <c r="R55" s="222"/>
      <c r="S55" s="222"/>
      <c r="T55" s="226"/>
      <c r="U55" s="226"/>
      <c r="V55" s="226"/>
      <c r="W55" s="226"/>
      <c r="X55" s="226"/>
      <c r="Y55" s="226"/>
      <c r="Z55" s="226"/>
      <c r="AA55" s="226"/>
      <c r="AB55" s="226"/>
      <c r="AC55" s="226"/>
      <c r="AD55" s="226"/>
      <c r="AE55" s="226"/>
      <c r="AF55" s="226"/>
      <c r="AG55" s="226"/>
      <c r="AH55" s="226"/>
      <c r="AI55" s="226"/>
      <c r="AJ55" s="226"/>
    </row>
    <row r="56" spans="1:66" customFormat="1" ht="15.75" hidden="1" customHeight="1">
      <c r="A56" s="224" t="s">
        <v>93</v>
      </c>
      <c r="B56" s="224" t="s">
        <v>360</v>
      </c>
      <c r="C56" s="215" t="s">
        <v>361</v>
      </c>
      <c r="D56" s="216" t="s">
        <v>298</v>
      </c>
      <c r="E56" s="230" t="s">
        <v>219</v>
      </c>
      <c r="F56" s="217">
        <v>46078</v>
      </c>
      <c r="G56" s="230" t="s">
        <v>219</v>
      </c>
      <c r="H56" s="219">
        <v>80</v>
      </c>
      <c r="I56" s="220">
        <f>SUM(N56:AB56)</f>
        <v>0</v>
      </c>
      <c r="J56" s="221" t="str">
        <f t="shared" si="0"/>
        <v/>
      </c>
      <c r="K56" s="216">
        <v>1</v>
      </c>
      <c r="L56" s="221" t="str">
        <f t="shared" si="1"/>
        <v>Sin estimación</v>
      </c>
      <c r="M56" s="223"/>
      <c r="N56" s="224"/>
      <c r="O56" s="224"/>
      <c r="P56" s="224"/>
      <c r="Q56" s="224"/>
      <c r="R56" s="224"/>
      <c r="S56" s="216"/>
      <c r="T56" s="227"/>
      <c r="U56" s="227"/>
      <c r="V56" s="227"/>
      <c r="W56" s="227"/>
      <c r="X56" s="227"/>
      <c r="Y56" s="227"/>
      <c r="Z56" s="227"/>
      <c r="AA56" s="227"/>
      <c r="AB56" s="227"/>
      <c r="AC56" s="227"/>
      <c r="AD56" s="227"/>
      <c r="AE56" s="227"/>
      <c r="AF56" s="227"/>
      <c r="AG56" s="227"/>
      <c r="AH56" s="227"/>
      <c r="AI56" s="227"/>
      <c r="AJ56" s="227"/>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row>
    <row r="57" spans="1:66" customFormat="1" ht="15.75" hidden="1" customHeight="1">
      <c r="A57" s="224" t="s">
        <v>93</v>
      </c>
      <c r="B57" s="224" t="s">
        <v>362</v>
      </c>
      <c r="C57" s="215" t="s">
        <v>363</v>
      </c>
      <c r="D57" s="216" t="s">
        <v>298</v>
      </c>
      <c r="E57" s="217">
        <v>46079</v>
      </c>
      <c r="F57" s="217">
        <v>46079</v>
      </c>
      <c r="G57" s="218">
        <v>24</v>
      </c>
      <c r="H57" s="219">
        <v>30</v>
      </c>
      <c r="I57" s="220">
        <f>SUM(N57:AB57)</f>
        <v>0</v>
      </c>
      <c r="J57" s="221">
        <f t="shared" si="0"/>
        <v>0.25</v>
      </c>
      <c r="K57" s="216">
        <v>2</v>
      </c>
      <c r="L57" s="221" t="str">
        <f t="shared" si="1"/>
        <v>Normal</v>
      </c>
      <c r="M57" s="223"/>
      <c r="N57" s="224"/>
      <c r="O57" s="224"/>
      <c r="P57" s="224"/>
      <c r="Q57" s="224"/>
      <c r="R57" s="224"/>
      <c r="S57" s="216"/>
      <c r="T57" s="227"/>
      <c r="U57" s="227"/>
      <c r="V57" s="227"/>
      <c r="W57" s="227"/>
      <c r="X57" s="227"/>
      <c r="Y57" s="227"/>
      <c r="Z57" s="227"/>
      <c r="AA57" s="227"/>
      <c r="AB57" s="227"/>
      <c r="AC57" s="227"/>
      <c r="AD57" s="227"/>
      <c r="AE57" s="227"/>
      <c r="AF57" s="227"/>
      <c r="AG57" s="227"/>
      <c r="AH57" s="227"/>
      <c r="AI57" s="227"/>
      <c r="AJ57" s="227"/>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row>
    <row r="58" spans="1:66" customFormat="1" ht="15.75" hidden="1" customHeight="1">
      <c r="A58" s="224" t="s">
        <v>93</v>
      </c>
      <c r="B58" s="224" t="s">
        <v>364</v>
      </c>
      <c r="C58" s="215" t="s">
        <v>365</v>
      </c>
      <c r="D58" s="216" t="s">
        <v>298</v>
      </c>
      <c r="E58" s="217">
        <v>46083</v>
      </c>
      <c r="F58" s="217">
        <v>46080</v>
      </c>
      <c r="G58" s="218">
        <v>18</v>
      </c>
      <c r="H58" s="219">
        <v>19</v>
      </c>
      <c r="I58" s="220">
        <f>SUM(N58:AB58)</f>
        <v>0</v>
      </c>
      <c r="J58" s="221">
        <f t="shared" si="0"/>
        <v>5.5555555555555552E-2</v>
      </c>
      <c r="K58" s="216">
        <v>0</v>
      </c>
      <c r="L58" s="221" t="str">
        <f t="shared" si="1"/>
        <v>Normal</v>
      </c>
      <c r="M58" s="223"/>
      <c r="N58" s="224"/>
      <c r="O58" s="224"/>
      <c r="P58" s="224"/>
      <c r="Q58" s="224"/>
      <c r="R58" s="224"/>
      <c r="S58" s="216"/>
      <c r="T58" s="227"/>
      <c r="U58" s="227"/>
      <c r="V58" s="227"/>
      <c r="W58" s="227"/>
      <c r="X58" s="227"/>
      <c r="Y58" s="227"/>
      <c r="Z58" s="227"/>
      <c r="AA58" s="227"/>
      <c r="AB58" s="227"/>
      <c r="AC58" s="227"/>
      <c r="AD58" s="227"/>
      <c r="AE58" s="227"/>
      <c r="AF58" s="227"/>
      <c r="AG58" s="227"/>
      <c r="AH58" s="227"/>
      <c r="AI58" s="227"/>
      <c r="AJ58" s="227"/>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row>
    <row r="59" spans="1:66" customFormat="1" ht="15.75" hidden="1" customHeight="1">
      <c r="A59" s="224" t="s">
        <v>93</v>
      </c>
      <c r="B59" s="224" t="s">
        <v>366</v>
      </c>
      <c r="C59" s="215" t="s">
        <v>367</v>
      </c>
      <c r="D59" s="216" t="s">
        <v>298</v>
      </c>
      <c r="E59" s="230" t="s">
        <v>219</v>
      </c>
      <c r="F59" s="217">
        <v>46077</v>
      </c>
      <c r="G59" s="230" t="s">
        <v>219</v>
      </c>
      <c r="H59" s="219">
        <v>4</v>
      </c>
      <c r="I59" s="220">
        <f>SUM(N59:AB59)</f>
        <v>0</v>
      </c>
      <c r="J59" s="221" t="str">
        <f t="shared" si="0"/>
        <v/>
      </c>
      <c r="K59" s="216">
        <v>0</v>
      </c>
      <c r="L59" s="221" t="str">
        <f t="shared" si="1"/>
        <v>Sin estimación</v>
      </c>
      <c r="M59" s="223"/>
      <c r="N59" s="224"/>
      <c r="O59" s="224"/>
      <c r="P59" s="224"/>
      <c r="Q59" s="224"/>
      <c r="R59" s="224"/>
      <c r="S59" s="216"/>
      <c r="T59" s="227"/>
      <c r="U59" s="227"/>
      <c r="V59" s="227"/>
      <c r="W59" s="227"/>
      <c r="X59" s="227"/>
      <c r="Y59" s="227"/>
      <c r="Z59" s="227"/>
      <c r="AA59" s="227"/>
      <c r="AB59" s="227"/>
      <c r="AC59" s="227"/>
      <c r="AD59" s="227"/>
      <c r="AE59" s="227"/>
      <c r="AF59" s="227"/>
      <c r="AG59" s="227"/>
      <c r="AH59" s="227"/>
      <c r="AI59" s="227"/>
      <c r="AJ59" s="227"/>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row>
    <row r="60" spans="1:66" customFormat="1" ht="15.75" hidden="1" customHeight="1">
      <c r="A60" s="224" t="s">
        <v>93</v>
      </c>
      <c r="B60" s="224" t="s">
        <v>368</v>
      </c>
      <c r="C60" s="215" t="s">
        <v>369</v>
      </c>
      <c r="D60" s="216" t="s">
        <v>298</v>
      </c>
      <c r="E60" s="217">
        <v>46083</v>
      </c>
      <c r="F60" s="217">
        <v>46084</v>
      </c>
      <c r="G60" s="218">
        <v>12</v>
      </c>
      <c r="H60" s="219">
        <v>15</v>
      </c>
      <c r="I60" s="220">
        <f>SUM(N60:AB60)</f>
        <v>0</v>
      </c>
      <c r="J60" s="221">
        <f t="shared" si="0"/>
        <v>0.25</v>
      </c>
      <c r="K60" s="216">
        <v>2</v>
      </c>
      <c r="L60" s="221" t="str">
        <f t="shared" si="1"/>
        <v>Normal</v>
      </c>
      <c r="M60" s="223"/>
      <c r="N60" s="224"/>
      <c r="O60" s="224"/>
      <c r="P60" s="224"/>
      <c r="Q60" s="224"/>
      <c r="R60" s="224"/>
      <c r="S60" s="216"/>
      <c r="T60" s="222"/>
      <c r="U60" s="227"/>
      <c r="V60" s="227"/>
      <c r="W60" s="227"/>
      <c r="X60" s="227"/>
      <c r="Y60" s="227"/>
      <c r="Z60" s="227"/>
      <c r="AA60" s="227"/>
      <c r="AB60" s="227"/>
      <c r="AC60" s="227"/>
      <c r="AD60" s="227"/>
      <c r="AE60" s="227"/>
      <c r="AF60" s="227"/>
      <c r="AG60" s="227"/>
      <c r="AH60" s="227"/>
      <c r="AI60" s="227"/>
      <c r="AJ60" s="227"/>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row>
    <row r="61" spans="1:66" customFormat="1" ht="15.75" hidden="1" customHeight="1">
      <c r="A61" s="224" t="s">
        <v>93</v>
      </c>
      <c r="B61" s="224" t="s">
        <v>370</v>
      </c>
      <c r="C61" s="215" t="s">
        <v>371</v>
      </c>
      <c r="D61" s="216" t="s">
        <v>298</v>
      </c>
      <c r="E61" s="230">
        <v>46087</v>
      </c>
      <c r="F61" s="217">
        <v>46087</v>
      </c>
      <c r="G61" s="218">
        <v>8</v>
      </c>
      <c r="H61" s="219">
        <v>10</v>
      </c>
      <c r="I61" s="220">
        <f>SUM(N61:AB61)</f>
        <v>0</v>
      </c>
      <c r="J61" s="221">
        <f t="shared" si="0"/>
        <v>0.25</v>
      </c>
      <c r="K61" s="216">
        <v>5</v>
      </c>
      <c r="L61" s="221" t="str">
        <f t="shared" si="1"/>
        <v>Normal</v>
      </c>
      <c r="M61" s="223"/>
      <c r="N61" s="224"/>
      <c r="O61" s="224"/>
      <c r="P61" s="224"/>
      <c r="Q61" s="224"/>
      <c r="R61" s="224"/>
      <c r="S61" s="216"/>
      <c r="T61" s="222"/>
      <c r="U61" s="227"/>
      <c r="V61" s="227"/>
      <c r="W61" s="227"/>
      <c r="X61" s="227"/>
      <c r="Y61" s="227"/>
      <c r="Z61" s="227"/>
      <c r="AA61" s="227"/>
      <c r="AB61" s="227"/>
      <c r="AC61" s="227"/>
      <c r="AD61" s="227"/>
      <c r="AE61" s="227"/>
      <c r="AF61" s="227"/>
      <c r="AG61" s="227"/>
      <c r="AH61" s="227"/>
      <c r="AI61" s="227"/>
      <c r="AJ61" s="227"/>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row>
    <row r="62" spans="1:66" customFormat="1" ht="15.75" hidden="1" customHeight="1">
      <c r="A62" s="224" t="s">
        <v>93</v>
      </c>
      <c r="B62" s="224" t="s">
        <v>372</v>
      </c>
      <c r="C62" s="215" t="s">
        <v>373</v>
      </c>
      <c r="D62" s="216" t="s">
        <v>298</v>
      </c>
      <c r="E62" s="230">
        <v>46086</v>
      </c>
      <c r="F62" s="230">
        <v>46086</v>
      </c>
      <c r="G62" s="218">
        <v>12</v>
      </c>
      <c r="H62" s="219">
        <v>15</v>
      </c>
      <c r="I62" s="220">
        <f>SUM(N62:AB62)</f>
        <v>0</v>
      </c>
      <c r="J62" s="221">
        <f t="shared" si="0"/>
        <v>0.25</v>
      </c>
      <c r="K62" s="216">
        <v>1</v>
      </c>
      <c r="L62" s="221" t="str">
        <f t="shared" si="1"/>
        <v>Normal</v>
      </c>
      <c r="M62" s="223"/>
      <c r="N62" s="224"/>
      <c r="O62" s="224"/>
      <c r="P62" s="224"/>
      <c r="Q62" s="224"/>
      <c r="R62" s="224"/>
      <c r="S62" s="216"/>
      <c r="T62" s="222"/>
      <c r="U62" s="227"/>
      <c r="V62" s="227"/>
      <c r="W62" s="227"/>
      <c r="X62" s="227"/>
      <c r="Y62" s="227"/>
      <c r="Z62" s="227"/>
      <c r="AA62" s="227"/>
      <c r="AB62" s="227"/>
      <c r="AC62" s="227"/>
      <c r="AD62" s="227"/>
      <c r="AE62" s="227"/>
      <c r="AF62" s="227"/>
      <c r="AG62" s="227"/>
      <c r="AH62" s="227"/>
      <c r="AI62" s="227"/>
      <c r="AJ62" s="227"/>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row>
    <row r="63" spans="1:66" customFormat="1" ht="15.75" hidden="1" customHeight="1">
      <c r="A63" s="224" t="s">
        <v>93</v>
      </c>
      <c r="B63" s="224" t="s">
        <v>374</v>
      </c>
      <c r="C63" s="215" t="s">
        <v>375</v>
      </c>
      <c r="D63" s="216" t="s">
        <v>298</v>
      </c>
      <c r="E63" s="230">
        <v>46091</v>
      </c>
      <c r="F63" s="230">
        <v>46091</v>
      </c>
      <c r="G63" s="218">
        <v>8</v>
      </c>
      <c r="H63" s="219">
        <v>10</v>
      </c>
      <c r="I63" s="220">
        <f>SUM(N63:AB63)</f>
        <v>0</v>
      </c>
      <c r="J63" s="221">
        <f t="shared" si="0"/>
        <v>0.25</v>
      </c>
      <c r="K63" s="216">
        <v>1</v>
      </c>
      <c r="L63" s="221" t="str">
        <f t="shared" si="1"/>
        <v>Normal</v>
      </c>
      <c r="M63" s="223"/>
      <c r="N63" s="224"/>
      <c r="O63" s="224"/>
      <c r="P63" s="224"/>
      <c r="Q63" s="224"/>
      <c r="R63" s="224"/>
      <c r="S63" s="216"/>
      <c r="T63" s="222"/>
      <c r="U63" s="227"/>
      <c r="V63" s="227"/>
      <c r="W63" s="227"/>
      <c r="X63" s="227"/>
      <c r="Y63" s="227"/>
      <c r="Z63" s="227"/>
      <c r="AA63" s="227"/>
      <c r="AB63" s="227"/>
      <c r="AC63" s="227"/>
      <c r="AD63" s="227"/>
      <c r="AE63" s="227"/>
      <c r="AF63" s="227"/>
      <c r="AG63" s="227"/>
      <c r="AH63" s="227"/>
      <c r="AI63" s="227"/>
      <c r="AJ63" s="227"/>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row>
    <row r="64" spans="1:66" customFormat="1" ht="15.75" hidden="1" customHeight="1">
      <c r="A64" s="224" t="s">
        <v>93</v>
      </c>
      <c r="B64" s="224" t="s">
        <v>376</v>
      </c>
      <c r="C64" s="215" t="s">
        <v>377</v>
      </c>
      <c r="D64" s="216" t="s">
        <v>298</v>
      </c>
      <c r="E64" s="230">
        <v>46091</v>
      </c>
      <c r="F64" s="230">
        <v>46091</v>
      </c>
      <c r="G64" s="218">
        <v>8</v>
      </c>
      <c r="H64" s="219">
        <v>10</v>
      </c>
      <c r="I64" s="220">
        <f>SUM(N64:AB64)</f>
        <v>0</v>
      </c>
      <c r="J64" s="221">
        <f t="shared" si="0"/>
        <v>0.25</v>
      </c>
      <c r="K64" s="216">
        <v>2</v>
      </c>
      <c r="L64" s="221" t="str">
        <f t="shared" si="1"/>
        <v>Normal</v>
      </c>
      <c r="M64" s="223"/>
      <c r="N64" s="224"/>
      <c r="O64" s="224"/>
      <c r="P64" s="224"/>
      <c r="Q64" s="224"/>
      <c r="R64" s="216"/>
      <c r="S64" s="216"/>
      <c r="T64" s="222"/>
      <c r="U64" s="227"/>
      <c r="V64" s="227"/>
      <c r="W64" s="227"/>
      <c r="X64" s="227"/>
      <c r="Y64" s="227"/>
      <c r="Z64" s="227"/>
      <c r="AA64" s="227"/>
      <c r="AB64" s="227"/>
      <c r="AC64" s="227"/>
      <c r="AD64" s="227"/>
      <c r="AE64" s="227"/>
      <c r="AF64" s="227"/>
      <c r="AG64" s="227"/>
      <c r="AH64" s="227"/>
      <c r="AI64" s="227"/>
      <c r="AJ64" s="227"/>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row>
    <row r="65" spans="1:66" customFormat="1" ht="15.75" hidden="1" customHeight="1">
      <c r="A65" s="224" t="s">
        <v>93</v>
      </c>
      <c r="B65" s="224" t="s">
        <v>378</v>
      </c>
      <c r="C65" s="215" t="s">
        <v>379</v>
      </c>
      <c r="D65" s="216" t="s">
        <v>141</v>
      </c>
      <c r="E65" s="230">
        <v>46108</v>
      </c>
      <c r="F65" s="230">
        <v>46108</v>
      </c>
      <c r="G65" s="218">
        <v>16</v>
      </c>
      <c r="H65" s="219">
        <v>20</v>
      </c>
      <c r="I65" s="220">
        <f>SUM(N65:AB65)</f>
        <v>0</v>
      </c>
      <c r="J65" s="221">
        <f t="shared" si="0"/>
        <v>0.25</v>
      </c>
      <c r="K65" s="216">
        <v>0</v>
      </c>
      <c r="L65" s="221" t="str">
        <f t="shared" si="1"/>
        <v>Normal</v>
      </c>
      <c r="M65" s="223"/>
      <c r="N65" s="224"/>
      <c r="O65" s="224"/>
      <c r="P65" s="224"/>
      <c r="Q65" s="224"/>
      <c r="R65" s="224"/>
      <c r="S65" s="216"/>
      <c r="T65" s="222"/>
      <c r="U65" s="227"/>
      <c r="V65" s="227"/>
      <c r="W65" s="227"/>
      <c r="X65" s="227"/>
      <c r="Y65" s="227"/>
      <c r="Z65" s="227"/>
      <c r="AA65" s="227"/>
      <c r="AB65" s="227"/>
      <c r="AC65" s="227"/>
      <c r="AD65" s="227"/>
      <c r="AE65" s="227"/>
      <c r="AF65" s="227"/>
      <c r="AG65" s="227"/>
      <c r="AH65" s="227"/>
      <c r="AI65" s="227"/>
      <c r="AJ65" s="227"/>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row>
    <row r="66" spans="1:66" customFormat="1" ht="15.75" hidden="1" customHeight="1">
      <c r="A66" s="224" t="s">
        <v>93</v>
      </c>
      <c r="B66" s="224" t="s">
        <v>380</v>
      </c>
      <c r="C66" s="215" t="s">
        <v>381</v>
      </c>
      <c r="D66" s="216" t="s">
        <v>298</v>
      </c>
      <c r="E66" s="230">
        <v>46097</v>
      </c>
      <c r="F66" s="230">
        <v>46097</v>
      </c>
      <c r="G66" s="218">
        <v>14</v>
      </c>
      <c r="H66" s="219">
        <v>18</v>
      </c>
      <c r="I66" s="220">
        <f>SUM(N66:AB66)</f>
        <v>0</v>
      </c>
      <c r="J66" s="221">
        <f t="shared" si="0"/>
        <v>0.2857142857142857</v>
      </c>
      <c r="K66" s="216">
        <v>2</v>
      </c>
      <c r="L66" s="221" t="str">
        <f t="shared" si="1"/>
        <v>Normal</v>
      </c>
      <c r="M66" s="223"/>
      <c r="N66" s="224"/>
      <c r="O66" s="224"/>
      <c r="P66" s="224"/>
      <c r="Q66" s="224"/>
      <c r="R66" s="224"/>
      <c r="S66" s="216"/>
      <c r="T66" s="222"/>
      <c r="U66" s="227"/>
      <c r="V66" s="227"/>
      <c r="W66" s="227"/>
      <c r="X66" s="227"/>
      <c r="Y66" s="227"/>
      <c r="Z66" s="227"/>
      <c r="AA66" s="227"/>
      <c r="AB66" s="227"/>
      <c r="AC66" s="227"/>
      <c r="AD66" s="227"/>
      <c r="AE66" s="227"/>
      <c r="AF66" s="227"/>
      <c r="AG66" s="227"/>
      <c r="AH66" s="227"/>
      <c r="AI66" s="227"/>
      <c r="AJ66" s="227"/>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row>
    <row r="67" spans="1:66" customFormat="1" ht="15.75" hidden="1" customHeight="1">
      <c r="A67" s="224" t="s">
        <v>93</v>
      </c>
      <c r="B67" s="224" t="s">
        <v>382</v>
      </c>
      <c r="C67" s="215" t="s">
        <v>383</v>
      </c>
      <c r="D67" s="216" t="s">
        <v>301</v>
      </c>
      <c r="E67" s="230">
        <v>46107</v>
      </c>
      <c r="F67" s="230">
        <v>46108</v>
      </c>
      <c r="G67" s="218">
        <v>24</v>
      </c>
      <c r="H67" s="219">
        <v>31</v>
      </c>
      <c r="I67" s="220">
        <f>SUM(N67:AB67)</f>
        <v>0</v>
      </c>
      <c r="J67" s="221">
        <f t="shared" ref="J67:J130" si="2">IFERROR((H67+I67-G67)/G67,"")</f>
        <v>0.29166666666666669</v>
      </c>
      <c r="K67" s="216">
        <v>0</v>
      </c>
      <c r="L67" s="221" t="str">
        <f t="shared" ref="L67:L130" si="3">IF(OR(J67="",J67="Sin estimado"),"Sin estimación",IF(J67&gt;=30%,"Desviado","Normal"))</f>
        <v>Normal</v>
      </c>
      <c r="M67" s="223"/>
      <c r="N67" s="224"/>
      <c r="O67" s="224"/>
      <c r="P67" s="224"/>
      <c r="Q67" s="224"/>
      <c r="R67" s="224"/>
      <c r="S67" s="216"/>
      <c r="T67" s="161"/>
      <c r="U67" s="227"/>
      <c r="V67" s="227"/>
      <c r="W67" s="227"/>
      <c r="X67" s="227"/>
      <c r="Y67" s="227"/>
      <c r="Z67" s="227"/>
      <c r="AA67" s="227"/>
      <c r="AB67" s="227"/>
      <c r="AC67" s="227"/>
      <c r="AD67" s="227"/>
      <c r="AE67" s="227"/>
      <c r="AF67" s="227"/>
      <c r="AG67" s="227"/>
      <c r="AH67" s="227"/>
      <c r="AI67" s="227"/>
      <c r="AJ67" s="227"/>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row>
    <row r="68" spans="1:66" customFormat="1" ht="15.75" hidden="1" customHeight="1">
      <c r="A68" s="224" t="s">
        <v>93</v>
      </c>
      <c r="B68" s="224" t="s">
        <v>384</v>
      </c>
      <c r="C68" s="215" t="s">
        <v>385</v>
      </c>
      <c r="D68" s="216" t="s">
        <v>298</v>
      </c>
      <c r="E68" s="230">
        <v>46113</v>
      </c>
      <c r="F68" s="230">
        <v>46112</v>
      </c>
      <c r="G68" s="218">
        <v>24</v>
      </c>
      <c r="H68" s="219">
        <v>31</v>
      </c>
      <c r="I68" s="220">
        <f>SUM(N68:AB68)</f>
        <v>0</v>
      </c>
      <c r="J68" s="221">
        <f t="shared" si="2"/>
        <v>0.29166666666666669</v>
      </c>
      <c r="K68" s="216">
        <v>2</v>
      </c>
      <c r="L68" s="221" t="str">
        <f t="shared" si="3"/>
        <v>Normal</v>
      </c>
      <c r="M68" s="223"/>
      <c r="N68" s="224"/>
      <c r="O68" s="224"/>
      <c r="P68" s="224"/>
      <c r="Q68" s="224"/>
      <c r="R68" s="224"/>
      <c r="S68" s="216"/>
      <c r="T68" s="161"/>
      <c r="U68" s="227"/>
      <c r="V68" s="227"/>
      <c r="W68" s="227"/>
      <c r="X68" s="227"/>
      <c r="Y68" s="227"/>
      <c r="Z68" s="227"/>
      <c r="AA68" s="227"/>
      <c r="AB68" s="227"/>
      <c r="AC68" s="227"/>
      <c r="AD68" s="227"/>
      <c r="AE68" s="227"/>
      <c r="AF68" s="227"/>
      <c r="AG68" s="227"/>
      <c r="AH68" s="227"/>
      <c r="AI68" s="227"/>
      <c r="AJ68" s="227"/>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row>
    <row r="69" spans="1:66" customFormat="1" ht="15.75" hidden="1" customHeight="1">
      <c r="A69" s="224" t="s">
        <v>93</v>
      </c>
      <c r="B69" s="224" t="s">
        <v>386</v>
      </c>
      <c r="C69" s="233" t="s">
        <v>387</v>
      </c>
      <c r="D69" s="216" t="s">
        <v>298</v>
      </c>
      <c r="E69" s="230">
        <v>46120</v>
      </c>
      <c r="F69" s="230">
        <v>46120</v>
      </c>
      <c r="G69" s="218">
        <v>32</v>
      </c>
      <c r="H69" s="219">
        <v>38</v>
      </c>
      <c r="I69" s="220">
        <f>SUM(N69:AB69)</f>
        <v>0</v>
      </c>
      <c r="J69" s="221">
        <f t="shared" si="2"/>
        <v>0.1875</v>
      </c>
      <c r="K69" s="216">
        <v>3</v>
      </c>
      <c r="L69" s="221" t="str">
        <f t="shared" si="3"/>
        <v>Normal</v>
      </c>
      <c r="M69" s="223"/>
      <c r="N69" s="224"/>
      <c r="O69" s="224"/>
      <c r="P69" s="224"/>
      <c r="Q69" s="224"/>
      <c r="R69" s="224"/>
      <c r="S69" s="216"/>
      <c r="T69" s="161"/>
      <c r="U69" s="227"/>
      <c r="V69" s="227"/>
      <c r="W69" s="227"/>
      <c r="X69" s="227"/>
      <c r="Y69" s="227"/>
      <c r="Z69" s="227"/>
      <c r="AA69" s="227"/>
      <c r="AB69" s="227"/>
      <c r="AC69" s="227"/>
      <c r="AD69" s="227"/>
      <c r="AE69" s="227"/>
      <c r="AF69" s="227"/>
      <c r="AG69" s="227"/>
      <c r="AH69" s="227"/>
      <c r="AI69" s="227"/>
      <c r="AJ69" s="227"/>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row>
    <row r="70" spans="1:66" customFormat="1" ht="15.75" hidden="1" customHeight="1">
      <c r="A70" s="234" t="s">
        <v>93</v>
      </c>
      <c r="B70" s="224" t="s">
        <v>388</v>
      </c>
      <c r="C70" s="233" t="s">
        <v>389</v>
      </c>
      <c r="D70" s="216" t="s">
        <v>298</v>
      </c>
      <c r="E70" s="230">
        <v>46120</v>
      </c>
      <c r="F70" s="230">
        <v>46120</v>
      </c>
      <c r="G70" s="218">
        <v>1</v>
      </c>
      <c r="H70" s="219">
        <v>1</v>
      </c>
      <c r="I70" s="220">
        <f>SUM(N70:AB70)</f>
        <v>0</v>
      </c>
      <c r="J70" s="221">
        <f t="shared" si="2"/>
        <v>0</v>
      </c>
      <c r="K70" s="216">
        <v>2</v>
      </c>
      <c r="L70" s="221" t="str">
        <f t="shared" si="3"/>
        <v>Normal</v>
      </c>
      <c r="M70" s="223"/>
      <c r="N70" s="224"/>
      <c r="O70" s="224"/>
      <c r="P70" s="224"/>
      <c r="Q70" s="224"/>
      <c r="R70" s="224"/>
      <c r="S70" s="216"/>
      <c r="T70" s="161"/>
      <c r="U70" s="227"/>
      <c r="V70" s="227"/>
      <c r="W70" s="227"/>
      <c r="X70" s="227"/>
      <c r="Y70" s="227"/>
      <c r="Z70" s="227"/>
      <c r="AA70" s="227"/>
      <c r="AB70" s="227"/>
      <c r="AC70" s="227"/>
      <c r="AD70" s="227"/>
      <c r="AE70" s="227"/>
      <c r="AF70" s="227"/>
      <c r="AG70" s="227"/>
      <c r="AH70" s="227"/>
      <c r="AI70" s="227"/>
      <c r="AJ70" s="227"/>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row>
    <row r="71" spans="1:66" customFormat="1" ht="15.75" hidden="1" customHeight="1">
      <c r="A71" s="234" t="s">
        <v>93</v>
      </c>
      <c r="B71" s="224" t="s">
        <v>390</v>
      </c>
      <c r="C71" s="233" t="s">
        <v>391</v>
      </c>
      <c r="D71" s="216" t="s">
        <v>301</v>
      </c>
      <c r="E71" s="235">
        <v>46127</v>
      </c>
      <c r="F71" s="235">
        <v>46127</v>
      </c>
      <c r="G71" s="218">
        <v>24</v>
      </c>
      <c r="H71" s="219">
        <v>44</v>
      </c>
      <c r="I71" s="236">
        <f>SUM(N71:AB71)</f>
        <v>0</v>
      </c>
      <c r="J71" s="221">
        <f t="shared" si="2"/>
        <v>0.83333333333333337</v>
      </c>
      <c r="K71" s="216">
        <v>1</v>
      </c>
      <c r="L71" s="221" t="str">
        <f t="shared" si="3"/>
        <v>Desviado</v>
      </c>
      <c r="M71" s="223"/>
      <c r="N71" s="224"/>
      <c r="O71" s="224"/>
      <c r="P71" s="224"/>
      <c r="Q71" s="224"/>
      <c r="R71" s="224"/>
      <c r="S71" s="216"/>
      <c r="T71" s="161"/>
      <c r="U71" s="222"/>
      <c r="V71" s="222"/>
      <c r="W71" s="227"/>
      <c r="X71" s="227"/>
      <c r="Y71" s="227"/>
      <c r="Z71" s="227"/>
      <c r="AA71" s="227"/>
      <c r="AB71" s="227"/>
      <c r="AC71" s="227"/>
      <c r="AD71" s="227"/>
      <c r="AE71" s="227"/>
      <c r="AF71" s="227"/>
      <c r="AG71" s="227"/>
      <c r="AH71" s="227"/>
      <c r="AI71" s="227"/>
      <c r="AJ71" s="227"/>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row>
    <row r="72" spans="1:66" customFormat="1" ht="15.75" hidden="1" customHeight="1">
      <c r="A72" s="234" t="s">
        <v>93</v>
      </c>
      <c r="B72" s="224" t="s">
        <v>392</v>
      </c>
      <c r="C72" s="215" t="s">
        <v>393</v>
      </c>
      <c r="D72" s="216" t="s">
        <v>298</v>
      </c>
      <c r="E72" s="230">
        <v>46132</v>
      </c>
      <c r="F72" s="230">
        <v>46129</v>
      </c>
      <c r="G72" s="218">
        <v>24</v>
      </c>
      <c r="H72" s="219">
        <v>28</v>
      </c>
      <c r="I72" s="220">
        <f>SUM(N72:AB72)</f>
        <v>0</v>
      </c>
      <c r="J72" s="221">
        <f t="shared" si="2"/>
        <v>0.16666666666666666</v>
      </c>
      <c r="K72" s="216">
        <v>1</v>
      </c>
      <c r="L72" s="221" t="str">
        <f t="shared" si="3"/>
        <v>Normal</v>
      </c>
      <c r="M72" s="223"/>
      <c r="N72" s="224"/>
      <c r="O72" s="224"/>
      <c r="P72" s="224"/>
      <c r="Q72" s="224"/>
      <c r="R72" s="224"/>
      <c r="S72" s="216"/>
      <c r="T72" s="222"/>
      <c r="U72" s="227"/>
      <c r="V72" s="227"/>
      <c r="W72" s="227"/>
      <c r="X72" s="227"/>
      <c r="Y72" s="227"/>
      <c r="Z72" s="227"/>
      <c r="AA72" s="227"/>
      <c r="AB72" s="227"/>
      <c r="AC72" s="227"/>
      <c r="AD72" s="227"/>
      <c r="AE72" s="227"/>
      <c r="AF72" s="227"/>
      <c r="AG72" s="227"/>
      <c r="AH72" s="227"/>
      <c r="AI72" s="227"/>
      <c r="AJ72" s="227"/>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row>
    <row r="73" spans="1:66" customFormat="1" ht="15.75" hidden="1" customHeight="1">
      <c r="A73" s="234" t="s">
        <v>93</v>
      </c>
      <c r="B73" s="224" t="s">
        <v>394</v>
      </c>
      <c r="C73" s="215" t="s">
        <v>395</v>
      </c>
      <c r="D73" s="216" t="s">
        <v>301</v>
      </c>
      <c r="E73" s="230">
        <v>46140</v>
      </c>
      <c r="F73" s="230">
        <v>46142</v>
      </c>
      <c r="G73" s="218">
        <v>50</v>
      </c>
      <c r="H73" s="219">
        <v>60</v>
      </c>
      <c r="I73" s="220">
        <f>SUM(N73:AB73)</f>
        <v>0</v>
      </c>
      <c r="J73" s="221">
        <f t="shared" si="2"/>
        <v>0.2</v>
      </c>
      <c r="K73" s="216">
        <v>2</v>
      </c>
      <c r="L73" s="221" t="str">
        <f t="shared" si="3"/>
        <v>Normal</v>
      </c>
      <c r="M73" s="223"/>
      <c r="N73" s="224"/>
      <c r="O73" s="224"/>
      <c r="P73" s="224"/>
      <c r="Q73" s="224"/>
      <c r="R73" s="224"/>
      <c r="S73" s="216"/>
      <c r="T73" s="222"/>
      <c r="U73" s="227"/>
      <c r="V73" s="227"/>
      <c r="W73" s="227"/>
      <c r="X73" s="227"/>
      <c r="Y73" s="227"/>
      <c r="Z73" s="227"/>
      <c r="AA73" s="227"/>
      <c r="AB73" s="227"/>
      <c r="AC73" s="227"/>
      <c r="AD73" s="227"/>
      <c r="AE73" s="227"/>
      <c r="AF73" s="227"/>
      <c r="AG73" s="227"/>
      <c r="AH73" s="227"/>
      <c r="AI73" s="227"/>
      <c r="AJ73" s="227"/>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row>
    <row r="74" spans="1:66" customFormat="1" ht="15.75" hidden="1" customHeight="1">
      <c r="A74" s="234" t="s">
        <v>93</v>
      </c>
      <c r="B74" s="224" t="s">
        <v>396</v>
      </c>
      <c r="C74" s="215" t="s">
        <v>397</v>
      </c>
      <c r="D74" s="216" t="s">
        <v>298</v>
      </c>
      <c r="E74" s="230">
        <v>46147</v>
      </c>
      <c r="F74" s="230">
        <v>46148</v>
      </c>
      <c r="G74" s="218">
        <v>26</v>
      </c>
      <c r="H74" s="219">
        <v>31</v>
      </c>
      <c r="I74" s="220">
        <f>SUM(N74:AB74)</f>
        <v>0</v>
      </c>
      <c r="J74" s="221">
        <f t="shared" si="2"/>
        <v>0.19230769230769232</v>
      </c>
      <c r="K74" s="216">
        <v>0</v>
      </c>
      <c r="L74" s="221" t="str">
        <f t="shared" si="3"/>
        <v>Normal</v>
      </c>
      <c r="M74" s="223"/>
      <c r="N74" s="224"/>
      <c r="O74" s="224"/>
      <c r="P74" s="224"/>
      <c r="Q74" s="224"/>
      <c r="R74" s="224"/>
      <c r="S74" s="216"/>
      <c r="T74" s="222"/>
      <c r="U74" s="222"/>
      <c r="V74" s="222"/>
      <c r="W74" s="227"/>
      <c r="X74" s="227"/>
      <c r="Y74" s="227"/>
      <c r="Z74" s="227"/>
      <c r="AA74" s="227"/>
      <c r="AB74" s="227"/>
      <c r="AC74" s="227"/>
      <c r="AD74" s="227"/>
      <c r="AE74" s="227"/>
      <c r="AF74" s="227"/>
      <c r="AG74" s="227"/>
      <c r="AH74" s="227"/>
      <c r="AI74" s="227"/>
      <c r="AJ74" s="227"/>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row>
    <row r="75" spans="1:66" customFormat="1" ht="15.75" hidden="1" customHeight="1">
      <c r="A75" s="234" t="s">
        <v>93</v>
      </c>
      <c r="B75" s="224" t="s">
        <v>398</v>
      </c>
      <c r="C75" s="215" t="s">
        <v>399</v>
      </c>
      <c r="D75" s="216" t="s">
        <v>298</v>
      </c>
      <c r="E75" s="230">
        <v>46150</v>
      </c>
      <c r="F75" s="230">
        <v>46153</v>
      </c>
      <c r="G75" s="218">
        <v>20</v>
      </c>
      <c r="H75" s="219">
        <v>24</v>
      </c>
      <c r="I75" s="220">
        <f>SUM(N75:AB75)</f>
        <v>0</v>
      </c>
      <c r="J75" s="221">
        <f t="shared" si="2"/>
        <v>0.2</v>
      </c>
      <c r="K75" s="216">
        <v>2</v>
      </c>
      <c r="L75" s="221" t="str">
        <f t="shared" si="3"/>
        <v>Normal</v>
      </c>
      <c r="M75" s="223"/>
      <c r="N75" s="224"/>
      <c r="O75" s="224"/>
      <c r="P75" s="224"/>
      <c r="Q75" s="224"/>
      <c r="R75" s="224"/>
      <c r="S75" s="216"/>
      <c r="T75" s="222"/>
      <c r="U75" s="222"/>
      <c r="V75" s="222"/>
      <c r="W75" s="227"/>
      <c r="X75" s="227"/>
      <c r="Y75" s="227"/>
      <c r="Z75" s="227"/>
      <c r="AA75" s="227"/>
      <c r="AB75" s="227"/>
      <c r="AC75" s="227"/>
      <c r="AD75" s="227"/>
      <c r="AE75" s="227"/>
      <c r="AF75" s="227"/>
      <c r="AG75" s="227"/>
      <c r="AH75" s="227"/>
      <c r="AI75" s="227"/>
      <c r="AJ75" s="227"/>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row>
    <row r="76" spans="1:66" customFormat="1" ht="15.75" hidden="1" customHeight="1">
      <c r="A76" s="234" t="s">
        <v>93</v>
      </c>
      <c r="B76" s="224" t="s">
        <v>400</v>
      </c>
      <c r="C76" s="215" t="s">
        <v>401</v>
      </c>
      <c r="D76" s="216" t="s">
        <v>298</v>
      </c>
      <c r="E76" s="230">
        <v>46160</v>
      </c>
      <c r="F76" s="230">
        <v>46162</v>
      </c>
      <c r="G76" s="218">
        <v>40</v>
      </c>
      <c r="H76" s="219">
        <v>48</v>
      </c>
      <c r="I76" s="220">
        <f>SUM(N76:AB76)</f>
        <v>0</v>
      </c>
      <c r="J76" s="221">
        <f t="shared" si="2"/>
        <v>0.2</v>
      </c>
      <c r="K76" s="216">
        <v>0</v>
      </c>
      <c r="L76" s="221" t="str">
        <f t="shared" si="3"/>
        <v>Normal</v>
      </c>
      <c r="M76" s="223"/>
      <c r="N76" s="224"/>
      <c r="O76" s="224"/>
      <c r="P76" s="224"/>
      <c r="Q76" s="224"/>
      <c r="R76" s="224"/>
      <c r="S76" s="216"/>
      <c r="T76" s="222"/>
      <c r="U76" s="222"/>
      <c r="V76" s="222"/>
      <c r="W76" s="227"/>
      <c r="X76" s="227"/>
      <c r="Y76" s="227"/>
      <c r="Z76" s="227"/>
      <c r="AA76" s="227"/>
      <c r="AB76" s="227"/>
      <c r="AC76" s="227"/>
      <c r="AD76" s="227"/>
      <c r="AE76" s="227"/>
      <c r="AF76" s="227"/>
      <c r="AG76" s="227"/>
      <c r="AH76" s="227"/>
      <c r="AI76" s="227"/>
      <c r="AJ76" s="227"/>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row>
    <row r="77" spans="1:66" customFormat="1" ht="15.75" hidden="1" customHeight="1">
      <c r="A77" s="234" t="s">
        <v>93</v>
      </c>
      <c r="B77" s="224" t="s">
        <v>402</v>
      </c>
      <c r="C77" s="215" t="s">
        <v>403</v>
      </c>
      <c r="D77" s="216" t="s">
        <v>298</v>
      </c>
      <c r="E77" s="235">
        <v>46169</v>
      </c>
      <c r="F77" s="235">
        <v>46169</v>
      </c>
      <c r="G77" s="218">
        <v>32</v>
      </c>
      <c r="H77" s="219">
        <v>53</v>
      </c>
      <c r="I77" s="236">
        <f>SUM(N77:AB77)</f>
        <v>0</v>
      </c>
      <c r="J77" s="221">
        <f t="shared" si="2"/>
        <v>0.65625</v>
      </c>
      <c r="K77" s="216">
        <v>0</v>
      </c>
      <c r="L77" s="221" t="str">
        <f t="shared" si="3"/>
        <v>Desviado</v>
      </c>
      <c r="M77" s="223"/>
      <c r="N77" s="224"/>
      <c r="O77" s="224"/>
      <c r="P77" s="224"/>
      <c r="Q77" s="224"/>
      <c r="R77" s="224"/>
      <c r="S77" s="216"/>
      <c r="T77" s="222"/>
      <c r="U77" s="222"/>
      <c r="V77" s="222"/>
      <c r="W77" s="227"/>
      <c r="X77" s="227"/>
      <c r="Y77" s="227"/>
      <c r="Z77" s="227"/>
      <c r="AA77" s="227"/>
      <c r="AB77" s="227"/>
      <c r="AC77" s="227"/>
      <c r="AD77" s="227"/>
      <c r="AE77" s="227"/>
      <c r="AF77" s="227"/>
      <c r="AG77" s="227"/>
      <c r="AH77" s="227"/>
      <c r="AI77" s="227"/>
      <c r="AJ77" s="227"/>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row>
    <row r="78" spans="1:66" customFormat="1" ht="15.75" hidden="1" customHeight="1">
      <c r="A78" s="224" t="s">
        <v>163</v>
      </c>
      <c r="B78" s="224" t="s">
        <v>187</v>
      </c>
      <c r="C78" s="215" t="s">
        <v>188</v>
      </c>
      <c r="D78" s="216" t="s">
        <v>298</v>
      </c>
      <c r="E78" s="230">
        <v>45965</v>
      </c>
      <c r="F78" s="230">
        <v>45965</v>
      </c>
      <c r="G78" s="224">
        <v>40</v>
      </c>
      <c r="H78" s="219">
        <v>57.5</v>
      </c>
      <c r="I78" s="237">
        <v>0</v>
      </c>
      <c r="J78" s="221">
        <f t="shared" si="2"/>
        <v>0.4375</v>
      </c>
      <c r="K78" s="216">
        <v>1</v>
      </c>
      <c r="L78" s="221" t="str">
        <f t="shared" si="3"/>
        <v>Desviado</v>
      </c>
      <c r="M78" s="223"/>
      <c r="N78" s="216"/>
      <c r="O78" s="216"/>
      <c r="P78" s="216"/>
      <c r="Q78" s="216"/>
      <c r="R78" s="216"/>
      <c r="S78" s="216"/>
      <c r="T78" s="225"/>
      <c r="U78" s="222"/>
      <c r="V78" s="226"/>
      <c r="W78" s="222"/>
      <c r="X78" s="226"/>
      <c r="Y78" s="226"/>
      <c r="Z78" s="226"/>
      <c r="AA78" s="161"/>
      <c r="AB78" s="226"/>
      <c r="AC78" s="226"/>
      <c r="AD78" s="226"/>
      <c r="AE78" s="226"/>
      <c r="AF78" s="226"/>
      <c r="AG78" s="226"/>
      <c r="AH78" s="226"/>
      <c r="AI78" s="226"/>
      <c r="AJ78" s="226"/>
    </row>
    <row r="79" spans="1:66" customFormat="1" ht="15.75" hidden="1" customHeight="1">
      <c r="A79" s="224" t="s">
        <v>163</v>
      </c>
      <c r="B79" s="224" t="s">
        <v>164</v>
      </c>
      <c r="C79" s="233" t="s">
        <v>165</v>
      </c>
      <c r="D79" s="216" t="s">
        <v>298</v>
      </c>
      <c r="E79" s="230">
        <v>45807</v>
      </c>
      <c r="F79" s="238">
        <v>45821</v>
      </c>
      <c r="G79" s="218">
        <v>34</v>
      </c>
      <c r="H79" s="219">
        <v>4</v>
      </c>
      <c r="I79" s="220">
        <f>SUM(N79:AB79)</f>
        <v>0</v>
      </c>
      <c r="J79" s="221">
        <f t="shared" si="2"/>
        <v>-0.88235294117647056</v>
      </c>
      <c r="K79" s="216">
        <v>4</v>
      </c>
      <c r="L79" s="221" t="str">
        <f t="shared" si="3"/>
        <v>Normal</v>
      </c>
      <c r="M79" s="223"/>
      <c r="N79" s="224"/>
      <c r="O79" s="224"/>
      <c r="P79" s="216"/>
      <c r="Q79" s="224"/>
      <c r="R79" s="224"/>
      <c r="S79" s="216"/>
      <c r="T79" s="225"/>
      <c r="U79" s="222"/>
      <c r="V79" s="226"/>
      <c r="W79" s="222"/>
      <c r="X79" s="226"/>
      <c r="Y79" s="226"/>
      <c r="Z79" s="226"/>
      <c r="AA79" s="161"/>
      <c r="AB79" s="226"/>
      <c r="AC79" s="226"/>
      <c r="AD79" s="226"/>
      <c r="AE79" s="226"/>
      <c r="AF79" s="226"/>
      <c r="AG79" s="226"/>
      <c r="AH79" s="226"/>
      <c r="AI79" s="226"/>
      <c r="AJ79" s="226"/>
    </row>
    <row r="80" spans="1:66" customFormat="1" ht="15.75" hidden="1" customHeight="1">
      <c r="A80" s="224" t="s">
        <v>163</v>
      </c>
      <c r="B80" s="224" t="s">
        <v>404</v>
      </c>
      <c r="C80" s="215" t="s">
        <v>405</v>
      </c>
      <c r="D80" s="216" t="s">
        <v>298</v>
      </c>
      <c r="E80" s="217">
        <v>46002</v>
      </c>
      <c r="F80" s="217">
        <v>46002</v>
      </c>
      <c r="G80" s="218">
        <v>20</v>
      </c>
      <c r="H80" s="219">
        <v>26</v>
      </c>
      <c r="I80" s="220">
        <f>SUM(N80:AB80)</f>
        <v>0</v>
      </c>
      <c r="J80" s="221">
        <f t="shared" si="2"/>
        <v>0.3</v>
      </c>
      <c r="K80" s="216">
        <v>2</v>
      </c>
      <c r="L80" s="221" t="str">
        <f t="shared" si="3"/>
        <v>Desviado</v>
      </c>
      <c r="M80" s="223"/>
      <c r="N80" s="224"/>
      <c r="O80" s="224"/>
      <c r="P80" s="216"/>
      <c r="Q80" s="224"/>
      <c r="R80" s="224"/>
      <c r="S80" s="216"/>
      <c r="T80" s="227"/>
      <c r="U80" s="222"/>
      <c r="V80" s="227"/>
      <c r="W80" s="222"/>
      <c r="X80" s="227"/>
      <c r="Y80" s="227"/>
      <c r="Z80" s="227"/>
      <c r="AA80" s="222"/>
      <c r="AB80" s="227"/>
      <c r="AC80" s="227"/>
      <c r="AD80" s="227"/>
      <c r="AE80" s="227"/>
      <c r="AF80" s="227"/>
      <c r="AG80" s="227"/>
      <c r="AH80" s="227"/>
      <c r="AI80" s="227"/>
      <c r="AJ80" s="227"/>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row>
    <row r="81" spans="1:66" customFormat="1" ht="15.75" hidden="1" customHeight="1">
      <c r="A81" s="224" t="s">
        <v>163</v>
      </c>
      <c r="B81" s="224" t="s">
        <v>406</v>
      </c>
      <c r="C81" s="215" t="s">
        <v>407</v>
      </c>
      <c r="D81" s="216" t="s">
        <v>298</v>
      </c>
      <c r="E81" s="230">
        <v>46014</v>
      </c>
      <c r="F81" s="230">
        <v>46028</v>
      </c>
      <c r="G81" s="224">
        <v>32</v>
      </c>
      <c r="H81" s="219">
        <v>43</v>
      </c>
      <c r="I81" s="237">
        <f>SUM(N81:AB81)</f>
        <v>0</v>
      </c>
      <c r="J81" s="221">
        <f t="shared" si="2"/>
        <v>0.34375</v>
      </c>
      <c r="K81" s="216">
        <v>2</v>
      </c>
      <c r="L81" s="221" t="str">
        <f t="shared" si="3"/>
        <v>Desviado</v>
      </c>
      <c r="M81" s="223"/>
      <c r="N81" s="224"/>
      <c r="O81" s="224"/>
      <c r="P81" s="216"/>
      <c r="Q81" s="224"/>
      <c r="R81" s="224"/>
      <c r="S81" s="216"/>
      <c r="T81" s="222"/>
      <c r="U81" s="222"/>
      <c r="V81" s="227"/>
      <c r="W81" s="222"/>
      <c r="X81" s="227"/>
      <c r="Y81" s="227"/>
      <c r="Z81" s="227"/>
      <c r="AA81" s="222"/>
      <c r="AB81" s="227"/>
      <c r="AC81" s="227"/>
      <c r="AD81" s="227"/>
      <c r="AE81" s="227"/>
      <c r="AF81" s="227"/>
      <c r="AG81" s="227"/>
      <c r="AH81" s="227"/>
      <c r="AI81" s="227"/>
      <c r="AJ81" s="227"/>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row>
    <row r="82" spans="1:66" customFormat="1" ht="15.75" hidden="1" customHeight="1">
      <c r="A82" s="224" t="s">
        <v>163</v>
      </c>
      <c r="B82" s="224" t="s">
        <v>146</v>
      </c>
      <c r="C82" s="215" t="s">
        <v>147</v>
      </c>
      <c r="D82" s="216" t="s">
        <v>298</v>
      </c>
      <c r="E82" s="217">
        <v>45939</v>
      </c>
      <c r="F82" s="217">
        <v>45939</v>
      </c>
      <c r="G82" s="218">
        <v>16</v>
      </c>
      <c r="H82" s="219">
        <v>4</v>
      </c>
      <c r="I82" s="220">
        <f>SUM(N82:AB82)</f>
        <v>0</v>
      </c>
      <c r="J82" s="221">
        <f t="shared" si="2"/>
        <v>-0.75</v>
      </c>
      <c r="K82" s="216">
        <v>0</v>
      </c>
      <c r="L82" s="221" t="str">
        <f t="shared" si="3"/>
        <v>Normal</v>
      </c>
      <c r="M82" s="223"/>
      <c r="N82" s="224"/>
      <c r="O82" s="224"/>
      <c r="P82" s="216"/>
      <c r="Q82" s="224"/>
      <c r="R82" s="224"/>
      <c r="S82" s="216"/>
      <c r="T82" s="227"/>
      <c r="U82" s="222"/>
      <c r="V82" s="227"/>
      <c r="W82" s="222"/>
      <c r="X82" s="227"/>
      <c r="Y82" s="227"/>
      <c r="Z82" s="227"/>
      <c r="AA82" s="222"/>
      <c r="AB82" s="227"/>
      <c r="AC82" s="227"/>
      <c r="AD82" s="227"/>
      <c r="AE82" s="227"/>
      <c r="AF82" s="227"/>
      <c r="AG82" s="227"/>
      <c r="AH82" s="227"/>
      <c r="AI82" s="227"/>
      <c r="AJ82" s="227"/>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row>
    <row r="83" spans="1:66" customFormat="1" ht="15.75" hidden="1" customHeight="1">
      <c r="A83" s="224" t="s">
        <v>163</v>
      </c>
      <c r="B83" s="224" t="s">
        <v>408</v>
      </c>
      <c r="C83" s="215" t="s">
        <v>409</v>
      </c>
      <c r="D83" s="216" t="s">
        <v>298</v>
      </c>
      <c r="E83" s="230">
        <v>46021</v>
      </c>
      <c r="F83" s="230">
        <v>46041</v>
      </c>
      <c r="G83" s="224">
        <f>3*8</f>
        <v>24</v>
      </c>
      <c r="H83" s="219">
        <v>44</v>
      </c>
      <c r="I83" s="237">
        <f>SUM(N83:AB83)</f>
        <v>0</v>
      </c>
      <c r="J83" s="221">
        <f t="shared" si="2"/>
        <v>0.83333333333333337</v>
      </c>
      <c r="K83" s="216">
        <v>1</v>
      </c>
      <c r="L83" s="221" t="str">
        <f t="shared" si="3"/>
        <v>Desviado</v>
      </c>
      <c r="M83" s="223"/>
      <c r="N83" s="224"/>
      <c r="O83" s="224"/>
      <c r="P83" s="216"/>
      <c r="Q83" s="224"/>
      <c r="R83" s="224"/>
      <c r="S83" s="216"/>
      <c r="T83" s="227"/>
      <c r="U83" s="222"/>
      <c r="V83" s="227"/>
      <c r="W83" s="222"/>
      <c r="X83" s="227"/>
      <c r="Y83" s="227"/>
      <c r="Z83" s="227"/>
      <c r="AA83" s="222"/>
      <c r="AB83" s="227"/>
      <c r="AC83" s="227"/>
      <c r="AD83" s="227"/>
      <c r="AE83" s="227"/>
      <c r="AF83" s="227"/>
      <c r="AG83" s="227"/>
      <c r="AH83" s="227"/>
      <c r="AI83" s="227"/>
      <c r="AJ83" s="227"/>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row>
    <row r="84" spans="1:66" customFormat="1" ht="15.75" hidden="1" customHeight="1">
      <c r="A84" s="224" t="s">
        <v>163</v>
      </c>
      <c r="B84" s="224" t="s">
        <v>360</v>
      </c>
      <c r="C84" s="215" t="s">
        <v>361</v>
      </c>
      <c r="D84" s="216" t="s">
        <v>298</v>
      </c>
      <c r="E84" s="217"/>
      <c r="F84" s="217">
        <v>46078</v>
      </c>
      <c r="G84" s="218" t="s">
        <v>219</v>
      </c>
      <c r="H84" s="219">
        <v>55</v>
      </c>
      <c r="I84" s="220">
        <v>0</v>
      </c>
      <c r="J84" s="221" t="str">
        <f t="shared" si="2"/>
        <v/>
      </c>
      <c r="K84" s="216">
        <v>0</v>
      </c>
      <c r="L84" s="221" t="str">
        <f t="shared" si="3"/>
        <v>Sin estimación</v>
      </c>
      <c r="M84" s="223"/>
      <c r="N84" s="224"/>
      <c r="O84" s="224"/>
      <c r="P84" s="216"/>
      <c r="Q84" s="224"/>
      <c r="R84" s="224"/>
      <c r="S84" s="216"/>
      <c r="T84" s="227"/>
      <c r="U84" s="222"/>
      <c r="V84" s="227"/>
      <c r="W84" s="222"/>
      <c r="X84" s="227"/>
      <c r="Y84" s="227"/>
      <c r="Z84" s="227"/>
      <c r="AA84" s="222"/>
      <c r="AB84" s="227"/>
      <c r="AC84" s="227"/>
      <c r="AD84" s="227"/>
      <c r="AE84" s="227"/>
      <c r="AF84" s="227"/>
      <c r="AG84" s="227"/>
      <c r="AH84" s="227"/>
      <c r="AI84" s="227"/>
      <c r="AJ84" s="227"/>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row>
    <row r="85" spans="1:66" customFormat="1" ht="15.75" hidden="1" customHeight="1">
      <c r="A85" s="224" t="s">
        <v>163</v>
      </c>
      <c r="B85" s="224" t="s">
        <v>170</v>
      </c>
      <c r="C85" s="233" t="s">
        <v>171</v>
      </c>
      <c r="D85" s="216" t="s">
        <v>298</v>
      </c>
      <c r="E85" s="230">
        <v>45867</v>
      </c>
      <c r="F85" s="238">
        <v>45894</v>
      </c>
      <c r="G85" s="218">
        <v>16</v>
      </c>
      <c r="H85" s="219">
        <v>6</v>
      </c>
      <c r="I85" s="220">
        <f>SUM(N85:AB85)</f>
        <v>0</v>
      </c>
      <c r="J85" s="221">
        <f t="shared" si="2"/>
        <v>-0.625</v>
      </c>
      <c r="K85" s="216">
        <v>1</v>
      </c>
      <c r="L85" s="221" t="str">
        <f t="shared" si="3"/>
        <v>Normal</v>
      </c>
      <c r="M85" s="223"/>
      <c r="N85" s="224"/>
      <c r="O85" s="224"/>
      <c r="P85" s="216"/>
      <c r="Q85" s="224"/>
      <c r="R85" s="224"/>
      <c r="S85" s="216"/>
      <c r="T85" s="227"/>
      <c r="U85" s="222"/>
      <c r="V85" s="227"/>
      <c r="W85" s="222"/>
      <c r="X85" s="227"/>
      <c r="Y85" s="227"/>
      <c r="Z85" s="227"/>
      <c r="AA85" s="222"/>
      <c r="AB85" s="227"/>
      <c r="AC85" s="227"/>
      <c r="AD85" s="227"/>
      <c r="AE85" s="227"/>
      <c r="AF85" s="227"/>
      <c r="AG85" s="227"/>
      <c r="AH85" s="227"/>
      <c r="AI85" s="227"/>
      <c r="AJ85" s="227"/>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row>
    <row r="86" spans="1:66" customFormat="1" ht="15.75" hidden="1" customHeight="1">
      <c r="A86" s="224" t="s">
        <v>163</v>
      </c>
      <c r="B86" s="224" t="s">
        <v>166</v>
      </c>
      <c r="C86" s="233" t="s">
        <v>167</v>
      </c>
      <c r="D86" s="216" t="s">
        <v>298</v>
      </c>
      <c r="E86" s="230">
        <v>45859</v>
      </c>
      <c r="F86" s="238">
        <v>45863</v>
      </c>
      <c r="G86" s="218">
        <v>20</v>
      </c>
      <c r="H86" s="219">
        <v>2</v>
      </c>
      <c r="I86" s="220">
        <f>SUM(N86:AB86)</f>
        <v>0</v>
      </c>
      <c r="J86" s="221">
        <f t="shared" si="2"/>
        <v>-0.9</v>
      </c>
      <c r="K86" s="216">
        <v>3</v>
      </c>
      <c r="L86" s="221" t="str">
        <f t="shared" si="3"/>
        <v>Normal</v>
      </c>
      <c r="M86" s="223"/>
      <c r="N86" s="224"/>
      <c r="O86" s="224"/>
      <c r="P86" s="216"/>
      <c r="Q86" s="224"/>
      <c r="R86" s="224"/>
      <c r="S86" s="216"/>
      <c r="T86" s="227"/>
      <c r="U86" s="222"/>
      <c r="V86" s="227"/>
      <c r="W86" s="222"/>
      <c r="X86" s="227"/>
      <c r="Y86" s="227"/>
      <c r="Z86" s="227"/>
      <c r="AA86" s="222"/>
      <c r="AB86" s="227"/>
      <c r="AC86" s="227"/>
      <c r="AD86" s="227"/>
      <c r="AE86" s="227"/>
      <c r="AF86" s="227"/>
      <c r="AG86" s="227"/>
      <c r="AH86" s="227"/>
      <c r="AI86" s="227"/>
      <c r="AJ86" s="227"/>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row>
    <row r="87" spans="1:66" customFormat="1" ht="15.75" hidden="1" customHeight="1">
      <c r="A87" s="224" t="s">
        <v>163</v>
      </c>
      <c r="B87" s="224" t="s">
        <v>168</v>
      </c>
      <c r="C87" s="233" t="s">
        <v>169</v>
      </c>
      <c r="D87" s="216" t="s">
        <v>298</v>
      </c>
      <c r="E87" s="230">
        <v>45869</v>
      </c>
      <c r="F87" s="238">
        <v>45870</v>
      </c>
      <c r="G87" s="218">
        <v>12</v>
      </c>
      <c r="H87" s="219">
        <v>8</v>
      </c>
      <c r="I87" s="220">
        <f>SUM(N87:AB87)</f>
        <v>0</v>
      </c>
      <c r="J87" s="221">
        <f t="shared" si="2"/>
        <v>-0.33333333333333331</v>
      </c>
      <c r="K87" s="216">
        <v>1</v>
      </c>
      <c r="L87" s="221" t="str">
        <f t="shared" si="3"/>
        <v>Normal</v>
      </c>
      <c r="M87" s="223"/>
      <c r="N87" s="224"/>
      <c r="O87" s="224"/>
      <c r="P87" s="216"/>
      <c r="Q87" s="224"/>
      <c r="R87" s="224"/>
      <c r="S87" s="216"/>
      <c r="T87" s="227"/>
      <c r="U87" s="222"/>
      <c r="V87" s="227"/>
      <c r="W87" s="222"/>
      <c r="X87" s="227"/>
      <c r="Y87" s="227"/>
      <c r="Z87" s="227"/>
      <c r="AA87" s="222"/>
      <c r="AB87" s="227"/>
      <c r="AC87" s="227"/>
      <c r="AD87" s="227"/>
      <c r="AE87" s="227"/>
      <c r="AF87" s="227"/>
      <c r="AG87" s="227"/>
      <c r="AH87" s="227"/>
      <c r="AI87" s="227"/>
      <c r="AJ87" s="227"/>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row>
    <row r="88" spans="1:66" customFormat="1" ht="15.75" hidden="1" customHeight="1">
      <c r="A88" s="224" t="s">
        <v>163</v>
      </c>
      <c r="B88" s="224" t="s">
        <v>172</v>
      </c>
      <c r="C88" s="233" t="s">
        <v>173</v>
      </c>
      <c r="D88" s="216" t="s">
        <v>298</v>
      </c>
      <c r="E88" s="230">
        <v>45874</v>
      </c>
      <c r="F88" s="238">
        <v>45877</v>
      </c>
      <c r="G88" s="218">
        <v>30</v>
      </c>
      <c r="H88" s="219">
        <v>37</v>
      </c>
      <c r="I88" s="220">
        <f>SUM(N88:AB88)</f>
        <v>0</v>
      </c>
      <c r="J88" s="221">
        <f t="shared" si="2"/>
        <v>0.23333333333333334</v>
      </c>
      <c r="K88" s="216">
        <v>3</v>
      </c>
      <c r="L88" s="221" t="str">
        <f t="shared" si="3"/>
        <v>Normal</v>
      </c>
      <c r="M88" s="223"/>
      <c r="N88" s="224"/>
      <c r="O88" s="224"/>
      <c r="P88" s="216"/>
      <c r="Q88" s="224"/>
      <c r="R88" s="224"/>
      <c r="S88" s="216"/>
      <c r="T88" s="227"/>
      <c r="U88" s="222"/>
      <c r="V88" s="227"/>
      <c r="W88" s="222"/>
      <c r="X88" s="227"/>
      <c r="Y88" s="227"/>
      <c r="Z88" s="227"/>
      <c r="AA88" s="222"/>
      <c r="AB88" s="227"/>
      <c r="AC88" s="227"/>
      <c r="AD88" s="227"/>
      <c r="AE88" s="227"/>
      <c r="AF88" s="227"/>
      <c r="AG88" s="227"/>
      <c r="AH88" s="227"/>
      <c r="AI88" s="227"/>
      <c r="AJ88" s="227"/>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row>
    <row r="89" spans="1:66" customFormat="1" ht="15.75" hidden="1" customHeight="1">
      <c r="A89" s="224" t="s">
        <v>163</v>
      </c>
      <c r="B89" s="224" t="s">
        <v>185</v>
      </c>
      <c r="C89" s="233" t="s">
        <v>186</v>
      </c>
      <c r="D89" s="216" t="s">
        <v>298</v>
      </c>
      <c r="E89" s="230">
        <v>45925</v>
      </c>
      <c r="F89" s="230">
        <v>45925</v>
      </c>
      <c r="G89" s="224">
        <v>36</v>
      </c>
      <c r="H89" s="219">
        <v>49</v>
      </c>
      <c r="I89" s="237">
        <f>SUM(N89:AB89)</f>
        <v>0</v>
      </c>
      <c r="J89" s="221">
        <f t="shared" si="2"/>
        <v>0.3611111111111111</v>
      </c>
      <c r="K89" s="216">
        <v>4</v>
      </c>
      <c r="L89" s="221" t="str">
        <f t="shared" si="3"/>
        <v>Desviado</v>
      </c>
      <c r="M89" s="223"/>
      <c r="N89" s="224"/>
      <c r="O89" s="224"/>
      <c r="P89" s="216"/>
      <c r="Q89" s="224"/>
      <c r="R89" s="224"/>
      <c r="S89" s="216"/>
      <c r="T89" s="227"/>
      <c r="U89" s="222"/>
      <c r="V89" s="227"/>
      <c r="W89" s="222"/>
      <c r="X89" s="227"/>
      <c r="Y89" s="227"/>
      <c r="Z89" s="227"/>
      <c r="AA89" s="222"/>
      <c r="AB89" s="227"/>
      <c r="AC89" s="227"/>
      <c r="AD89" s="227"/>
      <c r="AE89" s="227"/>
      <c r="AF89" s="227"/>
      <c r="AG89" s="227"/>
      <c r="AH89" s="227"/>
      <c r="AI89" s="227"/>
      <c r="AJ89" s="227"/>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row>
    <row r="90" spans="1:66" customFormat="1" ht="15.75" hidden="1" customHeight="1">
      <c r="A90" s="224" t="s">
        <v>163</v>
      </c>
      <c r="B90" s="224" t="s">
        <v>194</v>
      </c>
      <c r="C90" s="233" t="s">
        <v>195</v>
      </c>
      <c r="D90" s="216" t="s">
        <v>298</v>
      </c>
      <c r="E90" s="230">
        <v>45938</v>
      </c>
      <c r="F90" s="230">
        <v>45919</v>
      </c>
      <c r="G90" s="218">
        <v>50</v>
      </c>
      <c r="H90" s="219">
        <v>65</v>
      </c>
      <c r="I90" s="220">
        <f>SUM(N90:AB90)</f>
        <v>0</v>
      </c>
      <c r="J90" s="221">
        <f t="shared" si="2"/>
        <v>0.3</v>
      </c>
      <c r="K90" s="216">
        <v>4</v>
      </c>
      <c r="L90" s="221" t="str">
        <f t="shared" si="3"/>
        <v>Desviado</v>
      </c>
      <c r="M90" s="223"/>
      <c r="N90" s="224"/>
      <c r="O90" s="224"/>
      <c r="P90" s="216"/>
      <c r="Q90" s="224"/>
      <c r="R90" s="224"/>
      <c r="S90" s="216"/>
      <c r="T90" s="227"/>
      <c r="U90" s="222"/>
      <c r="V90" s="227"/>
      <c r="W90" s="222"/>
      <c r="X90" s="227"/>
      <c r="Y90" s="227"/>
      <c r="Z90" s="227"/>
      <c r="AA90" s="222"/>
      <c r="AB90" s="227"/>
      <c r="AC90" s="227"/>
      <c r="AD90" s="227"/>
      <c r="AE90" s="227"/>
      <c r="AF90" s="227"/>
      <c r="AG90" s="227"/>
      <c r="AH90" s="227"/>
      <c r="AI90" s="227"/>
      <c r="AJ90" s="227"/>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row>
    <row r="91" spans="1:66" customFormat="1" ht="15.75" hidden="1" customHeight="1">
      <c r="A91" s="224" t="s">
        <v>163</v>
      </c>
      <c r="B91" s="224" t="s">
        <v>199</v>
      </c>
      <c r="C91" s="233" t="s">
        <v>200</v>
      </c>
      <c r="D91" s="216" t="s">
        <v>298</v>
      </c>
      <c r="E91" s="230">
        <v>45940</v>
      </c>
      <c r="F91" s="230">
        <v>45919</v>
      </c>
      <c r="G91" s="218">
        <v>27</v>
      </c>
      <c r="H91" s="219">
        <v>35</v>
      </c>
      <c r="I91" s="220">
        <f>SUM(N91:AB91)</f>
        <v>0</v>
      </c>
      <c r="J91" s="221">
        <f t="shared" si="2"/>
        <v>0.29629629629629628</v>
      </c>
      <c r="K91" s="216">
        <v>4</v>
      </c>
      <c r="L91" s="221" t="str">
        <f t="shared" si="3"/>
        <v>Normal</v>
      </c>
      <c r="M91" s="223"/>
      <c r="N91" s="224"/>
      <c r="O91" s="224"/>
      <c r="P91" s="216"/>
      <c r="Q91" s="224"/>
      <c r="R91" s="224"/>
      <c r="S91" s="216"/>
      <c r="T91" s="227"/>
      <c r="U91" s="222"/>
      <c r="V91" s="227"/>
      <c r="W91" s="222"/>
      <c r="X91" s="227"/>
      <c r="Y91" s="227"/>
      <c r="Z91" s="227"/>
      <c r="AA91" s="222"/>
      <c r="AB91" s="227"/>
      <c r="AC91" s="227"/>
      <c r="AD91" s="227"/>
      <c r="AE91" s="227"/>
      <c r="AF91" s="227"/>
      <c r="AG91" s="227"/>
      <c r="AH91" s="227"/>
      <c r="AI91" s="227"/>
      <c r="AJ91" s="227"/>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row>
    <row r="92" spans="1:66" customFormat="1" ht="15.75" hidden="1" customHeight="1">
      <c r="A92" s="224" t="s">
        <v>163</v>
      </c>
      <c r="B92" s="224" t="s">
        <v>174</v>
      </c>
      <c r="C92" s="233" t="s">
        <v>175</v>
      </c>
      <c r="D92" s="216" t="s">
        <v>298</v>
      </c>
      <c r="E92" s="230">
        <v>45940</v>
      </c>
      <c r="F92" s="230">
        <v>45919</v>
      </c>
      <c r="G92" s="218">
        <v>10</v>
      </c>
      <c r="H92" s="219">
        <v>13</v>
      </c>
      <c r="I92" s="220">
        <f>SUM(N92:AB92)</f>
        <v>0</v>
      </c>
      <c r="J92" s="221">
        <f t="shared" si="2"/>
        <v>0.3</v>
      </c>
      <c r="K92" s="216">
        <v>1</v>
      </c>
      <c r="L92" s="221" t="str">
        <f t="shared" si="3"/>
        <v>Desviado</v>
      </c>
      <c r="M92" s="223"/>
      <c r="N92" s="224"/>
      <c r="O92" s="224"/>
      <c r="P92" s="216"/>
      <c r="Q92" s="224"/>
      <c r="R92" s="224"/>
      <c r="S92" s="216"/>
      <c r="T92" s="227"/>
      <c r="U92" s="222"/>
      <c r="V92" s="227"/>
      <c r="W92" s="222"/>
      <c r="X92" s="227"/>
      <c r="Y92" s="227"/>
      <c r="Z92" s="227"/>
      <c r="AA92" s="222"/>
      <c r="AB92" s="227"/>
      <c r="AC92" s="227"/>
      <c r="AD92" s="227"/>
      <c r="AE92" s="227"/>
      <c r="AF92" s="227"/>
      <c r="AG92" s="227"/>
      <c r="AH92" s="227"/>
      <c r="AI92" s="227"/>
      <c r="AJ92" s="227"/>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row>
    <row r="93" spans="1:66" customFormat="1" ht="15.75" hidden="1" customHeight="1">
      <c r="A93" s="224" t="s">
        <v>163</v>
      </c>
      <c r="B93" s="224" t="s">
        <v>192</v>
      </c>
      <c r="C93" s="239" t="s">
        <v>193</v>
      </c>
      <c r="D93" s="216" t="s">
        <v>298</v>
      </c>
      <c r="E93" s="230">
        <v>45947</v>
      </c>
      <c r="F93" s="230">
        <v>45947</v>
      </c>
      <c r="G93" s="218">
        <v>15</v>
      </c>
      <c r="H93" s="219">
        <v>14</v>
      </c>
      <c r="I93" s="220">
        <f>SUM(N93:AB93)</f>
        <v>0</v>
      </c>
      <c r="J93" s="221">
        <f t="shared" si="2"/>
        <v>-6.6666666666666666E-2</v>
      </c>
      <c r="K93" s="216">
        <v>3</v>
      </c>
      <c r="L93" s="221" t="str">
        <f t="shared" si="3"/>
        <v>Normal</v>
      </c>
      <c r="M93" s="223"/>
      <c r="N93" s="216"/>
      <c r="O93" s="216"/>
      <c r="P93" s="216"/>
      <c r="Q93" s="216"/>
      <c r="R93" s="216"/>
      <c r="S93" s="216"/>
      <c r="T93" s="227"/>
      <c r="U93" s="222"/>
      <c r="V93" s="227"/>
      <c r="W93" s="222"/>
      <c r="X93" s="227"/>
      <c r="Y93" s="227"/>
      <c r="Z93" s="227"/>
      <c r="AA93" s="222"/>
      <c r="AB93" s="227"/>
      <c r="AC93" s="227"/>
      <c r="AD93" s="227"/>
      <c r="AE93" s="227"/>
      <c r="AF93" s="227"/>
      <c r="AG93" s="227"/>
      <c r="AH93" s="227"/>
      <c r="AI93" s="227"/>
      <c r="AJ93" s="227"/>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row>
    <row r="94" spans="1:66" customFormat="1" ht="15.75" hidden="1" customHeight="1">
      <c r="A94" s="224" t="s">
        <v>163</v>
      </c>
      <c r="B94" s="224" t="s">
        <v>197</v>
      </c>
      <c r="C94" s="215" t="s">
        <v>198</v>
      </c>
      <c r="D94" s="216" t="s">
        <v>141</v>
      </c>
      <c r="E94" s="230">
        <v>45951</v>
      </c>
      <c r="F94" s="230">
        <v>45951</v>
      </c>
      <c r="G94" s="218">
        <v>40</v>
      </c>
      <c r="H94" s="219">
        <v>52</v>
      </c>
      <c r="I94" s="220">
        <f>SUM(N94:AB94)</f>
        <v>0</v>
      </c>
      <c r="J94" s="221">
        <f t="shared" si="2"/>
        <v>0.3</v>
      </c>
      <c r="K94" s="216">
        <v>1</v>
      </c>
      <c r="L94" s="221" t="str">
        <f t="shared" si="3"/>
        <v>Desviado</v>
      </c>
      <c r="M94" s="223"/>
      <c r="N94" s="216"/>
      <c r="O94" s="216"/>
      <c r="P94" s="216"/>
      <c r="Q94" s="216"/>
      <c r="R94" s="216"/>
      <c r="S94" s="216"/>
      <c r="T94" s="227"/>
      <c r="U94" s="222"/>
      <c r="V94" s="227"/>
      <c r="W94" s="222"/>
      <c r="X94" s="227"/>
      <c r="Y94" s="227"/>
      <c r="Z94" s="227"/>
      <c r="AA94" s="222"/>
      <c r="AB94" s="227"/>
      <c r="AC94" s="227"/>
      <c r="AD94" s="227"/>
      <c r="AE94" s="227"/>
      <c r="AF94" s="227"/>
      <c r="AG94" s="227"/>
      <c r="AH94" s="227"/>
      <c r="AI94" s="227"/>
      <c r="AJ94" s="227"/>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row>
    <row r="95" spans="1:66" customFormat="1" ht="15.75" hidden="1" customHeight="1">
      <c r="A95" s="224" t="s">
        <v>163</v>
      </c>
      <c r="B95" s="240" t="s">
        <v>203</v>
      </c>
      <c r="C95" s="233" t="s">
        <v>204</v>
      </c>
      <c r="D95" s="216" t="s">
        <v>141</v>
      </c>
      <c r="E95" s="230">
        <v>45959</v>
      </c>
      <c r="F95" s="230">
        <v>45959</v>
      </c>
      <c r="G95" s="218">
        <v>24</v>
      </c>
      <c r="H95" s="219">
        <v>31</v>
      </c>
      <c r="I95" s="220">
        <f>SUM(N95:AB95)</f>
        <v>0</v>
      </c>
      <c r="J95" s="221">
        <f t="shared" si="2"/>
        <v>0.29166666666666669</v>
      </c>
      <c r="K95" s="216">
        <v>1</v>
      </c>
      <c r="L95" s="221" t="str">
        <f t="shared" si="3"/>
        <v>Normal</v>
      </c>
      <c r="M95" s="223"/>
      <c r="N95" s="216"/>
      <c r="O95" s="216"/>
      <c r="P95" s="216"/>
      <c r="Q95" s="216"/>
      <c r="R95" s="216"/>
      <c r="S95" s="216"/>
      <c r="T95" s="227"/>
      <c r="U95" s="222"/>
      <c r="V95" s="227"/>
      <c r="W95" s="222"/>
      <c r="X95" s="227"/>
      <c r="Y95" s="227"/>
      <c r="Z95" s="227"/>
      <c r="AA95" s="222"/>
      <c r="AB95" s="227"/>
      <c r="AC95" s="227"/>
      <c r="AD95" s="227"/>
      <c r="AE95" s="227"/>
      <c r="AF95" s="227"/>
      <c r="AG95" s="227"/>
      <c r="AH95" s="227"/>
      <c r="AI95" s="227"/>
      <c r="AJ95" s="227"/>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row>
    <row r="96" spans="1:66" customFormat="1" ht="15.75" hidden="1" customHeight="1">
      <c r="A96" s="224" t="s">
        <v>163</v>
      </c>
      <c r="B96" s="224" t="s">
        <v>205</v>
      </c>
      <c r="C96" s="215" t="s">
        <v>206</v>
      </c>
      <c r="D96" s="216" t="s">
        <v>141</v>
      </c>
      <c r="E96" s="230">
        <v>45978</v>
      </c>
      <c r="F96" s="230">
        <v>45979</v>
      </c>
      <c r="G96" s="218">
        <v>16</v>
      </c>
      <c r="H96" s="219">
        <v>20</v>
      </c>
      <c r="I96" s="220">
        <f>SUM(N96:AB96)</f>
        <v>0</v>
      </c>
      <c r="J96" s="221">
        <f t="shared" si="2"/>
        <v>0.25</v>
      </c>
      <c r="K96" s="216">
        <v>1</v>
      </c>
      <c r="L96" s="221" t="str">
        <f t="shared" si="3"/>
        <v>Normal</v>
      </c>
      <c r="M96" s="223"/>
      <c r="N96" s="216"/>
      <c r="O96" s="216"/>
      <c r="P96" s="216"/>
      <c r="Q96" s="216"/>
      <c r="R96" s="216"/>
      <c r="S96" s="216"/>
      <c r="T96" s="227"/>
      <c r="U96" s="222"/>
      <c r="V96" s="227"/>
      <c r="W96" s="222"/>
      <c r="X96" s="227"/>
      <c r="Y96" s="227"/>
      <c r="Z96" s="227"/>
      <c r="AA96" s="222"/>
      <c r="AB96" s="227"/>
      <c r="AC96" s="227"/>
      <c r="AD96" s="227"/>
      <c r="AE96" s="227"/>
      <c r="AF96" s="227"/>
      <c r="AG96" s="227"/>
      <c r="AH96" s="227"/>
      <c r="AI96" s="227"/>
      <c r="AJ96" s="227"/>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row>
    <row r="97" spans="1:65" customFormat="1" ht="15.75" hidden="1" customHeight="1">
      <c r="A97" s="224" t="s">
        <v>163</v>
      </c>
      <c r="B97" s="224" t="s">
        <v>176</v>
      </c>
      <c r="C97" s="233" t="s">
        <v>177</v>
      </c>
      <c r="D97" s="216" t="s">
        <v>298</v>
      </c>
      <c r="E97" s="230">
        <v>45922</v>
      </c>
      <c r="F97" s="230">
        <v>45915</v>
      </c>
      <c r="G97" s="218">
        <v>8</v>
      </c>
      <c r="H97" s="219">
        <v>10</v>
      </c>
      <c r="I97" s="220">
        <f>SUM(N97:AB97)</f>
        <v>0</v>
      </c>
      <c r="J97" s="221">
        <f t="shared" si="2"/>
        <v>0.25</v>
      </c>
      <c r="K97" s="216">
        <v>2</v>
      </c>
      <c r="L97" s="221" t="str">
        <f t="shared" si="3"/>
        <v>Normal</v>
      </c>
      <c r="M97" s="223"/>
      <c r="N97" s="224"/>
      <c r="O97" s="224"/>
      <c r="P97" s="216"/>
      <c r="Q97" s="224"/>
      <c r="R97" s="224"/>
      <c r="S97" s="216"/>
      <c r="T97" s="226"/>
      <c r="U97" s="222"/>
      <c r="V97" s="226"/>
      <c r="W97" s="222"/>
      <c r="X97" s="226"/>
      <c r="Y97" s="226"/>
      <c r="Z97" s="226"/>
      <c r="AA97" s="161"/>
      <c r="AB97" s="226"/>
      <c r="AC97" s="226"/>
      <c r="AD97" s="226"/>
      <c r="AE97" s="226"/>
      <c r="AF97" s="226"/>
      <c r="AG97" s="226"/>
      <c r="AH97" s="226"/>
      <c r="AI97" s="226"/>
      <c r="AJ97" s="226"/>
    </row>
    <row r="98" spans="1:65" customFormat="1" ht="15.75" hidden="1" customHeight="1">
      <c r="A98" s="224" t="s">
        <v>163</v>
      </c>
      <c r="B98" s="224" t="s">
        <v>178</v>
      </c>
      <c r="C98" s="233" t="s">
        <v>179</v>
      </c>
      <c r="D98" s="216" t="s">
        <v>298</v>
      </c>
      <c r="E98" s="230">
        <v>45922</v>
      </c>
      <c r="F98" s="230">
        <v>45922</v>
      </c>
      <c r="G98" s="218">
        <v>14</v>
      </c>
      <c r="H98" s="219">
        <v>18</v>
      </c>
      <c r="I98" s="220">
        <f>SUM(N98:AB98)</f>
        <v>0</v>
      </c>
      <c r="J98" s="221">
        <f t="shared" si="2"/>
        <v>0.2857142857142857</v>
      </c>
      <c r="K98" s="216">
        <v>3</v>
      </c>
      <c r="L98" s="221" t="str">
        <f t="shared" si="3"/>
        <v>Normal</v>
      </c>
      <c r="M98" s="223"/>
      <c r="N98" s="224"/>
      <c r="O98" s="224"/>
      <c r="P98" s="216"/>
      <c r="Q98" s="224"/>
      <c r="R98" s="224"/>
      <c r="S98" s="216"/>
      <c r="T98" s="226"/>
      <c r="U98" s="222"/>
      <c r="V98" s="226"/>
      <c r="W98" s="222"/>
      <c r="X98" s="226"/>
      <c r="Y98" s="226"/>
      <c r="Z98" s="226"/>
      <c r="AA98" s="161"/>
      <c r="AB98" s="226"/>
      <c r="AC98" s="226"/>
      <c r="AD98" s="226"/>
      <c r="AE98" s="226"/>
      <c r="AF98" s="226"/>
      <c r="AG98" s="226"/>
      <c r="AH98" s="226"/>
      <c r="AI98" s="226"/>
      <c r="AJ98" s="226"/>
    </row>
    <row r="99" spans="1:65" customFormat="1" ht="15.75" hidden="1" customHeight="1">
      <c r="A99" s="224" t="s">
        <v>163</v>
      </c>
      <c r="B99" s="224" t="s">
        <v>181</v>
      </c>
      <c r="C99" s="233" t="s">
        <v>182</v>
      </c>
      <c r="D99" s="216" t="s">
        <v>298</v>
      </c>
      <c r="E99" s="230">
        <v>45905</v>
      </c>
      <c r="F99" s="230">
        <v>45905</v>
      </c>
      <c r="G99" s="218">
        <v>12</v>
      </c>
      <c r="H99" s="219">
        <v>15</v>
      </c>
      <c r="I99" s="220">
        <f>SUM(N99:AB99)</f>
        <v>0</v>
      </c>
      <c r="J99" s="221">
        <f t="shared" si="2"/>
        <v>0.25</v>
      </c>
      <c r="K99" s="216">
        <v>1</v>
      </c>
      <c r="L99" s="221" t="str">
        <f t="shared" si="3"/>
        <v>Normal</v>
      </c>
      <c r="M99" s="223"/>
      <c r="N99" s="224"/>
      <c r="O99" s="224"/>
      <c r="P99" s="216"/>
      <c r="Q99" s="224"/>
      <c r="R99" s="224"/>
      <c r="S99" s="216"/>
      <c r="T99" s="226"/>
      <c r="U99" s="222"/>
      <c r="V99" s="226"/>
      <c r="W99" s="222"/>
      <c r="X99" s="226"/>
      <c r="Y99" s="226"/>
      <c r="Z99" s="226"/>
      <c r="AA99" s="161"/>
      <c r="AB99" s="226"/>
      <c r="AC99" s="226"/>
      <c r="AD99" s="226"/>
      <c r="AE99" s="226"/>
      <c r="AF99" s="226"/>
      <c r="AG99" s="226"/>
      <c r="AH99" s="226"/>
      <c r="AI99" s="226"/>
      <c r="AJ99" s="226"/>
    </row>
    <row r="100" spans="1:65" customFormat="1" ht="15.75" hidden="1" customHeight="1">
      <c r="A100" s="224" t="s">
        <v>163</v>
      </c>
      <c r="B100" s="224" t="s">
        <v>183</v>
      </c>
      <c r="C100" s="233" t="s">
        <v>184</v>
      </c>
      <c r="D100" s="216" t="s">
        <v>298</v>
      </c>
      <c r="E100" s="230">
        <v>45908</v>
      </c>
      <c r="F100" s="230">
        <v>45908</v>
      </c>
      <c r="G100" s="218">
        <v>4</v>
      </c>
      <c r="H100" s="219">
        <v>5</v>
      </c>
      <c r="I100" s="220">
        <f>SUM(N100:AB100)</f>
        <v>0</v>
      </c>
      <c r="J100" s="221">
        <f t="shared" si="2"/>
        <v>0.25</v>
      </c>
      <c r="K100" s="216">
        <v>1</v>
      </c>
      <c r="L100" s="221" t="str">
        <f t="shared" si="3"/>
        <v>Normal</v>
      </c>
      <c r="M100" s="223"/>
      <c r="N100" s="224"/>
      <c r="O100" s="224"/>
      <c r="P100" s="216"/>
      <c r="Q100" s="224"/>
      <c r="R100" s="224"/>
      <c r="S100" s="216"/>
      <c r="T100" s="226"/>
      <c r="U100" s="222"/>
      <c r="V100" s="226"/>
      <c r="W100" s="222"/>
      <c r="X100" s="226"/>
      <c r="Y100" s="226"/>
      <c r="Z100" s="226"/>
      <c r="AA100" s="161"/>
      <c r="AB100" s="226"/>
      <c r="AC100" s="226"/>
      <c r="AD100" s="226"/>
      <c r="AE100" s="226"/>
      <c r="AF100" s="226"/>
      <c r="AG100" s="226"/>
      <c r="AH100" s="226"/>
      <c r="AI100" s="226"/>
      <c r="AJ100" s="226"/>
    </row>
    <row r="101" spans="1:65" customFormat="1" ht="15.75" hidden="1" customHeight="1">
      <c r="A101" s="224" t="s">
        <v>163</v>
      </c>
      <c r="B101" s="224" t="s">
        <v>201</v>
      </c>
      <c r="C101" s="215" t="s">
        <v>202</v>
      </c>
      <c r="D101" s="216" t="s">
        <v>298</v>
      </c>
      <c r="E101" s="230">
        <v>45945</v>
      </c>
      <c r="F101" s="230">
        <v>45932</v>
      </c>
      <c r="G101" s="218">
        <v>24</v>
      </c>
      <c r="H101" s="219">
        <v>28</v>
      </c>
      <c r="I101" s="220">
        <f>SUM(N101:AB101)</f>
        <v>0</v>
      </c>
      <c r="J101" s="221">
        <f t="shared" si="2"/>
        <v>0.16666666666666666</v>
      </c>
      <c r="K101" s="216">
        <v>2</v>
      </c>
      <c r="L101" s="221" t="str">
        <f t="shared" si="3"/>
        <v>Normal</v>
      </c>
      <c r="M101" s="223"/>
      <c r="N101" s="216"/>
      <c r="O101" s="216"/>
      <c r="P101" s="216"/>
      <c r="Q101" s="216"/>
      <c r="R101" s="216"/>
      <c r="S101" s="216"/>
      <c r="T101" s="226"/>
      <c r="U101" s="222"/>
      <c r="V101" s="226"/>
      <c r="W101" s="222"/>
      <c r="X101" s="226"/>
      <c r="Y101" s="226"/>
      <c r="Z101" s="226"/>
      <c r="AA101" s="161"/>
      <c r="AB101" s="226"/>
      <c r="AC101" s="226"/>
      <c r="AD101" s="226"/>
      <c r="AE101" s="226"/>
      <c r="AF101" s="226"/>
      <c r="AG101" s="226"/>
      <c r="AH101" s="226"/>
      <c r="AI101" s="226"/>
      <c r="AJ101" s="226"/>
    </row>
    <row r="102" spans="1:65" customFormat="1" ht="15.75" hidden="1" customHeight="1">
      <c r="A102" s="224" t="s">
        <v>163</v>
      </c>
      <c r="B102" s="224" t="s">
        <v>190</v>
      </c>
      <c r="C102" s="233" t="s">
        <v>191</v>
      </c>
      <c r="D102" s="216" t="s">
        <v>298</v>
      </c>
      <c r="E102" s="230">
        <v>45931</v>
      </c>
      <c r="F102" s="230">
        <v>45929</v>
      </c>
      <c r="G102" s="218">
        <v>50</v>
      </c>
      <c r="H102" s="219">
        <v>65</v>
      </c>
      <c r="I102" s="220">
        <f>SUM(N102:AB102)</f>
        <v>0</v>
      </c>
      <c r="J102" s="221">
        <f t="shared" si="2"/>
        <v>0.3</v>
      </c>
      <c r="K102" s="216">
        <v>4</v>
      </c>
      <c r="L102" s="221" t="str">
        <f t="shared" si="3"/>
        <v>Desviado</v>
      </c>
      <c r="M102" s="223"/>
      <c r="N102" s="216"/>
      <c r="O102" s="216"/>
      <c r="P102" s="216"/>
      <c r="Q102" s="216"/>
      <c r="R102" s="216"/>
      <c r="S102" s="216"/>
      <c r="T102" s="226"/>
      <c r="U102" s="222"/>
      <c r="V102" s="226"/>
      <c r="W102" s="222"/>
      <c r="X102" s="226"/>
      <c r="Y102" s="226"/>
      <c r="Z102" s="226"/>
      <c r="AA102" s="161"/>
      <c r="AB102" s="226"/>
      <c r="AC102" s="226"/>
      <c r="AD102" s="226"/>
      <c r="AE102" s="226"/>
      <c r="AF102" s="226"/>
      <c r="AG102" s="226"/>
      <c r="AH102" s="226"/>
      <c r="AI102" s="226"/>
      <c r="AJ102" s="226"/>
    </row>
    <row r="103" spans="1:65" customFormat="1" ht="15.75" hidden="1" customHeight="1">
      <c r="A103" s="224" t="s">
        <v>163</v>
      </c>
      <c r="B103" s="224" t="s">
        <v>238</v>
      </c>
      <c r="C103" s="215" t="s">
        <v>410</v>
      </c>
      <c r="D103" s="216" t="s">
        <v>298</v>
      </c>
      <c r="E103" s="217">
        <v>45974</v>
      </c>
      <c r="F103" s="217">
        <v>45974</v>
      </c>
      <c r="G103" s="218">
        <v>44</v>
      </c>
      <c r="H103" s="219">
        <v>56</v>
      </c>
      <c r="I103" s="220">
        <f>SUM(N103:AB103)</f>
        <v>0</v>
      </c>
      <c r="J103" s="221">
        <f t="shared" si="2"/>
        <v>0.27272727272727271</v>
      </c>
      <c r="K103" s="216">
        <v>2</v>
      </c>
      <c r="L103" s="221" t="str">
        <f t="shared" si="3"/>
        <v>Normal</v>
      </c>
      <c r="M103" s="223"/>
      <c r="N103" s="224"/>
      <c r="O103" s="224"/>
      <c r="P103" s="216"/>
      <c r="Q103" s="224"/>
      <c r="R103" s="224"/>
      <c r="S103" s="216"/>
      <c r="T103" s="226"/>
      <c r="U103" s="222"/>
      <c r="V103" s="226"/>
      <c r="W103" s="222"/>
      <c r="X103" s="226"/>
      <c r="Y103" s="226"/>
      <c r="Z103" s="226"/>
      <c r="AA103" s="161"/>
      <c r="AB103" s="226"/>
      <c r="AC103" s="226"/>
      <c r="AD103" s="226"/>
      <c r="AE103" s="226"/>
      <c r="AF103" s="226"/>
      <c r="AG103" s="226"/>
      <c r="AH103" s="226"/>
      <c r="AI103" s="226"/>
      <c r="AJ103" s="226"/>
    </row>
    <row r="104" spans="1:65" customFormat="1" ht="15.75" hidden="1" customHeight="1">
      <c r="A104" s="224" t="s">
        <v>163</v>
      </c>
      <c r="B104" s="224" t="s">
        <v>411</v>
      </c>
      <c r="C104" s="215" t="s">
        <v>327</v>
      </c>
      <c r="D104" s="216" t="s">
        <v>298</v>
      </c>
      <c r="E104" s="230">
        <v>45965</v>
      </c>
      <c r="F104" s="230">
        <v>45965</v>
      </c>
      <c r="G104" s="218">
        <v>4</v>
      </c>
      <c r="H104" s="219">
        <v>5</v>
      </c>
      <c r="I104" s="220">
        <f>SUM(N104:AB104)</f>
        <v>0</v>
      </c>
      <c r="J104" s="221">
        <f t="shared" si="2"/>
        <v>0.25</v>
      </c>
      <c r="K104" s="216">
        <v>1</v>
      </c>
      <c r="L104" s="221" t="str">
        <f t="shared" si="3"/>
        <v>Normal</v>
      </c>
      <c r="M104" s="223"/>
      <c r="N104" s="224"/>
      <c r="O104" s="224"/>
      <c r="P104" s="216"/>
      <c r="Q104" s="224"/>
      <c r="R104" s="224"/>
      <c r="S104" s="216"/>
      <c r="T104" s="226"/>
      <c r="U104" s="222"/>
      <c r="V104" s="226"/>
      <c r="W104" s="222"/>
      <c r="X104" s="226"/>
      <c r="Y104" s="226"/>
      <c r="Z104" s="226"/>
      <c r="AA104" s="161"/>
      <c r="AB104" s="226"/>
      <c r="AC104" s="226"/>
      <c r="AD104" s="226"/>
      <c r="AE104" s="226"/>
      <c r="AF104" s="226"/>
      <c r="AG104" s="226"/>
      <c r="AH104" s="226"/>
      <c r="AI104" s="226"/>
      <c r="AJ104" s="226"/>
    </row>
    <row r="105" spans="1:65" customFormat="1" ht="15.75" hidden="1" customHeight="1">
      <c r="A105" s="224" t="s">
        <v>163</v>
      </c>
      <c r="B105" s="224" t="s">
        <v>412</v>
      </c>
      <c r="C105" s="215" t="s">
        <v>413</v>
      </c>
      <c r="D105" s="216" t="s">
        <v>298</v>
      </c>
      <c r="E105" s="217">
        <v>45994</v>
      </c>
      <c r="F105" s="217">
        <v>45994</v>
      </c>
      <c r="G105" s="218">
        <v>30</v>
      </c>
      <c r="H105" s="219">
        <v>39</v>
      </c>
      <c r="I105" s="220">
        <f>SUM(N105:AB105)</f>
        <v>0</v>
      </c>
      <c r="J105" s="221">
        <f t="shared" si="2"/>
        <v>0.3</v>
      </c>
      <c r="K105" s="216">
        <v>3</v>
      </c>
      <c r="L105" s="221" t="str">
        <f t="shared" si="3"/>
        <v>Desviado</v>
      </c>
      <c r="M105" s="223"/>
      <c r="N105" s="224"/>
      <c r="O105" s="224"/>
      <c r="P105" s="216"/>
      <c r="Q105" s="224"/>
      <c r="R105" s="224"/>
      <c r="S105" s="216"/>
      <c r="T105" s="226"/>
      <c r="U105" s="222"/>
      <c r="V105" s="226"/>
      <c r="W105" s="222"/>
      <c r="X105" s="226"/>
      <c r="Y105" s="226"/>
      <c r="Z105" s="226"/>
      <c r="AA105" s="161"/>
      <c r="AB105" s="226"/>
      <c r="AC105" s="226"/>
      <c r="AD105" s="226"/>
      <c r="AE105" s="226"/>
      <c r="AF105" s="226"/>
      <c r="AG105" s="226"/>
      <c r="AH105" s="226"/>
      <c r="AI105" s="226"/>
      <c r="AJ105" s="226"/>
    </row>
    <row r="106" spans="1:65" customFormat="1" ht="15.75" hidden="1" customHeight="1">
      <c r="A106" s="224" t="s">
        <v>163</v>
      </c>
      <c r="B106" s="224" t="s">
        <v>414</v>
      </c>
      <c r="C106" s="215" t="s">
        <v>415</v>
      </c>
      <c r="D106" s="216" t="s">
        <v>298</v>
      </c>
      <c r="E106" s="217">
        <v>45996</v>
      </c>
      <c r="F106" s="217">
        <v>45996</v>
      </c>
      <c r="G106" s="218">
        <v>12</v>
      </c>
      <c r="H106" s="219">
        <v>15</v>
      </c>
      <c r="I106" s="220">
        <f>SUM(N106:AB106)</f>
        <v>0</v>
      </c>
      <c r="J106" s="221">
        <f t="shared" si="2"/>
        <v>0.25</v>
      </c>
      <c r="K106" s="216">
        <v>2</v>
      </c>
      <c r="L106" s="221" t="str">
        <f t="shared" si="3"/>
        <v>Normal</v>
      </c>
      <c r="M106" s="223"/>
      <c r="N106" s="224"/>
      <c r="O106" s="224"/>
      <c r="P106" s="216"/>
      <c r="Q106" s="224"/>
      <c r="R106" s="224"/>
      <c r="S106" s="216"/>
      <c r="T106" s="226"/>
      <c r="U106" s="222"/>
      <c r="V106" s="226"/>
      <c r="W106" s="222"/>
      <c r="X106" s="226"/>
      <c r="Y106" s="226"/>
      <c r="Z106" s="226"/>
      <c r="AA106" s="161"/>
      <c r="AB106" s="226"/>
      <c r="AC106" s="226"/>
      <c r="AD106" s="226"/>
      <c r="AE106" s="226"/>
      <c r="AF106" s="226"/>
      <c r="AG106" s="226"/>
      <c r="AH106" s="226"/>
      <c r="AI106" s="226"/>
      <c r="AJ106" s="226"/>
    </row>
    <row r="107" spans="1:65" customFormat="1" ht="15.75" hidden="1" customHeight="1">
      <c r="A107" s="224" t="s">
        <v>163</v>
      </c>
      <c r="B107" s="224" t="s">
        <v>416</v>
      </c>
      <c r="C107" s="215" t="s">
        <v>417</v>
      </c>
      <c r="D107" s="216" t="s">
        <v>307</v>
      </c>
      <c r="E107" s="217">
        <v>46013</v>
      </c>
      <c r="F107" s="217">
        <v>46008</v>
      </c>
      <c r="G107" s="218">
        <f>8+8+8+4</f>
        <v>28</v>
      </c>
      <c r="H107" s="219">
        <v>28</v>
      </c>
      <c r="I107" s="220">
        <f>SUM(N107:AB107)</f>
        <v>0</v>
      </c>
      <c r="J107" s="221">
        <f t="shared" si="2"/>
        <v>0</v>
      </c>
      <c r="K107" s="216">
        <v>0</v>
      </c>
      <c r="L107" s="221" t="str">
        <f t="shared" si="3"/>
        <v>Normal</v>
      </c>
      <c r="M107" s="223"/>
      <c r="N107" s="224"/>
      <c r="O107" s="224"/>
      <c r="P107" s="216"/>
      <c r="Q107" s="224"/>
      <c r="R107" s="224"/>
      <c r="S107" s="216"/>
      <c r="T107" s="226"/>
      <c r="U107" s="222"/>
      <c r="V107" s="226"/>
      <c r="W107" s="222"/>
      <c r="X107" s="226"/>
      <c r="Y107" s="226"/>
      <c r="Z107" s="226"/>
      <c r="AA107" s="161"/>
      <c r="AB107" s="226"/>
      <c r="AC107" s="226"/>
      <c r="AD107" s="226"/>
      <c r="AE107" s="226"/>
      <c r="AF107" s="226"/>
      <c r="AG107" s="226"/>
      <c r="AH107" s="226"/>
      <c r="AI107" s="226"/>
      <c r="AJ107" s="226"/>
    </row>
    <row r="108" spans="1:65" customFormat="1" ht="15.75" hidden="1" customHeight="1">
      <c r="A108" s="224" t="s">
        <v>163</v>
      </c>
      <c r="B108" s="224" t="s">
        <v>418</v>
      </c>
      <c r="C108" s="215" t="s">
        <v>419</v>
      </c>
      <c r="D108" s="216" t="s">
        <v>141</v>
      </c>
      <c r="E108" s="217">
        <v>46022</v>
      </c>
      <c r="F108" s="217">
        <v>46021</v>
      </c>
      <c r="G108" s="218">
        <v>6</v>
      </c>
      <c r="H108" s="219">
        <v>4.5</v>
      </c>
      <c r="I108" s="220">
        <v>0</v>
      </c>
      <c r="J108" s="221">
        <f t="shared" si="2"/>
        <v>-0.25</v>
      </c>
      <c r="K108" s="216">
        <v>1</v>
      </c>
      <c r="L108" s="221" t="str">
        <f t="shared" si="3"/>
        <v>Normal</v>
      </c>
      <c r="M108" s="223"/>
      <c r="N108" s="224"/>
      <c r="O108" s="224"/>
      <c r="P108" s="216"/>
      <c r="Q108" s="224"/>
      <c r="R108" s="224"/>
      <c r="S108" s="216"/>
      <c r="T108" s="226"/>
      <c r="U108" s="222"/>
      <c r="V108" s="226"/>
      <c r="W108" s="222"/>
      <c r="X108" s="226"/>
      <c r="Y108" s="226"/>
      <c r="Z108" s="226"/>
      <c r="AA108" s="161"/>
      <c r="AB108" s="226"/>
      <c r="AC108" s="226"/>
      <c r="AD108" s="226"/>
      <c r="AE108" s="226"/>
      <c r="AF108" s="226"/>
      <c r="AG108" s="226"/>
      <c r="AH108" s="226"/>
      <c r="AI108" s="226"/>
      <c r="AJ108" s="226"/>
    </row>
    <row r="109" spans="1:65" customFormat="1" ht="15.75" hidden="1" customHeight="1">
      <c r="A109" s="224" t="s">
        <v>163</v>
      </c>
      <c r="B109" s="224" t="s">
        <v>420</v>
      </c>
      <c r="C109" s="215" t="s">
        <v>421</v>
      </c>
      <c r="D109" s="216" t="s">
        <v>298</v>
      </c>
      <c r="E109" s="217">
        <v>46027</v>
      </c>
      <c r="F109" s="217">
        <v>46021</v>
      </c>
      <c r="G109" s="218">
        <v>34</v>
      </c>
      <c r="H109" s="219">
        <v>38.5</v>
      </c>
      <c r="I109" s="220">
        <v>0</v>
      </c>
      <c r="J109" s="221">
        <f t="shared" si="2"/>
        <v>0.13235294117647059</v>
      </c>
      <c r="K109" s="216">
        <v>1</v>
      </c>
      <c r="L109" s="221" t="str">
        <f t="shared" si="3"/>
        <v>Normal</v>
      </c>
      <c r="M109" s="223"/>
      <c r="N109" s="224"/>
      <c r="O109" s="224"/>
      <c r="P109" s="216"/>
      <c r="Q109" s="224"/>
      <c r="R109" s="224"/>
      <c r="S109" s="216"/>
      <c r="T109" s="161"/>
      <c r="U109" s="222"/>
      <c r="V109" s="226"/>
      <c r="W109" s="222"/>
      <c r="X109" s="226"/>
      <c r="Y109" s="226"/>
      <c r="Z109" s="226"/>
      <c r="AA109" s="161"/>
      <c r="AB109" s="226"/>
      <c r="AC109" s="226"/>
      <c r="AD109" s="226"/>
      <c r="AE109" s="226"/>
      <c r="AF109" s="226"/>
      <c r="AG109" s="226"/>
      <c r="AH109" s="226"/>
      <c r="AI109" s="226"/>
      <c r="AJ109" s="226"/>
    </row>
    <row r="110" spans="1:65" customFormat="1" ht="15.75" hidden="1" customHeight="1">
      <c r="A110" s="224" t="s">
        <v>163</v>
      </c>
      <c r="B110" s="224" t="s">
        <v>422</v>
      </c>
      <c r="C110" s="233" t="s">
        <v>423</v>
      </c>
      <c r="D110" s="216" t="s">
        <v>113</v>
      </c>
      <c r="E110" s="230">
        <v>45986</v>
      </c>
      <c r="F110" s="230">
        <v>45986</v>
      </c>
      <c r="G110" s="218">
        <v>40</v>
      </c>
      <c r="H110" s="219">
        <v>52</v>
      </c>
      <c r="I110" s="220">
        <f>SUM(N110:AB110)</f>
        <v>0</v>
      </c>
      <c r="J110" s="221">
        <f t="shared" si="2"/>
        <v>0.3</v>
      </c>
      <c r="K110" s="216">
        <v>0</v>
      </c>
      <c r="L110" s="221" t="str">
        <f t="shared" si="3"/>
        <v>Desviado</v>
      </c>
      <c r="M110" s="223"/>
      <c r="N110" s="216"/>
      <c r="O110" s="216"/>
      <c r="P110" s="216"/>
      <c r="Q110" s="216"/>
      <c r="R110" s="216"/>
      <c r="S110" s="216"/>
      <c r="T110" s="226"/>
      <c r="U110" s="222"/>
      <c r="V110" s="226"/>
      <c r="W110" s="222"/>
      <c r="X110" s="226"/>
      <c r="Y110" s="226"/>
      <c r="Z110" s="226"/>
      <c r="AA110" s="161"/>
      <c r="AB110" s="226"/>
      <c r="AC110" s="226"/>
      <c r="AD110" s="226"/>
      <c r="AE110" s="226"/>
      <c r="AF110" s="226"/>
      <c r="AG110" s="226"/>
      <c r="AH110" s="226"/>
      <c r="AI110" s="226"/>
      <c r="AJ110" s="226"/>
    </row>
    <row r="111" spans="1:65" customFormat="1" ht="15.75" hidden="1" customHeight="1">
      <c r="A111" s="224" t="s">
        <v>163</v>
      </c>
      <c r="B111" s="224" t="s">
        <v>424</v>
      </c>
      <c r="C111" s="215" t="s">
        <v>425</v>
      </c>
      <c r="D111" s="216" t="s">
        <v>298</v>
      </c>
      <c r="E111" s="230">
        <v>46041</v>
      </c>
      <c r="F111" s="230">
        <v>46043</v>
      </c>
      <c r="G111" s="218">
        <v>39</v>
      </c>
      <c r="H111" s="219">
        <v>50.5</v>
      </c>
      <c r="I111" s="220">
        <f>SUM(N111:AB111)</f>
        <v>0</v>
      </c>
      <c r="J111" s="221">
        <f t="shared" si="2"/>
        <v>0.29487179487179488</v>
      </c>
      <c r="K111" s="216">
        <v>1</v>
      </c>
      <c r="L111" s="221" t="str">
        <f t="shared" si="3"/>
        <v>Normal</v>
      </c>
      <c r="M111" s="223"/>
      <c r="N111" s="224"/>
      <c r="O111" s="224"/>
      <c r="P111" s="216"/>
      <c r="Q111" s="224"/>
      <c r="R111" s="224"/>
      <c r="S111" s="216"/>
      <c r="T111" s="224"/>
      <c r="U111" s="216"/>
      <c r="V111" s="225"/>
      <c r="W111" s="216"/>
      <c r="X111" s="225"/>
      <c r="Y111" s="225"/>
      <c r="Z111" s="225"/>
      <c r="AA111" s="224"/>
      <c r="AB111" s="225"/>
      <c r="AC111" s="225"/>
      <c r="AD111" s="225"/>
      <c r="AE111" s="225"/>
      <c r="AF111" s="225"/>
      <c r="AG111" s="225"/>
      <c r="AH111" s="225"/>
      <c r="AI111" s="225"/>
      <c r="AJ111" s="225"/>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row>
    <row r="112" spans="1:65" customFormat="1" ht="15.75" hidden="1" customHeight="1">
      <c r="A112" s="224" t="s">
        <v>163</v>
      </c>
      <c r="B112" s="224" t="s">
        <v>426</v>
      </c>
      <c r="C112" s="215" t="s">
        <v>427</v>
      </c>
      <c r="D112" s="216" t="s">
        <v>298</v>
      </c>
      <c r="E112" s="230">
        <v>46042</v>
      </c>
      <c r="F112" s="230">
        <v>46043</v>
      </c>
      <c r="G112" s="218">
        <v>32</v>
      </c>
      <c r="H112" s="219">
        <v>37</v>
      </c>
      <c r="I112" s="220">
        <f>SUM(N112:AB112)</f>
        <v>0</v>
      </c>
      <c r="J112" s="221">
        <f t="shared" si="2"/>
        <v>0.15625</v>
      </c>
      <c r="K112" s="216">
        <v>2</v>
      </c>
      <c r="L112" s="221" t="str">
        <f t="shared" si="3"/>
        <v>Normal</v>
      </c>
      <c r="M112" s="223"/>
      <c r="N112" s="224"/>
      <c r="O112" s="224"/>
      <c r="P112" s="216"/>
      <c r="Q112" s="224"/>
      <c r="R112" s="224"/>
      <c r="S112" s="216"/>
      <c r="T112" s="224"/>
      <c r="U112" s="216"/>
      <c r="V112" s="225"/>
      <c r="W112" s="216"/>
      <c r="X112" s="225"/>
      <c r="Y112" s="225"/>
      <c r="Z112" s="225"/>
      <c r="AA112" s="224"/>
      <c r="AB112" s="225"/>
      <c r="AC112" s="225"/>
      <c r="AD112" s="225"/>
      <c r="AE112" s="225"/>
      <c r="AF112" s="225"/>
      <c r="AG112" s="225"/>
      <c r="AH112" s="225"/>
      <c r="AI112" s="225"/>
      <c r="AJ112" s="225"/>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row>
    <row r="113" spans="1:66" customFormat="1" ht="15.75" hidden="1" customHeight="1">
      <c r="A113" s="224" t="s">
        <v>163</v>
      </c>
      <c r="B113" s="224" t="s">
        <v>428</v>
      </c>
      <c r="C113" s="215" t="s">
        <v>429</v>
      </c>
      <c r="D113" s="216" t="s">
        <v>298</v>
      </c>
      <c r="E113" s="230">
        <v>46042</v>
      </c>
      <c r="F113" s="230">
        <v>46041</v>
      </c>
      <c r="G113" s="218">
        <v>8</v>
      </c>
      <c r="H113" s="219">
        <v>8</v>
      </c>
      <c r="I113" s="220">
        <f>SUM(N113:AB113)</f>
        <v>0</v>
      </c>
      <c r="J113" s="221">
        <f t="shared" si="2"/>
        <v>0</v>
      </c>
      <c r="K113" s="216">
        <v>1</v>
      </c>
      <c r="L113" s="221" t="str">
        <f t="shared" si="3"/>
        <v>Normal</v>
      </c>
      <c r="M113" s="223"/>
      <c r="N113" s="224"/>
      <c r="O113" s="224"/>
      <c r="P113" s="216"/>
      <c r="Q113" s="224"/>
      <c r="R113" s="224"/>
      <c r="S113" s="216"/>
      <c r="T113" s="225"/>
      <c r="U113" s="216"/>
      <c r="V113" s="225"/>
      <c r="W113" s="216"/>
      <c r="X113" s="225"/>
      <c r="Y113" s="225"/>
      <c r="Z113" s="225"/>
      <c r="AA113" s="224"/>
      <c r="AB113" s="225"/>
      <c r="AC113" s="225"/>
      <c r="AD113" s="225"/>
      <c r="AE113" s="225"/>
      <c r="AF113" s="225"/>
      <c r="AG113" s="225"/>
      <c r="AH113" s="225"/>
      <c r="AI113" s="225"/>
      <c r="AJ113" s="225"/>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row>
    <row r="114" spans="1:66" customFormat="1" ht="15.75" hidden="1" customHeight="1">
      <c r="A114" s="224" t="s">
        <v>163</v>
      </c>
      <c r="B114" s="224" t="s">
        <v>430</v>
      </c>
      <c r="C114" s="215" t="s">
        <v>431</v>
      </c>
      <c r="D114" s="216" t="s">
        <v>298</v>
      </c>
      <c r="E114" s="230">
        <v>46048</v>
      </c>
      <c r="F114" s="230">
        <v>46048</v>
      </c>
      <c r="G114" s="218">
        <v>12</v>
      </c>
      <c r="H114" s="219">
        <v>15.5</v>
      </c>
      <c r="I114" s="220">
        <f>SUM(N114:AB114)</f>
        <v>0</v>
      </c>
      <c r="J114" s="221">
        <f t="shared" si="2"/>
        <v>0.29166666666666669</v>
      </c>
      <c r="K114" s="216">
        <v>1</v>
      </c>
      <c r="L114" s="221" t="str">
        <f t="shared" si="3"/>
        <v>Normal</v>
      </c>
      <c r="M114" s="223"/>
      <c r="N114" s="224"/>
      <c r="O114" s="224"/>
      <c r="P114" s="216"/>
      <c r="Q114" s="224"/>
      <c r="R114" s="224"/>
      <c r="S114" s="216"/>
      <c r="T114" s="224"/>
      <c r="U114" s="216"/>
      <c r="V114" s="225"/>
      <c r="W114" s="216"/>
      <c r="X114" s="225"/>
      <c r="Y114" s="225"/>
      <c r="Z114" s="225"/>
      <c r="AA114" s="224"/>
      <c r="AB114" s="225"/>
      <c r="AC114" s="225"/>
      <c r="AD114" s="225"/>
      <c r="AE114" s="225"/>
      <c r="AF114" s="225"/>
      <c r="AG114" s="225"/>
      <c r="AH114" s="225"/>
      <c r="AI114" s="225"/>
      <c r="AJ114" s="225"/>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row>
    <row r="115" spans="1:66" customFormat="1" ht="15.75" hidden="1" customHeight="1">
      <c r="A115" s="224" t="s">
        <v>163</v>
      </c>
      <c r="B115" s="224" t="s">
        <v>432</v>
      </c>
      <c r="C115" s="215" t="s">
        <v>433</v>
      </c>
      <c r="D115" s="216" t="s">
        <v>298</v>
      </c>
      <c r="E115" s="230">
        <v>46056</v>
      </c>
      <c r="F115" s="230">
        <v>46058</v>
      </c>
      <c r="G115" s="218">
        <v>20</v>
      </c>
      <c r="H115" s="219">
        <v>26</v>
      </c>
      <c r="I115" s="220">
        <f>SUM(N115:AB115)</f>
        <v>0</v>
      </c>
      <c r="J115" s="221">
        <f t="shared" si="2"/>
        <v>0.3</v>
      </c>
      <c r="K115" s="216">
        <v>1</v>
      </c>
      <c r="L115" s="221" t="str">
        <f t="shared" si="3"/>
        <v>Desviado</v>
      </c>
      <c r="M115" s="223"/>
      <c r="N115" s="224"/>
      <c r="O115" s="224"/>
      <c r="P115" s="216"/>
      <c r="Q115" s="224"/>
      <c r="R115" s="224"/>
      <c r="S115" s="216"/>
      <c r="T115" s="224"/>
      <c r="U115" s="216"/>
      <c r="V115" s="225"/>
      <c r="W115" s="216"/>
      <c r="X115" s="225"/>
      <c r="Y115" s="225"/>
      <c r="Z115" s="225"/>
      <c r="AA115" s="224"/>
      <c r="AB115" s="225"/>
      <c r="AC115" s="225"/>
      <c r="AD115" s="225"/>
      <c r="AE115" s="225"/>
      <c r="AF115" s="225"/>
      <c r="AG115" s="225"/>
      <c r="AH115" s="225"/>
      <c r="AI115" s="225"/>
      <c r="AJ115" s="225"/>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row>
    <row r="116" spans="1:66" customFormat="1" ht="15.75" hidden="1" customHeight="1">
      <c r="A116" s="224" t="s">
        <v>163</v>
      </c>
      <c r="B116" s="224" t="s">
        <v>434</v>
      </c>
      <c r="C116" s="215" t="s">
        <v>435</v>
      </c>
      <c r="D116" s="216" t="s">
        <v>298</v>
      </c>
      <c r="E116" s="230" t="s">
        <v>219</v>
      </c>
      <c r="F116" s="230">
        <v>46063</v>
      </c>
      <c r="G116" s="218" t="s">
        <v>219</v>
      </c>
      <c r="H116" s="219">
        <v>20</v>
      </c>
      <c r="I116" s="220">
        <f>SUM(N116:AB116)</f>
        <v>0</v>
      </c>
      <c r="J116" s="221" t="str">
        <f t="shared" si="2"/>
        <v/>
      </c>
      <c r="K116" s="216">
        <v>0</v>
      </c>
      <c r="L116" s="221" t="str">
        <f t="shared" si="3"/>
        <v>Sin estimación</v>
      </c>
      <c r="M116" s="223"/>
      <c r="N116" s="224"/>
      <c r="O116" s="224"/>
      <c r="P116" s="216"/>
      <c r="Q116" s="224"/>
      <c r="R116" s="224"/>
      <c r="S116" s="216"/>
      <c r="T116" s="224"/>
      <c r="U116" s="216"/>
      <c r="V116" s="225"/>
      <c r="W116" s="216"/>
      <c r="X116" s="225"/>
      <c r="Y116" s="225"/>
      <c r="Z116" s="225"/>
      <c r="AA116" s="224"/>
      <c r="AB116" s="225"/>
      <c r="AC116" s="225"/>
      <c r="AD116" s="225"/>
      <c r="AE116" s="225"/>
      <c r="AF116" s="225"/>
      <c r="AG116" s="225"/>
      <c r="AH116" s="225"/>
      <c r="AI116" s="225"/>
      <c r="AJ116" s="225"/>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row>
    <row r="117" spans="1:66" customFormat="1" ht="15.75" hidden="1" customHeight="1">
      <c r="A117" s="224" t="s">
        <v>163</v>
      </c>
      <c r="B117" s="224" t="s">
        <v>436</v>
      </c>
      <c r="C117" s="215" t="s">
        <v>437</v>
      </c>
      <c r="D117" s="216" t="s">
        <v>307</v>
      </c>
      <c r="E117" s="230">
        <v>46057</v>
      </c>
      <c r="F117" s="230">
        <v>46057</v>
      </c>
      <c r="G117" s="218" t="s">
        <v>219</v>
      </c>
      <c r="H117" s="219">
        <v>4</v>
      </c>
      <c r="I117" s="220">
        <f>SUM(N117:AB117)</f>
        <v>0</v>
      </c>
      <c r="J117" s="221" t="str">
        <f t="shared" si="2"/>
        <v/>
      </c>
      <c r="K117" s="216">
        <v>0</v>
      </c>
      <c r="L117" s="221" t="str">
        <f t="shared" si="3"/>
        <v>Sin estimación</v>
      </c>
      <c r="M117" s="223"/>
      <c r="N117" s="224"/>
      <c r="O117" s="224"/>
      <c r="P117" s="216"/>
      <c r="Q117" s="224"/>
      <c r="R117" s="224"/>
      <c r="S117" s="216"/>
      <c r="T117" s="224"/>
      <c r="U117" s="216"/>
      <c r="V117" s="225"/>
      <c r="W117" s="216"/>
      <c r="X117" s="225"/>
      <c r="Y117" s="225"/>
      <c r="Z117" s="225"/>
      <c r="AA117" s="224"/>
      <c r="AB117" s="225"/>
      <c r="AC117" s="225"/>
      <c r="AD117" s="225"/>
      <c r="AE117" s="225"/>
      <c r="AF117" s="225"/>
      <c r="AG117" s="225"/>
      <c r="AH117" s="225"/>
      <c r="AI117" s="225"/>
      <c r="AJ117" s="225"/>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row>
    <row r="118" spans="1:66" customFormat="1" ht="15.75" hidden="1" customHeight="1">
      <c r="A118" s="224" t="s">
        <v>163</v>
      </c>
      <c r="B118" s="224" t="s">
        <v>438</v>
      </c>
      <c r="C118" s="215" t="s">
        <v>439</v>
      </c>
      <c r="D118" s="216" t="s">
        <v>298</v>
      </c>
      <c r="E118" s="230">
        <v>46065</v>
      </c>
      <c r="F118" s="230">
        <v>46065</v>
      </c>
      <c r="G118" s="218">
        <v>16</v>
      </c>
      <c r="H118" s="219">
        <v>20.5</v>
      </c>
      <c r="I118" s="220">
        <f>SUM(N118:AB118)</f>
        <v>0</v>
      </c>
      <c r="J118" s="221">
        <f t="shared" si="2"/>
        <v>0.28125</v>
      </c>
      <c r="K118" s="216">
        <v>2</v>
      </c>
      <c r="L118" s="221" t="str">
        <f t="shared" si="3"/>
        <v>Normal</v>
      </c>
      <c r="M118" s="223"/>
      <c r="N118" s="224"/>
      <c r="O118" s="224"/>
      <c r="P118" s="216"/>
      <c r="Q118" s="224"/>
      <c r="R118" s="224"/>
      <c r="S118" s="216"/>
      <c r="T118" s="224"/>
      <c r="U118" s="216"/>
      <c r="V118" s="225"/>
      <c r="W118" s="216"/>
      <c r="X118" s="225"/>
      <c r="Y118" s="225"/>
      <c r="Z118" s="225"/>
      <c r="AA118" s="224"/>
      <c r="AB118" s="225"/>
      <c r="AC118" s="225"/>
      <c r="AD118" s="225"/>
      <c r="AE118" s="225"/>
      <c r="AF118" s="225"/>
      <c r="AG118" s="225"/>
      <c r="AH118" s="225"/>
      <c r="AI118" s="225"/>
      <c r="AJ118" s="225"/>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row>
    <row r="119" spans="1:66" customFormat="1" ht="15.75" hidden="1" customHeight="1">
      <c r="A119" s="224" t="s">
        <v>163</v>
      </c>
      <c r="B119" s="228" t="s">
        <v>440</v>
      </c>
      <c r="C119" s="215" t="s">
        <v>441</v>
      </c>
      <c r="D119" s="216" t="s">
        <v>298</v>
      </c>
      <c r="E119" s="230">
        <v>46044</v>
      </c>
      <c r="F119" s="230">
        <v>46044</v>
      </c>
      <c r="G119" s="218">
        <v>16</v>
      </c>
      <c r="H119" s="219">
        <v>20</v>
      </c>
      <c r="I119" s="220">
        <f>SUM(N119:AB119)</f>
        <v>0</v>
      </c>
      <c r="J119" s="221">
        <f t="shared" si="2"/>
        <v>0.25</v>
      </c>
      <c r="K119" s="224">
        <v>2</v>
      </c>
      <c r="L119" s="221" t="str">
        <f t="shared" si="3"/>
        <v>Normal</v>
      </c>
      <c r="M119" s="223"/>
      <c r="N119" s="224"/>
      <c r="O119" s="224"/>
      <c r="P119" s="216"/>
      <c r="Q119" s="224"/>
      <c r="R119" s="224"/>
      <c r="S119" s="216"/>
      <c r="T119" s="224"/>
      <c r="U119" s="216"/>
      <c r="V119" s="225"/>
      <c r="W119" s="216"/>
      <c r="X119" s="225"/>
      <c r="Y119" s="225"/>
      <c r="Z119" s="225"/>
      <c r="AA119" s="224"/>
      <c r="AB119" s="225"/>
      <c r="AC119" s="225"/>
      <c r="AD119" s="225"/>
      <c r="AE119" s="225"/>
      <c r="AF119" s="225"/>
      <c r="AG119" s="225"/>
      <c r="AH119" s="225"/>
      <c r="AI119" s="225"/>
      <c r="AJ119" s="225"/>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row>
    <row r="120" spans="1:66" customFormat="1" ht="15.75" hidden="1" customHeight="1">
      <c r="A120" s="224" t="s">
        <v>163</v>
      </c>
      <c r="B120" s="228" t="s">
        <v>442</v>
      </c>
      <c r="C120" s="215" t="s">
        <v>443</v>
      </c>
      <c r="D120" s="216" t="s">
        <v>298</v>
      </c>
      <c r="E120" s="230">
        <v>46071</v>
      </c>
      <c r="F120" s="230">
        <v>46071</v>
      </c>
      <c r="G120" s="218">
        <v>24</v>
      </c>
      <c r="H120" s="219">
        <v>31</v>
      </c>
      <c r="I120" s="220">
        <f>SUM(N120:AB120)</f>
        <v>0</v>
      </c>
      <c r="J120" s="221">
        <f t="shared" si="2"/>
        <v>0.29166666666666669</v>
      </c>
      <c r="K120" s="224">
        <v>2</v>
      </c>
      <c r="L120" s="221" t="str">
        <f t="shared" si="3"/>
        <v>Normal</v>
      </c>
      <c r="M120" s="223"/>
      <c r="N120" s="224"/>
      <c r="O120" s="224"/>
      <c r="P120" s="216"/>
      <c r="Q120" s="224"/>
      <c r="R120" s="224"/>
      <c r="S120" s="216"/>
      <c r="T120" s="224"/>
      <c r="U120" s="216"/>
      <c r="V120" s="225"/>
      <c r="W120" s="216"/>
      <c r="X120" s="225"/>
      <c r="Y120" s="225"/>
      <c r="Z120" s="225"/>
      <c r="AA120" s="224"/>
      <c r="AB120" s="225"/>
      <c r="AC120" s="225"/>
      <c r="AD120" s="225"/>
      <c r="AE120" s="225"/>
      <c r="AF120" s="225"/>
      <c r="AG120" s="225"/>
      <c r="AH120" s="225"/>
      <c r="AI120" s="225"/>
      <c r="AJ120" s="225"/>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row>
    <row r="121" spans="1:66" customFormat="1" ht="15.75" hidden="1" customHeight="1">
      <c r="A121" s="224" t="s">
        <v>163</v>
      </c>
      <c r="B121" s="228" t="s">
        <v>444</v>
      </c>
      <c r="C121" s="215" t="s">
        <v>445</v>
      </c>
      <c r="D121" s="216" t="s">
        <v>307</v>
      </c>
      <c r="E121" s="230">
        <v>46077</v>
      </c>
      <c r="F121" s="230">
        <v>46091</v>
      </c>
      <c r="G121" s="218">
        <v>24</v>
      </c>
      <c r="H121" s="219">
        <v>31</v>
      </c>
      <c r="I121" s="220">
        <f>SUM(N121:AB121)</f>
        <v>0</v>
      </c>
      <c r="J121" s="221">
        <f t="shared" si="2"/>
        <v>0.29166666666666669</v>
      </c>
      <c r="K121" s="224">
        <v>0</v>
      </c>
      <c r="L121" s="221" t="str">
        <f t="shared" si="3"/>
        <v>Normal</v>
      </c>
      <c r="M121" s="223"/>
      <c r="N121" s="224"/>
      <c r="O121" s="224"/>
      <c r="P121" s="216"/>
      <c r="Q121" s="224"/>
      <c r="R121" s="224"/>
      <c r="S121" s="216"/>
      <c r="T121" s="224"/>
      <c r="U121" s="216"/>
      <c r="V121" s="225"/>
      <c r="W121" s="216"/>
      <c r="X121" s="225"/>
      <c r="Y121" s="225"/>
      <c r="Z121" s="225"/>
      <c r="AA121" s="224"/>
      <c r="AB121" s="225"/>
      <c r="AC121" s="225"/>
      <c r="AD121" s="225"/>
      <c r="AE121" s="225"/>
      <c r="AF121" s="225"/>
      <c r="AG121" s="225"/>
      <c r="AH121" s="225"/>
      <c r="AI121" s="225"/>
      <c r="AJ121" s="225"/>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row>
    <row r="122" spans="1:66" s="206" customFormat="1" ht="27.75" customHeight="1">
      <c r="A122" s="241" t="s">
        <v>163</v>
      </c>
      <c r="B122" s="241" t="s">
        <v>446</v>
      </c>
      <c r="C122" s="242" t="s">
        <v>447</v>
      </c>
      <c r="D122" s="241" t="s">
        <v>116</v>
      </c>
      <c r="E122" s="243" t="s">
        <v>448</v>
      </c>
      <c r="F122" s="243"/>
      <c r="G122" s="241">
        <v>153</v>
      </c>
      <c r="H122" s="244">
        <f>153+36</f>
        <v>189</v>
      </c>
      <c r="I122" s="245">
        <f>SUM(N122:AJ122)</f>
        <v>12</v>
      </c>
      <c r="J122" s="221">
        <f t="shared" si="2"/>
        <v>0.31372549019607843</v>
      </c>
      <c r="K122" s="241">
        <v>2</v>
      </c>
      <c r="L122" s="221" t="str">
        <f t="shared" si="3"/>
        <v>Desviado</v>
      </c>
      <c r="M122" s="246"/>
      <c r="N122" s="241"/>
      <c r="O122" s="241"/>
      <c r="P122" s="241"/>
      <c r="Q122" s="241"/>
      <c r="R122" s="241"/>
      <c r="S122" s="241"/>
      <c r="T122" s="241"/>
      <c r="U122" s="241"/>
      <c r="V122" s="241"/>
      <c r="W122" s="241"/>
      <c r="X122" s="241"/>
      <c r="Y122" s="241">
        <v>4</v>
      </c>
      <c r="Z122" s="241"/>
      <c r="AA122" s="241"/>
      <c r="AB122" s="241"/>
      <c r="AC122" s="241">
        <v>8</v>
      </c>
      <c r="AD122" s="241"/>
      <c r="AE122" s="241"/>
      <c r="AF122" s="241"/>
      <c r="AG122" s="241"/>
      <c r="AH122" s="241"/>
      <c r="AI122" s="241"/>
      <c r="AJ122" s="241"/>
      <c r="AK122" s="205"/>
      <c r="AL122" s="205"/>
      <c r="AM122" s="205"/>
      <c r="AN122" s="205"/>
      <c r="AO122" s="205"/>
      <c r="AP122" s="205"/>
      <c r="AQ122" s="205"/>
      <c r="AR122" s="205"/>
    </row>
    <row r="123" spans="1:66" customFormat="1" ht="15.75" hidden="1" customHeight="1">
      <c r="A123" s="224" t="s">
        <v>163</v>
      </c>
      <c r="B123" s="224" t="s">
        <v>449</v>
      </c>
      <c r="C123" s="215" t="s">
        <v>450</v>
      </c>
      <c r="D123" s="216" t="s">
        <v>298</v>
      </c>
      <c r="E123" s="230">
        <v>46083</v>
      </c>
      <c r="F123" s="230">
        <v>46083</v>
      </c>
      <c r="G123" s="218" t="s">
        <v>219</v>
      </c>
      <c r="H123" s="219">
        <v>12</v>
      </c>
      <c r="I123" s="220">
        <f>SUM(N123:AB123)</f>
        <v>0</v>
      </c>
      <c r="J123" s="221" t="str">
        <f t="shared" si="2"/>
        <v/>
      </c>
      <c r="K123" s="224">
        <v>0</v>
      </c>
      <c r="L123" s="221" t="str">
        <f t="shared" si="3"/>
        <v>Sin estimación</v>
      </c>
      <c r="M123" s="223"/>
      <c r="N123" s="224"/>
      <c r="O123" s="224"/>
      <c r="P123" s="216"/>
      <c r="Q123" s="224"/>
      <c r="R123" s="224"/>
      <c r="S123" s="216"/>
      <c r="T123" s="224"/>
      <c r="U123" s="216"/>
      <c r="V123" s="225"/>
      <c r="W123" s="216"/>
      <c r="X123" s="225"/>
      <c r="Y123" s="225"/>
      <c r="Z123" s="225"/>
      <c r="AA123" s="224"/>
      <c r="AB123" s="225"/>
      <c r="AC123" s="225"/>
      <c r="AD123" s="225"/>
      <c r="AE123" s="225"/>
      <c r="AF123" s="225"/>
      <c r="AG123" s="225"/>
      <c r="AH123" s="225"/>
      <c r="AI123" s="225"/>
      <c r="AJ123" s="225"/>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row>
    <row r="124" spans="1:66" customFormat="1" ht="15.75" hidden="1" customHeight="1">
      <c r="A124" s="224" t="s">
        <v>163</v>
      </c>
      <c r="B124" s="224" t="s">
        <v>451</v>
      </c>
      <c r="C124" s="215" t="s">
        <v>452</v>
      </c>
      <c r="D124" s="216" t="s">
        <v>298</v>
      </c>
      <c r="E124" s="230">
        <v>46097</v>
      </c>
      <c r="F124" s="230">
        <v>46092</v>
      </c>
      <c r="G124" s="224">
        <v>28</v>
      </c>
      <c r="H124" s="219">
        <v>40</v>
      </c>
      <c r="I124" s="237">
        <f>SUM(N124:AB124)</f>
        <v>0</v>
      </c>
      <c r="J124" s="221">
        <f t="shared" si="2"/>
        <v>0.42857142857142855</v>
      </c>
      <c r="K124" s="224">
        <v>2</v>
      </c>
      <c r="L124" s="221" t="str">
        <f t="shared" si="3"/>
        <v>Desviado</v>
      </c>
      <c r="M124" s="223"/>
      <c r="N124" s="224"/>
      <c r="O124" s="224"/>
      <c r="P124" s="216"/>
      <c r="Q124" s="224"/>
      <c r="R124" s="224"/>
      <c r="S124" s="216"/>
      <c r="T124" s="224"/>
      <c r="U124" s="216"/>
      <c r="V124" s="225"/>
      <c r="W124" s="216"/>
      <c r="X124" s="225"/>
      <c r="Y124" s="225"/>
      <c r="Z124" s="225"/>
      <c r="AA124" s="224"/>
      <c r="AB124" s="225"/>
      <c r="AC124" s="225"/>
      <c r="AD124" s="225"/>
      <c r="AE124" s="225"/>
      <c r="AF124" s="225"/>
      <c r="AG124" s="225"/>
      <c r="AH124" s="225"/>
      <c r="AI124" s="225"/>
      <c r="AJ124" s="225"/>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row>
    <row r="125" spans="1:66" customFormat="1" ht="15.75" hidden="1" customHeight="1">
      <c r="A125" s="224" t="s">
        <v>163</v>
      </c>
      <c r="B125" s="224" t="s">
        <v>453</v>
      </c>
      <c r="C125" s="215" t="s">
        <v>454</v>
      </c>
      <c r="D125" s="216" t="s">
        <v>298</v>
      </c>
      <c r="E125" s="230">
        <v>46094</v>
      </c>
      <c r="F125" s="230">
        <v>46094</v>
      </c>
      <c r="G125" s="224">
        <v>12</v>
      </c>
      <c r="H125" s="219">
        <v>19.5</v>
      </c>
      <c r="I125" s="237">
        <f>SUM(N125:AB125)</f>
        <v>0</v>
      </c>
      <c r="J125" s="221">
        <f t="shared" si="2"/>
        <v>0.625</v>
      </c>
      <c r="K125" s="224">
        <v>2</v>
      </c>
      <c r="L125" s="221" t="str">
        <f t="shared" si="3"/>
        <v>Desviado</v>
      </c>
      <c r="M125" s="223"/>
      <c r="N125" s="224"/>
      <c r="O125" s="224"/>
      <c r="P125" s="216"/>
      <c r="Q125" s="224"/>
      <c r="R125" s="224"/>
      <c r="S125" s="216"/>
      <c r="T125" s="224"/>
      <c r="U125" s="216"/>
      <c r="V125" s="225"/>
      <c r="W125" s="216"/>
      <c r="X125" s="225"/>
      <c r="Y125" s="225"/>
      <c r="Z125" s="225"/>
      <c r="AA125" s="224"/>
      <c r="AB125" s="225"/>
      <c r="AC125" s="225"/>
      <c r="AD125" s="225"/>
      <c r="AE125" s="225"/>
      <c r="AF125" s="225"/>
      <c r="AG125" s="225"/>
      <c r="AH125" s="225"/>
      <c r="AI125" s="225"/>
      <c r="AJ125" s="225"/>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row>
    <row r="126" spans="1:66" customFormat="1" ht="15.75" hidden="1" customHeight="1">
      <c r="A126" s="224" t="s">
        <v>163</v>
      </c>
      <c r="B126" s="224" t="s">
        <v>455</v>
      </c>
      <c r="C126" s="215" t="s">
        <v>456</v>
      </c>
      <c r="D126" s="216" t="s">
        <v>307</v>
      </c>
      <c r="E126" s="235" t="s">
        <v>219</v>
      </c>
      <c r="F126" s="235">
        <v>46154</v>
      </c>
      <c r="G126" s="218" t="s">
        <v>219</v>
      </c>
      <c r="H126" s="219">
        <v>23</v>
      </c>
      <c r="I126" s="236">
        <f>SUM(N126:AB126)</f>
        <v>0</v>
      </c>
      <c r="J126" s="221" t="str">
        <f t="shared" si="2"/>
        <v/>
      </c>
      <c r="K126" s="218">
        <v>0</v>
      </c>
      <c r="L126" s="221" t="str">
        <f t="shared" si="3"/>
        <v>Sin estimación</v>
      </c>
      <c r="M126" s="223"/>
      <c r="N126" s="224"/>
      <c r="O126" s="224"/>
      <c r="P126" s="216"/>
      <c r="Q126" s="224"/>
      <c r="R126" s="224"/>
      <c r="S126" s="216"/>
      <c r="T126" s="224"/>
      <c r="U126" s="216"/>
      <c r="V126" s="225"/>
      <c r="W126" s="216"/>
      <c r="X126" s="225"/>
      <c r="Y126" s="225"/>
      <c r="Z126" s="225"/>
      <c r="AA126" s="224"/>
      <c r="AB126" s="225"/>
      <c r="AC126" s="225"/>
      <c r="AD126" s="225"/>
      <c r="AE126" s="225"/>
      <c r="AF126" s="225"/>
      <c r="AG126" s="225"/>
      <c r="AH126" s="225"/>
      <c r="AI126" s="225"/>
      <c r="AJ126" s="225"/>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row>
    <row r="127" spans="1:66" s="39" customFormat="1" ht="15.75" hidden="1" customHeight="1">
      <c r="A127" s="216" t="s">
        <v>163</v>
      </c>
      <c r="B127" s="224" t="s">
        <v>457</v>
      </c>
      <c r="C127" s="247" t="s">
        <v>458</v>
      </c>
      <c r="D127" s="216" t="s">
        <v>298</v>
      </c>
      <c r="E127" s="248">
        <v>46108</v>
      </c>
      <c r="F127" s="248">
        <v>46109</v>
      </c>
      <c r="G127" s="218">
        <v>28</v>
      </c>
      <c r="H127" s="219">
        <v>33.5</v>
      </c>
      <c r="I127" s="220">
        <f>SUM(N127:AB127)</f>
        <v>0</v>
      </c>
      <c r="J127" s="221">
        <f t="shared" si="2"/>
        <v>0.19642857142857142</v>
      </c>
      <c r="K127" s="216">
        <v>0</v>
      </c>
      <c r="L127" s="221" t="str">
        <f t="shared" si="3"/>
        <v>Normal</v>
      </c>
      <c r="M127" s="223"/>
      <c r="N127" s="216"/>
      <c r="O127" s="216"/>
      <c r="P127" s="216"/>
      <c r="Q127" s="216"/>
      <c r="R127" s="216"/>
      <c r="S127" s="216"/>
      <c r="T127" s="216"/>
      <c r="U127" s="216"/>
      <c r="V127" s="249"/>
      <c r="W127" s="216"/>
      <c r="X127" s="249"/>
      <c r="Y127" s="249"/>
      <c r="Z127" s="249"/>
      <c r="AA127" s="216"/>
      <c r="AB127" s="249"/>
      <c r="AC127" s="249"/>
      <c r="AD127" s="249"/>
      <c r="AE127" s="249"/>
      <c r="AF127" s="249"/>
      <c r="AG127" s="249"/>
      <c r="AH127" s="249"/>
      <c r="AI127" s="249"/>
      <c r="AJ127" s="249"/>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row>
    <row r="128" spans="1:66" customFormat="1" ht="15.75" hidden="1" customHeight="1">
      <c r="A128" s="224" t="s">
        <v>163</v>
      </c>
      <c r="B128" s="224" t="s">
        <v>459</v>
      </c>
      <c r="C128" s="215" t="s">
        <v>460</v>
      </c>
      <c r="D128" s="216" t="s">
        <v>298</v>
      </c>
      <c r="E128" s="230">
        <v>46111</v>
      </c>
      <c r="F128" s="230">
        <v>46111</v>
      </c>
      <c r="G128" s="218">
        <v>8</v>
      </c>
      <c r="H128" s="219">
        <v>1</v>
      </c>
      <c r="I128" s="220">
        <f>SUM(N128:AB128)</f>
        <v>0</v>
      </c>
      <c r="J128" s="221">
        <f t="shared" si="2"/>
        <v>-0.875</v>
      </c>
      <c r="K128" s="224">
        <v>0</v>
      </c>
      <c r="L128" s="221" t="str">
        <f t="shared" si="3"/>
        <v>Normal</v>
      </c>
      <c r="M128" s="223"/>
      <c r="N128" s="224"/>
      <c r="O128" s="224"/>
      <c r="P128" s="216"/>
      <c r="Q128" s="224"/>
      <c r="R128" s="224"/>
      <c r="S128" s="216"/>
      <c r="T128" s="224"/>
      <c r="U128" s="216"/>
      <c r="V128" s="225"/>
      <c r="W128" s="216"/>
      <c r="X128" s="225"/>
      <c r="Y128" s="225"/>
      <c r="Z128" s="225"/>
      <c r="AA128" s="224"/>
      <c r="AB128" s="225"/>
      <c r="AC128" s="225"/>
      <c r="AD128" s="225"/>
      <c r="AE128" s="225"/>
      <c r="AF128" s="225"/>
      <c r="AG128" s="225"/>
      <c r="AH128" s="225"/>
      <c r="AI128" s="225"/>
      <c r="AJ128" s="225"/>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row>
    <row r="129" spans="1:66" customFormat="1" ht="15.75" hidden="1" customHeight="1">
      <c r="A129" s="224" t="s">
        <v>163</v>
      </c>
      <c r="B129" s="224" t="s">
        <v>461</v>
      </c>
      <c r="C129" s="215" t="s">
        <v>462</v>
      </c>
      <c r="D129" s="216" t="s">
        <v>298</v>
      </c>
      <c r="E129" s="230">
        <v>46112</v>
      </c>
      <c r="F129" s="230">
        <v>46112</v>
      </c>
      <c r="G129" s="218">
        <v>4</v>
      </c>
      <c r="H129" s="219">
        <v>5</v>
      </c>
      <c r="I129" s="220">
        <f>SUM(N129:AB129)</f>
        <v>0</v>
      </c>
      <c r="J129" s="221">
        <f t="shared" si="2"/>
        <v>0.25</v>
      </c>
      <c r="K129" s="224">
        <v>0</v>
      </c>
      <c r="L129" s="221" t="str">
        <f t="shared" si="3"/>
        <v>Normal</v>
      </c>
      <c r="M129" s="223"/>
      <c r="N129" s="224"/>
      <c r="O129" s="224"/>
      <c r="P129" s="216"/>
      <c r="Q129" s="224"/>
      <c r="R129" s="224"/>
      <c r="S129" s="216"/>
      <c r="T129" s="224"/>
      <c r="U129" s="216"/>
      <c r="V129" s="225"/>
      <c r="W129" s="216"/>
      <c r="X129" s="225"/>
      <c r="Y129" s="225"/>
      <c r="Z129" s="225"/>
      <c r="AA129" s="224"/>
      <c r="AB129" s="225"/>
      <c r="AC129" s="225"/>
      <c r="AD129" s="225"/>
      <c r="AE129" s="225"/>
      <c r="AF129" s="225"/>
      <c r="AG129" s="225"/>
      <c r="AH129" s="225"/>
      <c r="AI129" s="225"/>
      <c r="AJ129" s="225"/>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row>
    <row r="130" spans="1:66" customFormat="1" ht="15.75" hidden="1" customHeight="1">
      <c r="A130" s="224" t="s">
        <v>163</v>
      </c>
      <c r="B130" s="224" t="s">
        <v>463</v>
      </c>
      <c r="C130" s="215" t="s">
        <v>464</v>
      </c>
      <c r="D130" s="216" t="s">
        <v>298</v>
      </c>
      <c r="E130" s="230" t="s">
        <v>219</v>
      </c>
      <c r="F130" s="230">
        <v>46113</v>
      </c>
      <c r="G130" s="218"/>
      <c r="H130" s="219">
        <v>3</v>
      </c>
      <c r="I130" s="220">
        <f>SUM(N130:AB130)</f>
        <v>0</v>
      </c>
      <c r="J130" s="221" t="str">
        <f t="shared" si="2"/>
        <v/>
      </c>
      <c r="K130" s="224">
        <v>0</v>
      </c>
      <c r="L130" s="221" t="str">
        <f t="shared" si="3"/>
        <v>Sin estimación</v>
      </c>
      <c r="M130" s="223"/>
      <c r="N130" s="224"/>
      <c r="O130" s="224"/>
      <c r="P130" s="216"/>
      <c r="Q130" s="224"/>
      <c r="R130" s="224"/>
      <c r="S130" s="216"/>
      <c r="T130" s="224"/>
      <c r="U130" s="216"/>
      <c r="V130" s="225"/>
      <c r="W130" s="216"/>
      <c r="X130" s="225"/>
      <c r="Y130" s="225"/>
      <c r="Z130" s="225"/>
      <c r="AA130" s="224"/>
      <c r="AB130" s="225"/>
      <c r="AC130" s="225"/>
      <c r="AD130" s="225"/>
      <c r="AE130" s="225"/>
      <c r="AF130" s="225"/>
      <c r="AG130" s="225"/>
      <c r="AH130" s="225"/>
      <c r="AI130" s="225"/>
      <c r="AJ130" s="225"/>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row>
    <row r="131" spans="1:66" customFormat="1" ht="15.75" hidden="1" customHeight="1">
      <c r="A131" s="224" t="s">
        <v>163</v>
      </c>
      <c r="B131" s="224" t="s">
        <v>465</v>
      </c>
      <c r="C131" s="215" t="s">
        <v>466</v>
      </c>
      <c r="D131" s="216" t="s">
        <v>298</v>
      </c>
      <c r="E131" s="230">
        <v>46111</v>
      </c>
      <c r="F131" s="230">
        <v>46111</v>
      </c>
      <c r="G131" s="218">
        <v>8</v>
      </c>
      <c r="H131" s="219">
        <v>9.5</v>
      </c>
      <c r="I131" s="220">
        <f>SUM(N131:AB131)</f>
        <v>0</v>
      </c>
      <c r="J131" s="221">
        <f t="shared" ref="J131:J194" si="4">IFERROR((H131+I131-G131)/G131,"")</f>
        <v>0.1875</v>
      </c>
      <c r="K131" s="224">
        <v>0</v>
      </c>
      <c r="L131" s="221" t="str">
        <f t="shared" ref="L131:L194" si="5">IF(OR(J131="",J131="Sin estimado"),"Sin estimación",IF(J131&gt;=30%,"Desviado","Normal"))</f>
        <v>Normal</v>
      </c>
      <c r="M131" s="223"/>
      <c r="N131" s="224"/>
      <c r="O131" s="224"/>
      <c r="P131" s="216"/>
      <c r="Q131" s="224"/>
      <c r="R131" s="224"/>
      <c r="S131" s="216"/>
      <c r="T131" s="224"/>
      <c r="U131" s="216"/>
      <c r="V131" s="225"/>
      <c r="W131" s="216"/>
      <c r="X131" s="225"/>
      <c r="Y131" s="225"/>
      <c r="Z131" s="225"/>
      <c r="AA131" s="224"/>
      <c r="AB131" s="225"/>
      <c r="AC131" s="225"/>
      <c r="AD131" s="225"/>
      <c r="AE131" s="225"/>
      <c r="AF131" s="225"/>
      <c r="AG131" s="225"/>
      <c r="AH131" s="225"/>
      <c r="AI131" s="225"/>
      <c r="AJ131" s="225"/>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row>
    <row r="132" spans="1:66" customFormat="1" ht="15.75" hidden="1" customHeight="1">
      <c r="A132" s="216" t="s">
        <v>163</v>
      </c>
      <c r="B132" s="228" t="s">
        <v>467</v>
      </c>
      <c r="C132" s="215" t="s">
        <v>468</v>
      </c>
      <c r="D132" s="216" t="s">
        <v>298</v>
      </c>
      <c r="E132" s="230">
        <v>46038</v>
      </c>
      <c r="F132" s="230">
        <v>46041</v>
      </c>
      <c r="G132" s="224">
        <v>24</v>
      </c>
      <c r="H132" s="219">
        <v>44</v>
      </c>
      <c r="I132" s="237">
        <f>SUM(N132:AB132)</f>
        <v>0</v>
      </c>
      <c r="J132" s="221">
        <f t="shared" si="4"/>
        <v>0.83333333333333337</v>
      </c>
      <c r="K132" s="224">
        <v>1</v>
      </c>
      <c r="L132" s="221" t="str">
        <f t="shared" si="5"/>
        <v>Desviado</v>
      </c>
      <c r="M132" s="223"/>
      <c r="N132" s="224"/>
      <c r="O132" s="224"/>
      <c r="P132" s="216"/>
      <c r="Q132" s="224"/>
      <c r="R132" s="224"/>
      <c r="S132" s="216"/>
      <c r="T132" s="224"/>
      <c r="U132" s="216"/>
      <c r="V132" s="225"/>
      <c r="W132" s="216"/>
      <c r="X132" s="225"/>
      <c r="Y132" s="225"/>
      <c r="Z132" s="225"/>
      <c r="AA132" s="224"/>
      <c r="AB132" s="225"/>
      <c r="AC132" s="225"/>
      <c r="AD132" s="225"/>
      <c r="AE132" s="225"/>
      <c r="AF132" s="225"/>
      <c r="AG132" s="225"/>
      <c r="AH132" s="225"/>
      <c r="AI132" s="225"/>
      <c r="AJ132" s="225"/>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row>
    <row r="133" spans="1:66" customFormat="1" ht="15.75" hidden="1" customHeight="1">
      <c r="A133" s="216" t="s">
        <v>163</v>
      </c>
      <c r="B133" s="228" t="s">
        <v>469</v>
      </c>
      <c r="C133" s="215" t="s">
        <v>470</v>
      </c>
      <c r="D133" s="216" t="s">
        <v>298</v>
      </c>
      <c r="E133" s="230">
        <v>46030</v>
      </c>
      <c r="F133" s="230">
        <v>46030</v>
      </c>
      <c r="G133" s="224">
        <v>8</v>
      </c>
      <c r="H133" s="219">
        <v>28</v>
      </c>
      <c r="I133" s="237">
        <f>SUM(N133:AB133)</f>
        <v>0</v>
      </c>
      <c r="J133" s="221">
        <f t="shared" si="4"/>
        <v>2.5</v>
      </c>
      <c r="K133" s="224">
        <v>2</v>
      </c>
      <c r="L133" s="221" t="str">
        <f t="shared" si="5"/>
        <v>Desviado</v>
      </c>
      <c r="M133" s="223"/>
      <c r="N133" s="224"/>
      <c r="O133" s="224"/>
      <c r="P133" s="216"/>
      <c r="Q133" s="224"/>
      <c r="R133" s="224"/>
      <c r="S133" s="216"/>
      <c r="T133" s="224"/>
      <c r="U133" s="216"/>
      <c r="V133" s="225"/>
      <c r="W133" s="216"/>
      <c r="X133" s="225"/>
      <c r="Y133" s="225"/>
      <c r="Z133" s="225"/>
      <c r="AA133" s="224"/>
      <c r="AB133" s="225"/>
      <c r="AC133" s="225"/>
      <c r="AD133" s="225"/>
      <c r="AE133" s="225"/>
      <c r="AF133" s="225"/>
      <c r="AG133" s="225"/>
      <c r="AH133" s="225"/>
      <c r="AI133" s="225"/>
      <c r="AJ133" s="225"/>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row>
    <row r="134" spans="1:66" customFormat="1" ht="15.75" hidden="1" customHeight="1">
      <c r="A134" s="234" t="s">
        <v>163</v>
      </c>
      <c r="B134" s="224" t="s">
        <v>471</v>
      </c>
      <c r="C134" s="215" t="s">
        <v>472</v>
      </c>
      <c r="D134" s="216" t="s">
        <v>298</v>
      </c>
      <c r="E134" s="230" t="s">
        <v>219</v>
      </c>
      <c r="F134" s="230">
        <v>46130</v>
      </c>
      <c r="G134" s="230" t="s">
        <v>219</v>
      </c>
      <c r="H134" s="219">
        <v>48</v>
      </c>
      <c r="I134" s="220">
        <f>SUM(N134:AB134)</f>
        <v>0</v>
      </c>
      <c r="J134" s="221" t="str">
        <f t="shared" si="4"/>
        <v/>
      </c>
      <c r="K134" s="224">
        <v>0</v>
      </c>
      <c r="L134" s="221" t="str">
        <f t="shared" si="5"/>
        <v>Sin estimación</v>
      </c>
      <c r="M134" s="223"/>
      <c r="N134" s="224"/>
      <c r="O134" s="224"/>
      <c r="P134" s="216"/>
      <c r="Q134" s="224"/>
      <c r="R134" s="224"/>
      <c r="S134" s="216"/>
      <c r="T134" s="224"/>
      <c r="U134" s="216"/>
      <c r="V134" s="225"/>
      <c r="W134" s="216"/>
      <c r="X134" s="225"/>
      <c r="Y134" s="225"/>
      <c r="Z134" s="225"/>
      <c r="AA134" s="224"/>
      <c r="AB134" s="225"/>
      <c r="AC134" s="225"/>
      <c r="AD134" s="225"/>
      <c r="AE134" s="225"/>
      <c r="AF134" s="225"/>
      <c r="AG134" s="225"/>
      <c r="AH134" s="225"/>
      <c r="AI134" s="225"/>
      <c r="AJ134" s="225"/>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row>
    <row r="135" spans="1:66" customFormat="1" ht="15.75" hidden="1" customHeight="1">
      <c r="A135" s="234" t="s">
        <v>163</v>
      </c>
      <c r="B135" s="224" t="s">
        <v>473</v>
      </c>
      <c r="C135" s="215" t="s">
        <v>474</v>
      </c>
      <c r="D135" s="216" t="s">
        <v>298</v>
      </c>
      <c r="E135" s="230">
        <v>46142</v>
      </c>
      <c r="F135" s="230">
        <v>46142</v>
      </c>
      <c r="G135" s="218">
        <v>17</v>
      </c>
      <c r="H135" s="219">
        <v>17</v>
      </c>
      <c r="I135" s="220">
        <f>SUM(N135:AB135)</f>
        <v>0</v>
      </c>
      <c r="J135" s="221">
        <f t="shared" si="4"/>
        <v>0</v>
      </c>
      <c r="K135" s="224">
        <v>0</v>
      </c>
      <c r="L135" s="221" t="str">
        <f t="shared" si="5"/>
        <v>Normal</v>
      </c>
      <c r="M135" s="223"/>
      <c r="N135" s="224"/>
      <c r="O135" s="224"/>
      <c r="P135" s="216"/>
      <c r="Q135" s="224"/>
      <c r="R135" s="224"/>
      <c r="S135" s="216"/>
      <c r="T135" s="224"/>
      <c r="U135" s="216"/>
      <c r="V135" s="225"/>
      <c r="W135" s="216"/>
      <c r="X135" s="225"/>
      <c r="Y135" s="225"/>
      <c r="Z135" s="225"/>
      <c r="AA135" s="224"/>
      <c r="AB135" s="225"/>
      <c r="AC135" s="225"/>
      <c r="AD135" s="225"/>
      <c r="AE135" s="225"/>
      <c r="AF135" s="225"/>
      <c r="AG135" s="225"/>
      <c r="AH135" s="225"/>
      <c r="AI135" s="225"/>
      <c r="AJ135" s="225"/>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row>
    <row r="136" spans="1:66" customFormat="1" ht="15.75" hidden="1" customHeight="1">
      <c r="A136" s="234" t="s">
        <v>163</v>
      </c>
      <c r="B136" s="228" t="s">
        <v>475</v>
      </c>
      <c r="C136" s="215" t="s">
        <v>476</v>
      </c>
      <c r="D136" s="216" t="s">
        <v>298</v>
      </c>
      <c r="E136" s="230">
        <v>46122</v>
      </c>
      <c r="F136" s="230">
        <v>46122</v>
      </c>
      <c r="G136" s="218">
        <v>3</v>
      </c>
      <c r="H136" s="219">
        <v>3</v>
      </c>
      <c r="I136" s="220">
        <f>SUM(N136:AB136)</f>
        <v>0</v>
      </c>
      <c r="J136" s="221">
        <f t="shared" si="4"/>
        <v>0</v>
      </c>
      <c r="K136" s="224">
        <v>0</v>
      </c>
      <c r="L136" s="221" t="str">
        <f t="shared" si="5"/>
        <v>Normal</v>
      </c>
      <c r="M136" s="223"/>
      <c r="N136" s="224"/>
      <c r="O136" s="224"/>
      <c r="P136" s="216"/>
      <c r="Q136" s="224"/>
      <c r="R136" s="224"/>
      <c r="S136" s="216"/>
      <c r="T136" s="224"/>
      <c r="U136" s="216"/>
      <c r="V136" s="225"/>
      <c r="W136" s="216"/>
      <c r="X136" s="225"/>
      <c r="Y136" s="225"/>
      <c r="Z136" s="225"/>
      <c r="AA136" s="224"/>
      <c r="AB136" s="225"/>
      <c r="AC136" s="225"/>
      <c r="AD136" s="225"/>
      <c r="AE136" s="225"/>
      <c r="AF136" s="225"/>
      <c r="AG136" s="225"/>
      <c r="AH136" s="225"/>
      <c r="AI136" s="225"/>
      <c r="AJ136" s="225"/>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row>
    <row r="137" spans="1:66" customFormat="1" ht="15.75" hidden="1" customHeight="1">
      <c r="A137" s="234" t="s">
        <v>163</v>
      </c>
      <c r="B137" s="228" t="s">
        <v>477</v>
      </c>
      <c r="C137" s="215" t="s">
        <v>478</v>
      </c>
      <c r="D137" s="216" t="s">
        <v>298</v>
      </c>
      <c r="E137" s="230">
        <v>46128</v>
      </c>
      <c r="F137" s="230">
        <v>46128</v>
      </c>
      <c r="G137" s="218" t="s">
        <v>219</v>
      </c>
      <c r="H137" s="219">
        <v>9</v>
      </c>
      <c r="I137" s="220">
        <f>SUM(N137:AB137)</f>
        <v>0</v>
      </c>
      <c r="J137" s="221" t="str">
        <f t="shared" si="4"/>
        <v/>
      </c>
      <c r="K137" s="224">
        <v>0</v>
      </c>
      <c r="L137" s="221" t="str">
        <f t="shared" si="5"/>
        <v>Sin estimación</v>
      </c>
      <c r="M137" s="223"/>
      <c r="N137" s="224"/>
      <c r="O137" s="224"/>
      <c r="P137" s="216"/>
      <c r="Q137" s="224"/>
      <c r="R137" s="224"/>
      <c r="S137" s="216"/>
      <c r="T137" s="224"/>
      <c r="U137" s="216"/>
      <c r="V137" s="225"/>
      <c r="W137" s="216"/>
      <c r="X137" s="225"/>
      <c r="Y137" s="225"/>
      <c r="Z137" s="225"/>
      <c r="AA137" s="224"/>
      <c r="AB137" s="225"/>
      <c r="AC137" s="225"/>
      <c r="AD137" s="225"/>
      <c r="AE137" s="225"/>
      <c r="AF137" s="225"/>
      <c r="AG137" s="225"/>
      <c r="AH137" s="225"/>
      <c r="AI137" s="225"/>
      <c r="AJ137" s="225"/>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row>
    <row r="138" spans="1:66" customFormat="1" ht="15.75" hidden="1" customHeight="1">
      <c r="A138" s="234" t="s">
        <v>163</v>
      </c>
      <c r="B138" s="228" t="s">
        <v>479</v>
      </c>
      <c r="C138" s="215" t="s">
        <v>480</v>
      </c>
      <c r="D138" s="216" t="s">
        <v>298</v>
      </c>
      <c r="E138" s="230">
        <v>46132</v>
      </c>
      <c r="F138" s="230">
        <v>46132</v>
      </c>
      <c r="G138" s="218"/>
      <c r="H138" s="219">
        <v>4</v>
      </c>
      <c r="I138" s="220">
        <f>SUM(N138:AB138)</f>
        <v>0</v>
      </c>
      <c r="J138" s="221" t="str">
        <f t="shared" si="4"/>
        <v/>
      </c>
      <c r="K138" s="224">
        <v>0</v>
      </c>
      <c r="L138" s="221" t="str">
        <f t="shared" si="5"/>
        <v>Sin estimación</v>
      </c>
      <c r="M138" s="223"/>
      <c r="N138" s="224"/>
      <c r="O138" s="224"/>
      <c r="P138" s="216"/>
      <c r="Q138" s="224"/>
      <c r="R138" s="224"/>
      <c r="S138" s="216"/>
      <c r="T138" s="224"/>
      <c r="U138" s="216"/>
      <c r="V138" s="225"/>
      <c r="W138" s="216"/>
      <c r="X138" s="225"/>
      <c r="Y138" s="225"/>
      <c r="Z138" s="225"/>
      <c r="AA138" s="224"/>
      <c r="AB138" s="225"/>
      <c r="AC138" s="225"/>
      <c r="AD138" s="225"/>
      <c r="AE138" s="225"/>
      <c r="AF138" s="225"/>
      <c r="AG138" s="225"/>
      <c r="AH138" s="225"/>
      <c r="AI138" s="225"/>
      <c r="AJ138" s="225"/>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row>
    <row r="139" spans="1:66" customFormat="1" ht="15.75" hidden="1" customHeight="1">
      <c r="A139" s="234" t="s">
        <v>163</v>
      </c>
      <c r="B139" s="228" t="s">
        <v>481</v>
      </c>
      <c r="C139" s="215" t="s">
        <v>482</v>
      </c>
      <c r="D139" s="216" t="s">
        <v>298</v>
      </c>
      <c r="E139" s="235">
        <v>46153</v>
      </c>
      <c r="F139" s="235">
        <v>46156</v>
      </c>
      <c r="G139" s="218">
        <v>112</v>
      </c>
      <c r="H139" s="219">
        <v>184</v>
      </c>
      <c r="I139" s="236">
        <f>SUM(N139:AB139)</f>
        <v>0</v>
      </c>
      <c r="J139" s="221">
        <f t="shared" si="4"/>
        <v>0.6428571428571429</v>
      </c>
      <c r="K139" s="224">
        <v>5</v>
      </c>
      <c r="L139" s="221" t="str">
        <f t="shared" si="5"/>
        <v>Desviado</v>
      </c>
      <c r="M139" s="223"/>
      <c r="N139" s="224"/>
      <c r="O139" s="224"/>
      <c r="P139" s="216"/>
      <c r="Q139" s="224"/>
      <c r="R139" s="224"/>
      <c r="S139" s="216"/>
      <c r="T139" s="224"/>
      <c r="U139" s="216"/>
      <c r="V139" s="224"/>
      <c r="W139" s="216"/>
      <c r="X139" s="224"/>
      <c r="Y139" s="224"/>
      <c r="Z139" s="225"/>
      <c r="AA139" s="224"/>
      <c r="AB139" s="225"/>
      <c r="AC139" s="225"/>
      <c r="AD139" s="225"/>
      <c r="AE139" s="225"/>
      <c r="AF139" s="225"/>
      <c r="AG139" s="225"/>
      <c r="AH139" s="225"/>
      <c r="AI139" s="225"/>
      <c r="AJ139" s="225"/>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row>
    <row r="140" spans="1:66" customFormat="1" ht="15.75" hidden="1" customHeight="1">
      <c r="A140" s="234" t="s">
        <v>163</v>
      </c>
      <c r="B140" s="228" t="s">
        <v>483</v>
      </c>
      <c r="C140" s="215" t="s">
        <v>484</v>
      </c>
      <c r="D140" s="216" t="s">
        <v>298</v>
      </c>
      <c r="E140" s="230">
        <v>46136</v>
      </c>
      <c r="F140" s="230">
        <v>46136</v>
      </c>
      <c r="G140" s="218">
        <v>2</v>
      </c>
      <c r="H140" s="219">
        <v>2</v>
      </c>
      <c r="I140" s="220">
        <f>SUM(N140:AB140)</f>
        <v>0</v>
      </c>
      <c r="J140" s="221">
        <f t="shared" si="4"/>
        <v>0</v>
      </c>
      <c r="K140" s="224">
        <v>0</v>
      </c>
      <c r="L140" s="221" t="str">
        <f t="shared" si="5"/>
        <v>Normal</v>
      </c>
      <c r="M140" s="223"/>
      <c r="N140" s="224"/>
      <c r="O140" s="224"/>
      <c r="P140" s="216"/>
      <c r="Q140" s="224"/>
      <c r="R140" s="224"/>
      <c r="S140" s="216"/>
      <c r="T140" s="224"/>
      <c r="U140" s="216"/>
      <c r="V140" s="225"/>
      <c r="W140" s="216"/>
      <c r="X140" s="225"/>
      <c r="Y140" s="225"/>
      <c r="Z140" s="225"/>
      <c r="AA140" s="224"/>
      <c r="AB140" s="225"/>
      <c r="AC140" s="225"/>
      <c r="AD140" s="225"/>
      <c r="AE140" s="225"/>
      <c r="AF140" s="225"/>
      <c r="AG140" s="225"/>
      <c r="AH140" s="225"/>
      <c r="AI140" s="225"/>
      <c r="AJ140" s="225"/>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row>
    <row r="141" spans="1:66" customFormat="1" ht="80.25" hidden="1" customHeight="1">
      <c r="A141" s="234" t="s">
        <v>163</v>
      </c>
      <c r="B141" s="228" t="s">
        <v>485</v>
      </c>
      <c r="C141" s="215" t="s">
        <v>486</v>
      </c>
      <c r="D141" s="216" t="s">
        <v>141</v>
      </c>
      <c r="E141" s="235">
        <v>46170</v>
      </c>
      <c r="F141" s="235"/>
      <c r="G141" s="218">
        <v>30</v>
      </c>
      <c r="H141" s="219">
        <v>86</v>
      </c>
      <c r="I141" s="236">
        <f>SUM(N141:AB141)</f>
        <v>0</v>
      </c>
      <c r="J141" s="221">
        <f t="shared" si="4"/>
        <v>1.8666666666666667</v>
      </c>
      <c r="K141" s="218">
        <v>3</v>
      </c>
      <c r="L141" s="221" t="str">
        <f t="shared" si="5"/>
        <v>Desviado</v>
      </c>
      <c r="M141" s="246" t="s">
        <v>487</v>
      </c>
      <c r="N141" s="224"/>
      <c r="O141" s="224"/>
      <c r="P141" s="216"/>
      <c r="Q141" s="224"/>
      <c r="R141" s="224"/>
      <c r="S141" s="216"/>
      <c r="T141" s="224"/>
      <c r="U141" s="216"/>
      <c r="V141" s="224"/>
      <c r="W141" s="216"/>
      <c r="X141" s="224"/>
      <c r="Y141" s="224"/>
      <c r="Z141" s="225"/>
      <c r="AA141" s="224"/>
      <c r="AB141" s="225"/>
      <c r="AC141" s="225"/>
      <c r="AD141" s="225"/>
      <c r="AE141" s="225"/>
      <c r="AF141" s="225"/>
      <c r="AG141" s="225"/>
      <c r="AH141" s="225"/>
      <c r="AI141" s="225"/>
      <c r="AJ141" s="225"/>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row>
    <row r="142" spans="1:66" customFormat="1" ht="15.75" hidden="1" customHeight="1">
      <c r="A142" s="234" t="s">
        <v>163</v>
      </c>
      <c r="B142" s="228" t="s">
        <v>488</v>
      </c>
      <c r="C142" s="215" t="s">
        <v>489</v>
      </c>
      <c r="D142" s="216" t="s">
        <v>298</v>
      </c>
      <c r="E142" s="230"/>
      <c r="F142" s="230"/>
      <c r="G142" s="218"/>
      <c r="H142" s="219">
        <v>10</v>
      </c>
      <c r="I142" s="220">
        <f>SUM(N142:AB142)</f>
        <v>0</v>
      </c>
      <c r="J142" s="221" t="str">
        <f t="shared" si="4"/>
        <v/>
      </c>
      <c r="K142" s="224">
        <v>0</v>
      </c>
      <c r="L142" s="221" t="str">
        <f t="shared" si="5"/>
        <v>Sin estimación</v>
      </c>
      <c r="M142" s="223"/>
      <c r="N142" s="224"/>
      <c r="O142" s="224"/>
      <c r="P142" s="216"/>
      <c r="Q142" s="224"/>
      <c r="R142" s="224"/>
      <c r="S142" s="216"/>
      <c r="T142" s="224"/>
      <c r="U142" s="216"/>
      <c r="V142" s="224"/>
      <c r="W142" s="216"/>
      <c r="X142" s="224"/>
      <c r="Y142" s="224"/>
      <c r="Z142" s="225"/>
      <c r="AA142" s="224"/>
      <c r="AB142" s="225"/>
      <c r="AC142" s="225"/>
      <c r="AD142" s="225"/>
      <c r="AE142" s="225"/>
      <c r="AF142" s="225"/>
      <c r="AG142" s="225"/>
      <c r="AH142" s="225"/>
      <c r="AI142" s="225"/>
      <c r="AJ142" s="225"/>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row>
    <row r="143" spans="1:66" customFormat="1" ht="153.75" hidden="1" customHeight="1">
      <c r="A143" s="234" t="s">
        <v>163</v>
      </c>
      <c r="B143" s="228" t="s">
        <v>490</v>
      </c>
      <c r="C143" s="215" t="s">
        <v>491</v>
      </c>
      <c r="D143" s="216" t="s">
        <v>298</v>
      </c>
      <c r="E143" s="235">
        <v>46175</v>
      </c>
      <c r="F143" s="235">
        <v>46178</v>
      </c>
      <c r="G143" s="218">
        <v>12</v>
      </c>
      <c r="H143" s="219">
        <v>28</v>
      </c>
      <c r="I143" s="236">
        <f>SUM(N143:AB143)</f>
        <v>0</v>
      </c>
      <c r="J143" s="221">
        <f t="shared" si="4"/>
        <v>1.3333333333333333</v>
      </c>
      <c r="K143" s="218">
        <v>0</v>
      </c>
      <c r="L143" s="221" t="str">
        <f t="shared" si="5"/>
        <v>Desviado</v>
      </c>
      <c r="M143" s="246" t="s">
        <v>492</v>
      </c>
      <c r="N143" s="224"/>
      <c r="O143" s="224"/>
      <c r="P143" s="216"/>
      <c r="Q143" s="224"/>
      <c r="R143" s="224"/>
      <c r="S143" s="216"/>
      <c r="T143" s="224"/>
      <c r="U143" s="216"/>
      <c r="V143" s="224"/>
      <c r="W143" s="216"/>
      <c r="X143" s="224"/>
      <c r="Y143" s="224"/>
      <c r="Z143" s="225"/>
      <c r="AA143" s="224"/>
      <c r="AB143" s="225"/>
      <c r="AC143" s="225"/>
      <c r="AD143" s="225"/>
      <c r="AE143" s="225"/>
      <c r="AF143" s="225"/>
      <c r="AG143" s="225"/>
      <c r="AH143" s="225"/>
      <c r="AI143" s="225"/>
      <c r="AJ143" s="225"/>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row>
    <row r="144" spans="1:66" customFormat="1" ht="15.75" hidden="1" customHeight="1">
      <c r="A144" s="234" t="s">
        <v>163</v>
      </c>
      <c r="B144" s="228" t="s">
        <v>493</v>
      </c>
      <c r="C144" s="215" t="s">
        <v>494</v>
      </c>
      <c r="D144" s="216" t="s">
        <v>298</v>
      </c>
      <c r="E144" s="230">
        <v>46182</v>
      </c>
      <c r="F144" s="230">
        <v>46182</v>
      </c>
      <c r="G144" s="218"/>
      <c r="H144" s="219">
        <v>15</v>
      </c>
      <c r="I144" s="220">
        <f>SUM(N144:AB144)</f>
        <v>0</v>
      </c>
      <c r="J144" s="221" t="str">
        <f t="shared" si="4"/>
        <v/>
      </c>
      <c r="K144" s="224">
        <v>0</v>
      </c>
      <c r="L144" s="221" t="str">
        <f t="shared" si="5"/>
        <v>Sin estimación</v>
      </c>
      <c r="M144" s="223"/>
      <c r="N144" s="224"/>
      <c r="O144" s="224"/>
      <c r="P144" s="216"/>
      <c r="Q144" s="224"/>
      <c r="R144" s="224"/>
      <c r="S144" s="216"/>
      <c r="T144" s="224"/>
      <c r="U144" s="216"/>
      <c r="V144" s="224"/>
      <c r="W144" s="216"/>
      <c r="X144" s="224"/>
      <c r="Y144" s="224"/>
      <c r="Z144" s="225"/>
      <c r="AA144" s="224"/>
      <c r="AB144" s="225"/>
      <c r="AC144" s="225"/>
      <c r="AD144" s="225"/>
      <c r="AE144" s="225"/>
      <c r="AF144" s="225"/>
      <c r="AG144" s="225"/>
      <c r="AH144" s="225"/>
      <c r="AI144" s="225"/>
      <c r="AJ144" s="225"/>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row>
    <row r="145" spans="1:66" customFormat="1" ht="15.75" hidden="1" customHeight="1">
      <c r="A145" s="234" t="s">
        <v>163</v>
      </c>
      <c r="B145" s="228" t="s">
        <v>390</v>
      </c>
      <c r="C145" s="233" t="s">
        <v>391</v>
      </c>
      <c r="D145" s="216" t="s">
        <v>298</v>
      </c>
      <c r="E145" s="235">
        <v>46127</v>
      </c>
      <c r="F145" s="235">
        <v>46127</v>
      </c>
      <c r="G145" s="218">
        <v>24</v>
      </c>
      <c r="H145" s="219">
        <v>45</v>
      </c>
      <c r="I145" s="236">
        <f>SUM(N145:AB145)</f>
        <v>0</v>
      </c>
      <c r="J145" s="221">
        <f t="shared" si="4"/>
        <v>0.875</v>
      </c>
      <c r="K145" s="216">
        <v>1</v>
      </c>
      <c r="L145" s="221" t="str">
        <f t="shared" si="5"/>
        <v>Desviado</v>
      </c>
      <c r="M145" s="223"/>
      <c r="N145" s="224"/>
      <c r="O145" s="224"/>
      <c r="P145" s="216"/>
      <c r="Q145" s="224"/>
      <c r="R145" s="224"/>
      <c r="S145" s="216"/>
      <c r="T145" s="224"/>
      <c r="U145" s="216"/>
      <c r="V145" s="224"/>
      <c r="W145" s="216"/>
      <c r="X145" s="224"/>
      <c r="Y145" s="224"/>
      <c r="Z145" s="225"/>
      <c r="AA145" s="224"/>
      <c r="AB145" s="225"/>
      <c r="AC145" s="225"/>
      <c r="AD145" s="225"/>
      <c r="AE145" s="225"/>
      <c r="AF145" s="225"/>
      <c r="AG145" s="225"/>
      <c r="AH145" s="225"/>
      <c r="AI145" s="225"/>
      <c r="AJ145" s="225"/>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row>
    <row r="146" spans="1:66" customFormat="1" ht="15.75" hidden="1" customHeight="1">
      <c r="A146" s="234" t="s">
        <v>163</v>
      </c>
      <c r="B146" s="216" t="s">
        <v>495</v>
      </c>
      <c r="C146" s="215" t="s">
        <v>496</v>
      </c>
      <c r="D146" s="216" t="s">
        <v>307</v>
      </c>
      <c r="E146" s="230">
        <v>46203</v>
      </c>
      <c r="F146" s="230">
        <v>46203</v>
      </c>
      <c r="G146" s="218">
        <v>2</v>
      </c>
      <c r="H146" s="219">
        <v>46</v>
      </c>
      <c r="I146" s="220">
        <f>SUM(N146:AB146)</f>
        <v>0</v>
      </c>
      <c r="J146" s="221">
        <f t="shared" si="4"/>
        <v>22</v>
      </c>
      <c r="K146" s="216"/>
      <c r="L146" s="221" t="str">
        <f t="shared" si="5"/>
        <v>Desviado</v>
      </c>
      <c r="M146" s="223"/>
      <c r="N146" s="224"/>
      <c r="O146" s="224"/>
      <c r="P146" s="216"/>
      <c r="Q146" s="224"/>
      <c r="R146" s="224"/>
      <c r="S146" s="216"/>
      <c r="T146" s="224"/>
      <c r="U146" s="216"/>
      <c r="V146" s="224"/>
      <c r="W146" s="216"/>
      <c r="X146" s="224"/>
      <c r="Y146" s="224"/>
      <c r="Z146" s="225"/>
      <c r="AA146" s="224"/>
      <c r="AB146" s="225"/>
      <c r="AC146" s="225"/>
      <c r="AD146" s="225"/>
      <c r="AE146" s="225"/>
      <c r="AF146" s="225"/>
      <c r="AG146" s="225"/>
      <c r="AH146" s="225"/>
      <c r="AI146" s="225"/>
      <c r="AJ146" s="225"/>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row>
    <row r="147" spans="1:66" customFormat="1" ht="15.75" hidden="1" customHeight="1">
      <c r="A147" s="234" t="s">
        <v>163</v>
      </c>
      <c r="B147" s="228" t="s">
        <v>497</v>
      </c>
      <c r="C147" s="215" t="s">
        <v>498</v>
      </c>
      <c r="D147" s="216" t="s">
        <v>307</v>
      </c>
      <c r="E147" s="230"/>
      <c r="F147" s="230"/>
      <c r="G147" s="218"/>
      <c r="H147" s="219">
        <v>48</v>
      </c>
      <c r="I147" s="220">
        <f>SUM(N147:AB147)</f>
        <v>0</v>
      </c>
      <c r="J147" s="221" t="str">
        <f t="shared" si="4"/>
        <v/>
      </c>
      <c r="K147" s="216"/>
      <c r="L147" s="221" t="str">
        <f t="shared" si="5"/>
        <v>Sin estimación</v>
      </c>
      <c r="M147" s="223"/>
      <c r="N147" s="224"/>
      <c r="O147" s="224"/>
      <c r="P147" s="216"/>
      <c r="Q147" s="224"/>
      <c r="R147" s="224"/>
      <c r="S147" s="216"/>
      <c r="T147" s="224"/>
      <c r="U147" s="216"/>
      <c r="V147" s="224"/>
      <c r="W147" s="216"/>
      <c r="X147" s="224"/>
      <c r="Y147" s="224"/>
      <c r="Z147" s="225"/>
      <c r="AA147" s="224"/>
      <c r="AB147" s="225"/>
      <c r="AC147" s="225"/>
      <c r="AD147" s="225"/>
      <c r="AE147" s="225"/>
      <c r="AF147" s="225"/>
      <c r="AG147" s="225"/>
      <c r="AH147" s="225"/>
      <c r="AI147" s="225"/>
      <c r="AJ147" s="225"/>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row>
    <row r="148" spans="1:66" customFormat="1" ht="15.75" hidden="1" customHeight="1">
      <c r="A148" s="234" t="s">
        <v>163</v>
      </c>
      <c r="B148" s="228" t="s">
        <v>499</v>
      </c>
      <c r="C148" s="215" t="s">
        <v>500</v>
      </c>
      <c r="D148" s="216" t="s">
        <v>298</v>
      </c>
      <c r="E148" s="235"/>
      <c r="F148" s="235">
        <v>46199</v>
      </c>
      <c r="G148" s="218"/>
      <c r="H148" s="219">
        <v>22</v>
      </c>
      <c r="I148" s="236">
        <f>SUM(N148:AB148)</f>
        <v>0</v>
      </c>
      <c r="J148" s="221" t="str">
        <f t="shared" si="4"/>
        <v/>
      </c>
      <c r="K148" s="250">
        <v>1</v>
      </c>
      <c r="L148" s="221" t="str">
        <f t="shared" si="5"/>
        <v>Sin estimación</v>
      </c>
      <c r="M148" s="223"/>
      <c r="N148" s="224"/>
      <c r="O148" s="224"/>
      <c r="P148" s="216"/>
      <c r="Q148" s="224"/>
      <c r="R148" s="224"/>
      <c r="S148" s="216"/>
      <c r="T148" s="224"/>
      <c r="U148" s="216"/>
      <c r="V148" s="224"/>
      <c r="W148" s="216"/>
      <c r="X148" s="224"/>
      <c r="Y148" s="224"/>
      <c r="Z148" s="225"/>
      <c r="AA148" s="224"/>
      <c r="AB148" s="225"/>
      <c r="AC148" s="225"/>
      <c r="AD148" s="225"/>
      <c r="AE148" s="225"/>
      <c r="AF148" s="225"/>
      <c r="AG148" s="225"/>
      <c r="AH148" s="225"/>
      <c r="AI148" s="225"/>
      <c r="AJ148" s="225"/>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row>
    <row r="149" spans="1:66" customFormat="1" ht="277.5" hidden="1" customHeight="1">
      <c r="A149" s="234" t="s">
        <v>163</v>
      </c>
      <c r="B149" s="224" t="s">
        <v>394</v>
      </c>
      <c r="C149" s="215" t="s">
        <v>395</v>
      </c>
      <c r="D149" s="216" t="s">
        <v>113</v>
      </c>
      <c r="E149" s="235">
        <v>46140</v>
      </c>
      <c r="F149" s="235">
        <v>46142</v>
      </c>
      <c r="G149" s="218">
        <v>50</v>
      </c>
      <c r="H149" s="219">
        <v>97</v>
      </c>
      <c r="I149" s="236">
        <f>SUM(N149:AB149)</f>
        <v>0</v>
      </c>
      <c r="J149" s="221">
        <f t="shared" si="4"/>
        <v>0.94</v>
      </c>
      <c r="K149" s="250">
        <v>2</v>
      </c>
      <c r="L149" s="221" t="str">
        <f t="shared" si="5"/>
        <v>Desviado</v>
      </c>
      <c r="M149" s="246" t="s">
        <v>501</v>
      </c>
      <c r="N149" s="224"/>
      <c r="O149" s="224"/>
      <c r="P149" s="216"/>
      <c r="Q149" s="224"/>
      <c r="R149" s="224"/>
      <c r="S149" s="216"/>
      <c r="T149" s="222"/>
      <c r="U149" s="222"/>
      <c r="V149" s="227"/>
      <c r="W149" s="222"/>
      <c r="X149" s="227"/>
      <c r="Y149" s="227"/>
      <c r="Z149" s="227"/>
      <c r="AA149" s="222"/>
      <c r="AB149" s="227"/>
      <c r="AC149" s="227"/>
      <c r="AD149" s="227"/>
      <c r="AE149" s="227"/>
      <c r="AF149" s="227"/>
      <c r="AG149" s="227"/>
      <c r="AH149" s="227"/>
      <c r="AI149" s="227"/>
      <c r="AJ149" s="227"/>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row>
    <row r="150" spans="1:66" customFormat="1" ht="90" hidden="1" customHeight="1">
      <c r="A150" s="234" t="s">
        <v>163</v>
      </c>
      <c r="B150" s="228" t="s">
        <v>502</v>
      </c>
      <c r="C150" s="215" t="s">
        <v>503</v>
      </c>
      <c r="D150" s="216" t="s">
        <v>298</v>
      </c>
      <c r="E150" s="235">
        <v>46220</v>
      </c>
      <c r="F150" s="235">
        <v>46248</v>
      </c>
      <c r="G150" s="218">
        <v>12</v>
      </c>
      <c r="H150" s="219">
        <v>16</v>
      </c>
      <c r="I150" s="236">
        <f>SUM(N150:AB150)</f>
        <v>0</v>
      </c>
      <c r="J150" s="221">
        <f t="shared" si="4"/>
        <v>0.33333333333333331</v>
      </c>
      <c r="K150" s="250">
        <v>2</v>
      </c>
      <c r="L150" s="221" t="str">
        <f t="shared" si="5"/>
        <v>Desviado</v>
      </c>
      <c r="M150" s="246" t="s">
        <v>504</v>
      </c>
      <c r="N150" s="224"/>
      <c r="O150" s="224"/>
      <c r="P150" s="216"/>
      <c r="Q150" s="224"/>
      <c r="R150" s="224"/>
      <c r="S150" s="216"/>
      <c r="T150" s="222"/>
      <c r="U150" s="222"/>
      <c r="V150" s="227"/>
      <c r="W150" s="222"/>
      <c r="X150" s="227"/>
      <c r="Y150" s="227"/>
      <c r="Z150" s="227"/>
      <c r="AA150" s="222"/>
      <c r="AB150" s="227"/>
      <c r="AC150" s="227"/>
      <c r="AD150" s="227"/>
      <c r="AE150" s="227"/>
      <c r="AF150" s="227"/>
      <c r="AG150" s="227"/>
      <c r="AH150" s="227"/>
      <c r="AI150" s="227"/>
      <c r="AJ150" s="227"/>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row>
    <row r="151" spans="1:66" customFormat="1" ht="15.75" hidden="1" customHeight="1">
      <c r="A151" s="234" t="s">
        <v>163</v>
      </c>
      <c r="B151" s="228" t="s">
        <v>505</v>
      </c>
      <c r="C151" s="215" t="s">
        <v>506</v>
      </c>
      <c r="D151" s="216" t="s">
        <v>298</v>
      </c>
      <c r="E151" s="235"/>
      <c r="F151" s="235">
        <v>46233</v>
      </c>
      <c r="G151" s="218">
        <v>32</v>
      </c>
      <c r="H151" s="219">
        <v>24</v>
      </c>
      <c r="I151" s="236">
        <f>SUM(N151:AB151)</f>
        <v>0</v>
      </c>
      <c r="J151" s="221">
        <f t="shared" si="4"/>
        <v>-0.25</v>
      </c>
      <c r="K151" s="250">
        <v>2</v>
      </c>
      <c r="L151" s="221" t="str">
        <f t="shared" si="5"/>
        <v>Normal</v>
      </c>
      <c r="M151" s="223"/>
      <c r="N151" s="224"/>
      <c r="O151" s="224"/>
      <c r="P151" s="216"/>
      <c r="Q151" s="224"/>
      <c r="R151" s="224"/>
      <c r="S151" s="216"/>
      <c r="T151" s="222"/>
      <c r="U151" s="222"/>
      <c r="V151" s="227"/>
      <c r="W151" s="222"/>
      <c r="X151" s="227"/>
      <c r="Y151" s="227"/>
      <c r="Z151" s="227"/>
      <c r="AA151" s="222"/>
      <c r="AB151" s="227"/>
      <c r="AC151" s="227"/>
      <c r="AD151" s="227"/>
      <c r="AE151" s="227"/>
      <c r="AF151" s="227"/>
      <c r="AG151" s="227"/>
      <c r="AH151" s="227"/>
      <c r="AI151" s="227"/>
      <c r="AJ151" s="227"/>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row>
    <row r="152" spans="1:66" s="207" customFormat="1" ht="15.75" customHeight="1">
      <c r="A152" s="241" t="s">
        <v>163</v>
      </c>
      <c r="B152" s="251" t="s">
        <v>299</v>
      </c>
      <c r="C152" s="242" t="s">
        <v>300</v>
      </c>
      <c r="D152" s="241" t="s">
        <v>113</v>
      </c>
      <c r="E152" s="243">
        <v>46237</v>
      </c>
      <c r="F152" s="243">
        <v>46239</v>
      </c>
      <c r="G152" s="241">
        <f>(8*3)+5</f>
        <v>29</v>
      </c>
      <c r="H152" s="244">
        <v>38</v>
      </c>
      <c r="I152" s="245">
        <f t="shared" ref="I152:I155" si="6">SUM(N152:AJ152)</f>
        <v>20</v>
      </c>
      <c r="J152" s="221">
        <f t="shared" si="4"/>
        <v>1</v>
      </c>
      <c r="K152" s="252">
        <v>1</v>
      </c>
      <c r="L152" s="221" t="str">
        <f t="shared" si="5"/>
        <v>Desviado</v>
      </c>
      <c r="M152" s="223"/>
      <c r="N152" s="241">
        <v>8</v>
      </c>
      <c r="O152" s="241">
        <v>8</v>
      </c>
      <c r="P152" s="241">
        <v>4</v>
      </c>
      <c r="Q152" s="241"/>
      <c r="R152" s="241"/>
      <c r="S152" s="241"/>
      <c r="T152" s="241"/>
      <c r="U152" s="241"/>
      <c r="V152" s="241"/>
      <c r="W152" s="241"/>
      <c r="X152" s="241"/>
      <c r="Y152" s="241"/>
      <c r="Z152" s="241"/>
      <c r="AA152" s="241"/>
      <c r="AB152" s="241"/>
      <c r="AC152" s="241"/>
      <c r="AD152" s="241"/>
      <c r="AE152" s="241"/>
      <c r="AF152" s="241"/>
      <c r="AG152" s="241"/>
      <c r="AH152" s="241"/>
      <c r="AI152" s="241"/>
      <c r="AJ152" s="241"/>
      <c r="AK152" s="205"/>
      <c r="AL152" s="205"/>
      <c r="AM152" s="205"/>
      <c r="AN152" s="205"/>
      <c r="AO152" s="205"/>
      <c r="AP152" s="205"/>
      <c r="AQ152" s="205"/>
      <c r="AR152" s="205"/>
    </row>
    <row r="153" spans="1:66" s="207" customFormat="1" ht="15.75" customHeight="1">
      <c r="A153" s="241" t="s">
        <v>163</v>
      </c>
      <c r="B153" s="251" t="s">
        <v>507</v>
      </c>
      <c r="C153" s="242" t="s">
        <v>508</v>
      </c>
      <c r="D153" s="241" t="s">
        <v>298</v>
      </c>
      <c r="E153" s="243">
        <v>46246</v>
      </c>
      <c r="F153" s="243">
        <v>46247</v>
      </c>
      <c r="G153" s="241">
        <v>16</v>
      </c>
      <c r="H153" s="244">
        <v>0</v>
      </c>
      <c r="I153" s="245">
        <f t="shared" si="6"/>
        <v>22</v>
      </c>
      <c r="J153" s="221">
        <f t="shared" si="4"/>
        <v>0.375</v>
      </c>
      <c r="K153" s="252">
        <v>0</v>
      </c>
      <c r="L153" s="221" t="str">
        <f t="shared" si="5"/>
        <v>Desviado</v>
      </c>
      <c r="M153" s="223"/>
      <c r="N153" s="241"/>
      <c r="O153" s="241"/>
      <c r="P153" s="241">
        <v>4</v>
      </c>
      <c r="Q153" s="241">
        <v>8</v>
      </c>
      <c r="R153" s="241"/>
      <c r="S153" s="241">
        <v>1</v>
      </c>
      <c r="T153" s="241"/>
      <c r="U153" s="241">
        <v>8</v>
      </c>
      <c r="V153" s="241">
        <v>1</v>
      </c>
      <c r="W153" s="241"/>
      <c r="X153" s="241"/>
      <c r="Y153" s="241"/>
      <c r="Z153" s="241"/>
      <c r="AA153" s="241"/>
      <c r="AB153" s="241"/>
      <c r="AC153" s="241"/>
      <c r="AD153" s="241"/>
      <c r="AE153" s="241"/>
      <c r="AF153" s="241"/>
      <c r="AG153" s="241"/>
      <c r="AH153" s="241"/>
      <c r="AI153" s="241"/>
      <c r="AJ153" s="241"/>
      <c r="AK153" s="205"/>
      <c r="AL153" s="205"/>
      <c r="AM153" s="205"/>
      <c r="AN153" s="205"/>
      <c r="AO153" s="205"/>
      <c r="AP153" s="205"/>
      <c r="AQ153" s="205"/>
      <c r="AR153" s="205"/>
    </row>
    <row r="154" spans="1:66" s="207" customFormat="1" ht="15.75" customHeight="1">
      <c r="A154" s="241" t="s">
        <v>163</v>
      </c>
      <c r="B154" s="251" t="s">
        <v>509</v>
      </c>
      <c r="C154" s="242" t="s">
        <v>510</v>
      </c>
      <c r="D154" s="241" t="s">
        <v>298</v>
      </c>
      <c r="E154" s="243">
        <v>46252</v>
      </c>
      <c r="F154" s="243">
        <v>46254</v>
      </c>
      <c r="G154" s="241">
        <v>32</v>
      </c>
      <c r="H154" s="244">
        <v>0</v>
      </c>
      <c r="I154" s="245">
        <f t="shared" si="6"/>
        <v>44</v>
      </c>
      <c r="J154" s="221">
        <f t="shared" si="4"/>
        <v>0.375</v>
      </c>
      <c r="K154" s="252">
        <v>0</v>
      </c>
      <c r="L154" s="221" t="str">
        <f t="shared" si="5"/>
        <v>Desviado</v>
      </c>
      <c r="M154" s="223"/>
      <c r="N154" s="241"/>
      <c r="O154" s="241"/>
      <c r="P154" s="241"/>
      <c r="Q154" s="241"/>
      <c r="R154" s="241"/>
      <c r="S154" s="241">
        <v>7</v>
      </c>
      <c r="T154" s="241">
        <v>8</v>
      </c>
      <c r="U154" s="241"/>
      <c r="V154" s="241">
        <v>7</v>
      </c>
      <c r="W154" s="241">
        <v>8</v>
      </c>
      <c r="X154" s="241"/>
      <c r="Y154" s="241">
        <v>4</v>
      </c>
      <c r="Z154" s="241">
        <v>8</v>
      </c>
      <c r="AA154" s="241">
        <v>1</v>
      </c>
      <c r="AB154" s="241"/>
      <c r="AC154" s="241"/>
      <c r="AD154" s="241">
        <v>1</v>
      </c>
      <c r="AE154" s="241"/>
      <c r="AF154" s="241"/>
      <c r="AG154" s="241"/>
      <c r="AH154" s="241"/>
      <c r="AI154" s="241"/>
      <c r="AJ154" s="241"/>
      <c r="AK154" s="205"/>
      <c r="AL154" s="205"/>
      <c r="AM154" s="205"/>
      <c r="AN154" s="205"/>
      <c r="AO154" s="205"/>
      <c r="AP154" s="205"/>
      <c r="AQ154" s="205"/>
      <c r="AR154" s="205"/>
    </row>
    <row r="155" spans="1:66" s="207" customFormat="1" ht="15.75" customHeight="1">
      <c r="A155" s="241" t="s">
        <v>163</v>
      </c>
      <c r="B155" s="251" t="s">
        <v>330</v>
      </c>
      <c r="C155" s="242" t="s">
        <v>331</v>
      </c>
      <c r="D155" s="241" t="s">
        <v>110</v>
      </c>
      <c r="E155" s="243">
        <v>46265</v>
      </c>
      <c r="F155" s="243">
        <v>46262</v>
      </c>
      <c r="G155" s="241">
        <v>24</v>
      </c>
      <c r="H155" s="244">
        <v>31</v>
      </c>
      <c r="I155" s="245">
        <f t="shared" si="6"/>
        <v>54</v>
      </c>
      <c r="J155" s="221">
        <f t="shared" si="4"/>
        <v>2.5416666666666665</v>
      </c>
      <c r="K155" s="252">
        <v>1</v>
      </c>
      <c r="L155" s="221" t="str">
        <f t="shared" si="5"/>
        <v>Desviado</v>
      </c>
      <c r="M155" s="223"/>
      <c r="N155" s="241"/>
      <c r="O155" s="241"/>
      <c r="P155" s="241"/>
      <c r="Q155" s="241"/>
      <c r="R155" s="241"/>
      <c r="S155" s="241"/>
      <c r="T155" s="241"/>
      <c r="U155" s="241"/>
      <c r="V155" s="241"/>
      <c r="W155" s="241"/>
      <c r="X155" s="241"/>
      <c r="Y155" s="241"/>
      <c r="Z155" s="241"/>
      <c r="AA155" s="241">
        <v>7</v>
      </c>
      <c r="AB155" s="241">
        <v>8</v>
      </c>
      <c r="AC155" s="241"/>
      <c r="AD155" s="241">
        <v>7</v>
      </c>
      <c r="AE155" s="241">
        <v>8</v>
      </c>
      <c r="AF155" s="241">
        <v>8</v>
      </c>
      <c r="AG155" s="241">
        <v>8</v>
      </c>
      <c r="AH155" s="241"/>
      <c r="AI155" s="241"/>
      <c r="AJ155" s="241">
        <v>8</v>
      </c>
      <c r="AK155" s="205"/>
      <c r="AL155" s="205"/>
      <c r="AM155" s="205"/>
      <c r="AN155" s="205"/>
      <c r="AO155" s="205"/>
      <c r="AP155" s="205"/>
      <c r="AQ155" s="205"/>
      <c r="AR155" s="205"/>
    </row>
    <row r="156" spans="1:66" customFormat="1" ht="15.75" hidden="1" customHeight="1">
      <c r="A156" s="161" t="s">
        <v>249</v>
      </c>
      <c r="B156" s="161" t="s">
        <v>117</v>
      </c>
      <c r="C156" s="253" t="s">
        <v>118</v>
      </c>
      <c r="D156" s="216" t="s">
        <v>298</v>
      </c>
      <c r="E156" s="217">
        <v>45908</v>
      </c>
      <c r="F156" s="217">
        <v>45908</v>
      </c>
      <c r="G156" s="218">
        <v>16</v>
      </c>
      <c r="H156" s="219">
        <v>13</v>
      </c>
      <c r="I156" s="220">
        <f>SUM(N156:AB156)</f>
        <v>0</v>
      </c>
      <c r="J156" s="221">
        <f t="shared" si="4"/>
        <v>-0.1875</v>
      </c>
      <c r="K156" s="216">
        <v>0</v>
      </c>
      <c r="L156" s="221" t="str">
        <f t="shared" si="5"/>
        <v>Normal</v>
      </c>
      <c r="M156" s="223"/>
      <c r="N156" s="224"/>
      <c r="O156" s="224"/>
      <c r="P156" s="224"/>
      <c r="Q156" s="224"/>
      <c r="R156" s="161"/>
      <c r="S156" s="161"/>
      <c r="T156" s="226"/>
      <c r="U156" s="226"/>
      <c r="V156" s="226"/>
      <c r="W156" s="226"/>
      <c r="X156" s="226"/>
      <c r="Y156" s="226"/>
      <c r="Z156" s="226"/>
      <c r="AA156" s="226"/>
      <c r="AB156" s="226"/>
      <c r="AC156" s="226"/>
      <c r="AD156" s="226"/>
      <c r="AE156" s="226"/>
      <c r="AF156" s="226"/>
      <c r="AG156" s="226"/>
      <c r="AH156" s="226"/>
      <c r="AI156" s="226"/>
      <c r="AJ156" s="226"/>
    </row>
    <row r="157" spans="1:66" customFormat="1" ht="15.75" hidden="1" customHeight="1">
      <c r="A157" s="161" t="s">
        <v>249</v>
      </c>
      <c r="B157" s="161" t="s">
        <v>124</v>
      </c>
      <c r="C157" s="253" t="s">
        <v>125</v>
      </c>
      <c r="D157" s="216" t="s">
        <v>298</v>
      </c>
      <c r="E157" s="217">
        <v>45918</v>
      </c>
      <c r="F157" s="217">
        <v>45918</v>
      </c>
      <c r="G157" s="218">
        <v>28</v>
      </c>
      <c r="H157" s="219">
        <v>1</v>
      </c>
      <c r="I157" s="220">
        <f>SUM(N157:AB157)</f>
        <v>0</v>
      </c>
      <c r="J157" s="221">
        <f t="shared" si="4"/>
        <v>-0.9642857142857143</v>
      </c>
      <c r="K157" s="216">
        <v>0</v>
      </c>
      <c r="L157" s="221" t="str">
        <f t="shared" si="5"/>
        <v>Normal</v>
      </c>
      <c r="M157" s="223"/>
      <c r="N157" s="224"/>
      <c r="O157" s="224"/>
      <c r="P157" s="224"/>
      <c r="Q157" s="224"/>
      <c r="R157" s="161"/>
      <c r="S157" s="161"/>
      <c r="T157" s="226"/>
      <c r="U157" s="226"/>
      <c r="V157" s="226"/>
      <c r="W157" s="226"/>
      <c r="X157" s="226"/>
      <c r="Y157" s="226"/>
      <c r="Z157" s="226"/>
      <c r="AA157" s="226"/>
      <c r="AB157" s="226"/>
      <c r="AC157" s="226"/>
      <c r="AD157" s="226"/>
      <c r="AE157" s="226"/>
      <c r="AF157" s="226"/>
      <c r="AG157" s="226"/>
      <c r="AH157" s="226"/>
      <c r="AI157" s="226"/>
      <c r="AJ157" s="226"/>
    </row>
    <row r="158" spans="1:66" customFormat="1" ht="15.75" hidden="1" customHeight="1">
      <c r="A158" s="161" t="s">
        <v>249</v>
      </c>
      <c r="B158" s="161" t="s">
        <v>131</v>
      </c>
      <c r="C158" s="253" t="s">
        <v>132</v>
      </c>
      <c r="D158" s="216" t="s">
        <v>298</v>
      </c>
      <c r="E158" s="217">
        <v>45909</v>
      </c>
      <c r="F158" s="217">
        <v>45909</v>
      </c>
      <c r="G158" s="218">
        <v>24</v>
      </c>
      <c r="H158" s="219">
        <v>3</v>
      </c>
      <c r="I158" s="220">
        <f>SUM(N158:AB158)</f>
        <v>0</v>
      </c>
      <c r="J158" s="221">
        <f t="shared" si="4"/>
        <v>-0.875</v>
      </c>
      <c r="K158" s="216">
        <v>0</v>
      </c>
      <c r="L158" s="221" t="str">
        <f t="shared" si="5"/>
        <v>Normal</v>
      </c>
      <c r="M158" s="223"/>
      <c r="N158" s="224"/>
      <c r="O158" s="224"/>
      <c r="P158" s="224"/>
      <c r="Q158" s="224"/>
      <c r="R158" s="161"/>
      <c r="S158" s="161"/>
      <c r="T158" s="227"/>
      <c r="U158" s="227"/>
      <c r="V158" s="227"/>
      <c r="W158" s="227"/>
      <c r="X158" s="227"/>
      <c r="Y158" s="227"/>
      <c r="Z158" s="227"/>
      <c r="AA158" s="227"/>
      <c r="AB158" s="227"/>
      <c r="AC158" s="227"/>
      <c r="AD158" s="227"/>
      <c r="AE158" s="227"/>
      <c r="AF158" s="227"/>
      <c r="AG158" s="227"/>
      <c r="AH158" s="227"/>
      <c r="AI158" s="227"/>
      <c r="AJ158" s="227"/>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row>
    <row r="159" spans="1:66" customFormat="1" ht="15.75" hidden="1" customHeight="1">
      <c r="A159" s="161" t="s">
        <v>249</v>
      </c>
      <c r="B159" s="161" t="s">
        <v>133</v>
      </c>
      <c r="C159" s="253" t="s">
        <v>134</v>
      </c>
      <c r="D159" s="216" t="s">
        <v>298</v>
      </c>
      <c r="E159" s="217">
        <v>45917</v>
      </c>
      <c r="F159" s="217">
        <v>45917</v>
      </c>
      <c r="G159" s="218">
        <v>20</v>
      </c>
      <c r="H159" s="219">
        <v>1</v>
      </c>
      <c r="I159" s="220">
        <f>SUM(N159:AB159)</f>
        <v>0</v>
      </c>
      <c r="J159" s="221">
        <f t="shared" si="4"/>
        <v>-0.95</v>
      </c>
      <c r="K159" s="216">
        <v>0</v>
      </c>
      <c r="L159" s="221" t="str">
        <f t="shared" si="5"/>
        <v>Normal</v>
      </c>
      <c r="M159" s="223"/>
      <c r="N159" s="224"/>
      <c r="O159" s="224"/>
      <c r="P159" s="224"/>
      <c r="Q159" s="224"/>
      <c r="R159" s="161"/>
      <c r="S159" s="161"/>
      <c r="T159" s="227"/>
      <c r="U159" s="227"/>
      <c r="V159" s="227"/>
      <c r="W159" s="227"/>
      <c r="X159" s="227"/>
      <c r="Y159" s="227"/>
      <c r="Z159" s="227"/>
      <c r="AA159" s="227"/>
      <c r="AB159" s="227"/>
      <c r="AC159" s="227"/>
      <c r="AD159" s="227"/>
      <c r="AE159" s="227"/>
      <c r="AF159" s="227"/>
      <c r="AG159" s="227"/>
      <c r="AH159" s="227"/>
      <c r="AI159" s="227"/>
      <c r="AJ159" s="227"/>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row>
    <row r="160" spans="1:66" customFormat="1" ht="15.75" hidden="1" customHeight="1">
      <c r="A160" s="254" t="s">
        <v>251</v>
      </c>
      <c r="B160" s="224" t="s">
        <v>446</v>
      </c>
      <c r="C160" s="215" t="s">
        <v>447</v>
      </c>
      <c r="D160" s="232" t="s">
        <v>301</v>
      </c>
      <c r="E160" s="230"/>
      <c r="F160" s="230">
        <v>46052</v>
      </c>
      <c r="G160" s="218"/>
      <c r="H160" s="219">
        <v>107</v>
      </c>
      <c r="I160" s="220">
        <f>SUM(N160:AB160)</f>
        <v>0</v>
      </c>
      <c r="J160" s="221" t="str">
        <f t="shared" si="4"/>
        <v/>
      </c>
      <c r="K160" s="224">
        <v>1</v>
      </c>
      <c r="L160" s="221" t="str">
        <f t="shared" si="5"/>
        <v>Sin estimación</v>
      </c>
      <c r="M160" s="223"/>
      <c r="N160" s="224"/>
      <c r="O160" s="224"/>
      <c r="P160" s="224"/>
      <c r="Q160" s="224"/>
      <c r="R160" s="161"/>
      <c r="S160" s="161"/>
      <c r="T160" s="161"/>
      <c r="U160" s="226"/>
      <c r="V160" s="226"/>
      <c r="W160" s="226"/>
      <c r="X160" s="226"/>
      <c r="Y160" s="226"/>
      <c r="Z160" s="226"/>
      <c r="AA160" s="226"/>
      <c r="AB160" s="226"/>
      <c r="AC160" s="226"/>
      <c r="AD160" s="226"/>
      <c r="AE160" s="226"/>
      <c r="AF160" s="226"/>
      <c r="AG160" s="226"/>
      <c r="AH160" s="226"/>
      <c r="AI160" s="226"/>
      <c r="AJ160" s="226"/>
    </row>
    <row r="161" spans="1:66" customFormat="1" ht="15.75" hidden="1" customHeight="1">
      <c r="A161" s="254" t="s">
        <v>251</v>
      </c>
      <c r="B161" s="224" t="s">
        <v>511</v>
      </c>
      <c r="C161" s="215" t="s">
        <v>512</v>
      </c>
      <c r="D161" s="216" t="s">
        <v>298</v>
      </c>
      <c r="E161" s="230">
        <v>46035</v>
      </c>
      <c r="F161" s="230">
        <v>46035</v>
      </c>
      <c r="G161" s="218">
        <v>8</v>
      </c>
      <c r="H161" s="219">
        <v>8</v>
      </c>
      <c r="I161" s="220">
        <f>SUM(N161:AB161)</f>
        <v>0</v>
      </c>
      <c r="J161" s="221">
        <f t="shared" si="4"/>
        <v>0</v>
      </c>
      <c r="K161" s="216">
        <v>1</v>
      </c>
      <c r="L161" s="221" t="str">
        <f t="shared" si="5"/>
        <v>Normal</v>
      </c>
      <c r="M161" s="223"/>
      <c r="N161" s="224"/>
      <c r="O161" s="224"/>
      <c r="P161" s="224"/>
      <c r="Q161" s="224"/>
      <c r="R161" s="224"/>
      <c r="S161" s="216"/>
      <c r="T161" s="225"/>
      <c r="U161" s="225"/>
      <c r="V161" s="225"/>
      <c r="W161" s="225"/>
      <c r="X161" s="225"/>
      <c r="Y161" s="225"/>
      <c r="Z161" s="225"/>
      <c r="AA161" s="225"/>
      <c r="AB161" s="225"/>
      <c r="AC161" s="225"/>
      <c r="AD161" s="225"/>
      <c r="AE161" s="225"/>
      <c r="AF161" s="225"/>
      <c r="AG161" s="225"/>
      <c r="AH161" s="225"/>
      <c r="AI161" s="225"/>
      <c r="AJ161" s="225"/>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row>
    <row r="162" spans="1:66" customFormat="1" ht="15.75" hidden="1" customHeight="1">
      <c r="A162" s="254" t="s">
        <v>251</v>
      </c>
      <c r="B162" s="228" t="s">
        <v>469</v>
      </c>
      <c r="C162" s="215" t="s">
        <v>470</v>
      </c>
      <c r="D162" s="232" t="s">
        <v>301</v>
      </c>
      <c r="E162" s="230">
        <v>46030</v>
      </c>
      <c r="F162" s="230">
        <v>46030</v>
      </c>
      <c r="G162" s="218">
        <v>8</v>
      </c>
      <c r="H162" s="219">
        <v>24</v>
      </c>
      <c r="I162" s="220">
        <f>SUM(N162:AB162)</f>
        <v>0</v>
      </c>
      <c r="J162" s="221">
        <f t="shared" si="4"/>
        <v>2</v>
      </c>
      <c r="K162" s="224">
        <v>1</v>
      </c>
      <c r="L162" s="221" t="str">
        <f t="shared" si="5"/>
        <v>Desviado</v>
      </c>
      <c r="M162" s="223"/>
      <c r="N162" s="224"/>
      <c r="O162" s="224"/>
      <c r="P162" s="224"/>
      <c r="Q162" s="224"/>
      <c r="R162" s="224"/>
      <c r="S162" s="224"/>
      <c r="T162" s="224"/>
      <c r="U162" s="225"/>
      <c r="V162" s="225"/>
      <c r="W162" s="225"/>
      <c r="X162" s="225"/>
      <c r="Y162" s="225"/>
      <c r="Z162" s="225"/>
      <c r="AA162" s="225"/>
      <c r="AB162" s="225"/>
      <c r="AC162" s="225"/>
      <c r="AD162" s="225"/>
      <c r="AE162" s="225"/>
      <c r="AF162" s="225"/>
      <c r="AG162" s="225"/>
      <c r="AH162" s="225"/>
      <c r="AI162" s="225"/>
      <c r="AJ162" s="225"/>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row>
    <row r="163" spans="1:66" customFormat="1" ht="15.75" hidden="1" customHeight="1">
      <c r="A163" s="254" t="s">
        <v>251</v>
      </c>
      <c r="B163" s="228" t="s">
        <v>467</v>
      </c>
      <c r="C163" s="215" t="s">
        <v>468</v>
      </c>
      <c r="D163" s="232" t="s">
        <v>301</v>
      </c>
      <c r="E163" s="230">
        <v>46038</v>
      </c>
      <c r="F163" s="230">
        <v>46041</v>
      </c>
      <c r="G163" s="218">
        <v>24</v>
      </c>
      <c r="H163" s="219">
        <v>40</v>
      </c>
      <c r="I163" s="220">
        <f>SUM(N163:AB163)</f>
        <v>0</v>
      </c>
      <c r="J163" s="221">
        <f t="shared" si="4"/>
        <v>0.66666666666666663</v>
      </c>
      <c r="K163" s="224">
        <v>1</v>
      </c>
      <c r="L163" s="221" t="str">
        <f t="shared" si="5"/>
        <v>Desviado</v>
      </c>
      <c r="M163" s="223"/>
      <c r="N163" s="224"/>
      <c r="O163" s="224"/>
      <c r="P163" s="224"/>
      <c r="Q163" s="224"/>
      <c r="R163" s="224"/>
      <c r="S163" s="224"/>
      <c r="T163" s="225"/>
      <c r="U163" s="225"/>
      <c r="V163" s="225"/>
      <c r="W163" s="225"/>
      <c r="X163" s="225"/>
      <c r="Y163" s="225"/>
      <c r="Z163" s="225"/>
      <c r="AA163" s="225"/>
      <c r="AB163" s="225"/>
      <c r="AC163" s="225"/>
      <c r="AD163" s="225"/>
      <c r="AE163" s="225"/>
      <c r="AF163" s="225"/>
      <c r="AG163" s="225"/>
      <c r="AH163" s="225"/>
      <c r="AI163" s="225"/>
      <c r="AJ163" s="225"/>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row>
    <row r="164" spans="1:66" customFormat="1" ht="15.75" hidden="1" customHeight="1">
      <c r="A164" s="254" t="s">
        <v>251</v>
      </c>
      <c r="B164" s="228" t="s">
        <v>440</v>
      </c>
      <c r="C164" s="215" t="s">
        <v>441</v>
      </c>
      <c r="D164" s="216" t="s">
        <v>298</v>
      </c>
      <c r="E164" s="230">
        <v>46044</v>
      </c>
      <c r="F164" s="230">
        <v>46044</v>
      </c>
      <c r="G164" s="218">
        <v>16</v>
      </c>
      <c r="H164" s="219">
        <v>16</v>
      </c>
      <c r="I164" s="220">
        <f>SUM(N164:AB164)</f>
        <v>0</v>
      </c>
      <c r="J164" s="221">
        <f t="shared" si="4"/>
        <v>0</v>
      </c>
      <c r="K164" s="224">
        <v>1</v>
      </c>
      <c r="L164" s="221" t="str">
        <f t="shared" si="5"/>
        <v>Normal</v>
      </c>
      <c r="M164" s="223"/>
      <c r="N164" s="224"/>
      <c r="O164" s="224"/>
      <c r="P164" s="224"/>
      <c r="Q164" s="224"/>
      <c r="R164" s="224"/>
      <c r="S164" s="224"/>
      <c r="T164" s="225"/>
      <c r="U164" s="225"/>
      <c r="V164" s="225"/>
      <c r="W164" s="225"/>
      <c r="X164" s="225"/>
      <c r="Y164" s="225"/>
      <c r="Z164" s="225"/>
      <c r="AA164" s="225"/>
      <c r="AB164" s="225"/>
      <c r="AC164" s="225"/>
      <c r="AD164" s="225"/>
      <c r="AE164" s="225"/>
      <c r="AF164" s="225"/>
      <c r="AG164" s="225"/>
      <c r="AH164" s="225"/>
      <c r="AI164" s="225"/>
      <c r="AJ164" s="225"/>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row>
    <row r="165" spans="1:66" customFormat="1" ht="15.75" hidden="1" customHeight="1">
      <c r="A165" s="254" t="s">
        <v>251</v>
      </c>
      <c r="B165" s="228" t="s">
        <v>513</v>
      </c>
      <c r="C165" s="215" t="s">
        <v>514</v>
      </c>
      <c r="D165" s="216" t="s">
        <v>301</v>
      </c>
      <c r="E165" s="230"/>
      <c r="F165" s="224"/>
      <c r="G165" s="218">
        <v>24</v>
      </c>
      <c r="H165" s="219">
        <v>21</v>
      </c>
      <c r="I165" s="220">
        <f>SUM(N165:AB165)</f>
        <v>0</v>
      </c>
      <c r="J165" s="221">
        <f t="shared" si="4"/>
        <v>-0.125</v>
      </c>
      <c r="K165" s="224">
        <v>0</v>
      </c>
      <c r="L165" s="221" t="str">
        <f t="shared" si="5"/>
        <v>Normal</v>
      </c>
      <c r="M165" s="223"/>
      <c r="N165" s="224"/>
      <c r="O165" s="224"/>
      <c r="P165" s="224"/>
      <c r="Q165" s="224"/>
      <c r="R165" s="224"/>
      <c r="S165" s="224"/>
      <c r="T165" s="225"/>
      <c r="U165" s="225"/>
      <c r="V165" s="225"/>
      <c r="W165" s="225"/>
      <c r="X165" s="225"/>
      <c r="Y165" s="225"/>
      <c r="Z165" s="225"/>
      <c r="AA165" s="225"/>
      <c r="AB165" s="225"/>
      <c r="AC165" s="225"/>
      <c r="AD165" s="225"/>
      <c r="AE165" s="225"/>
      <c r="AF165" s="225"/>
      <c r="AG165" s="225"/>
      <c r="AH165" s="225"/>
      <c r="AI165" s="225"/>
      <c r="AJ165" s="225"/>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row>
    <row r="166" spans="1:66" customFormat="1" ht="93" hidden="1" customHeight="1">
      <c r="A166" s="255" t="s">
        <v>515</v>
      </c>
      <c r="B166" s="228" t="s">
        <v>516</v>
      </c>
      <c r="C166" s="215" t="s">
        <v>517</v>
      </c>
      <c r="D166" s="216" t="s">
        <v>298</v>
      </c>
      <c r="E166" s="230">
        <v>46119</v>
      </c>
      <c r="F166" s="230">
        <v>46120</v>
      </c>
      <c r="G166" s="224">
        <v>16</v>
      </c>
      <c r="H166" s="256">
        <v>27.5</v>
      </c>
      <c r="I166" s="257">
        <f>SUM(N166:AJ167)</f>
        <v>0</v>
      </c>
      <c r="J166" s="221">
        <f t="shared" si="4"/>
        <v>0.71875</v>
      </c>
      <c r="K166" s="224">
        <v>3</v>
      </c>
      <c r="L166" s="221" t="str">
        <f t="shared" si="5"/>
        <v>Desviado</v>
      </c>
      <c r="M166" s="258" t="s">
        <v>518</v>
      </c>
      <c r="N166" s="224"/>
      <c r="O166" s="224"/>
      <c r="P166" s="224"/>
      <c r="Q166" s="224"/>
      <c r="R166" s="224"/>
      <c r="S166" s="224"/>
      <c r="T166" s="224"/>
      <c r="U166" s="224"/>
      <c r="V166" s="224"/>
      <c r="W166" s="224"/>
      <c r="X166" s="224"/>
      <c r="Y166" s="224"/>
      <c r="Z166" s="216"/>
      <c r="AA166" s="216"/>
      <c r="AB166" s="224"/>
      <c r="AC166" s="224"/>
      <c r="AD166" s="224"/>
      <c r="AE166" s="225"/>
      <c r="AF166" s="225"/>
      <c r="AG166" s="225"/>
      <c r="AH166" s="225"/>
      <c r="AI166" s="225"/>
      <c r="AJ166" s="225"/>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row>
    <row r="167" spans="1:66" customFormat="1" ht="20.25" hidden="1" customHeight="1">
      <c r="A167" s="255" t="s">
        <v>515</v>
      </c>
      <c r="B167" s="228" t="s">
        <v>519</v>
      </c>
      <c r="C167" s="215" t="s">
        <v>520</v>
      </c>
      <c r="D167" s="216" t="s">
        <v>298</v>
      </c>
      <c r="E167" s="230">
        <v>46127</v>
      </c>
      <c r="F167" s="230">
        <v>46128</v>
      </c>
      <c r="G167" s="224">
        <v>16</v>
      </c>
      <c r="H167" s="256">
        <v>19</v>
      </c>
      <c r="I167" s="257">
        <f t="shared" ref="I167:I188" si="7">SUM(N167:AJ168)</f>
        <v>0</v>
      </c>
      <c r="J167" s="221">
        <f t="shared" si="4"/>
        <v>0.1875</v>
      </c>
      <c r="K167" s="224">
        <v>4</v>
      </c>
      <c r="L167" s="221" t="str">
        <f t="shared" si="5"/>
        <v>Normal</v>
      </c>
      <c r="M167" s="223"/>
      <c r="N167" s="224"/>
      <c r="O167" s="224"/>
      <c r="P167" s="224"/>
      <c r="Q167" s="224"/>
      <c r="R167" s="224"/>
      <c r="S167" s="224"/>
      <c r="T167" s="224"/>
      <c r="U167" s="224"/>
      <c r="V167" s="224"/>
      <c r="W167" s="224"/>
      <c r="X167" s="224"/>
      <c r="Y167" s="224"/>
      <c r="Z167" s="216"/>
      <c r="AA167" s="216"/>
      <c r="AB167" s="224"/>
      <c r="AC167" s="224"/>
      <c r="AD167" s="224"/>
      <c r="AE167" s="225"/>
      <c r="AF167" s="225"/>
      <c r="AG167" s="225"/>
      <c r="AH167" s="225"/>
      <c r="AI167" s="225"/>
      <c r="AJ167" s="225"/>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row>
    <row r="168" spans="1:66" s="207" customFormat="1" ht="40.5" hidden="1" customHeight="1">
      <c r="A168" s="259" t="s">
        <v>515</v>
      </c>
      <c r="B168" s="251" t="s">
        <v>521</v>
      </c>
      <c r="C168" s="242" t="s">
        <v>522</v>
      </c>
      <c r="D168" s="241" t="s">
        <v>113</v>
      </c>
      <c r="E168" s="243">
        <v>46125</v>
      </c>
      <c r="F168" s="243">
        <v>46125</v>
      </c>
      <c r="G168" s="241">
        <v>4</v>
      </c>
      <c r="H168" s="244">
        <v>8.5</v>
      </c>
      <c r="I168" s="245">
        <f t="shared" ref="I168:I169" si="8">SUM(N168:AJ168)</f>
        <v>0</v>
      </c>
      <c r="J168" s="221">
        <f t="shared" si="4"/>
        <v>1.125</v>
      </c>
      <c r="K168" s="241">
        <v>1</v>
      </c>
      <c r="L168" s="221" t="str">
        <f t="shared" si="5"/>
        <v>Desviado</v>
      </c>
      <c r="M168" s="260"/>
      <c r="N168" s="241"/>
      <c r="O168" s="241"/>
      <c r="P168" s="241"/>
      <c r="Q168" s="241"/>
      <c r="R168" s="241"/>
      <c r="S168" s="241"/>
      <c r="T168" s="241"/>
      <c r="U168" s="241"/>
      <c r="V168" s="241"/>
      <c r="W168" s="241"/>
      <c r="X168" s="241"/>
      <c r="Y168" s="241"/>
      <c r="Z168" s="241"/>
      <c r="AA168" s="241"/>
      <c r="AB168" s="241"/>
      <c r="AC168" s="241"/>
      <c r="AD168" s="241"/>
      <c r="AE168" s="241"/>
      <c r="AF168" s="241"/>
      <c r="AG168" s="241"/>
      <c r="AH168" s="241"/>
      <c r="AI168" s="241"/>
      <c r="AJ168" s="241"/>
      <c r="AK168" s="205"/>
      <c r="AL168" s="205"/>
      <c r="AM168" s="205"/>
      <c r="AN168" s="205"/>
      <c r="AO168" s="205"/>
      <c r="AP168" s="205"/>
      <c r="AQ168" s="205"/>
      <c r="AR168" s="205"/>
      <c r="AS168" s="208"/>
      <c r="AT168" s="208"/>
      <c r="AU168" s="208"/>
      <c r="AV168" s="208"/>
      <c r="AW168" s="208"/>
      <c r="AX168" s="208"/>
      <c r="AY168" s="208"/>
      <c r="AZ168" s="208"/>
      <c r="BA168" s="208"/>
      <c r="BB168" s="208"/>
      <c r="BC168" s="208"/>
      <c r="BD168" s="208"/>
      <c r="BE168" s="208"/>
      <c r="BF168" s="208"/>
      <c r="BG168" s="208"/>
      <c r="BH168" s="208"/>
      <c r="BI168" s="208"/>
      <c r="BJ168" s="208"/>
      <c r="BK168" s="208"/>
      <c r="BL168" s="208"/>
      <c r="BM168" s="208"/>
      <c r="BN168" s="208"/>
    </row>
    <row r="169" spans="1:66" s="207" customFormat="1" ht="21.75" customHeight="1">
      <c r="A169" s="259" t="s">
        <v>515</v>
      </c>
      <c r="B169" s="251" t="s">
        <v>523</v>
      </c>
      <c r="C169" s="242" t="s">
        <v>524</v>
      </c>
      <c r="D169" s="241" t="s">
        <v>298</v>
      </c>
      <c r="E169" s="243">
        <v>46127</v>
      </c>
      <c r="F169" s="243">
        <v>46237</v>
      </c>
      <c r="G169" s="241">
        <v>12</v>
      </c>
      <c r="H169" s="244">
        <v>15.5</v>
      </c>
      <c r="I169" s="245">
        <f t="shared" si="8"/>
        <v>4</v>
      </c>
      <c r="J169" s="221">
        <f t="shared" si="4"/>
        <v>0.625</v>
      </c>
      <c r="K169" s="241">
        <v>2</v>
      </c>
      <c r="L169" s="221" t="str">
        <f t="shared" si="5"/>
        <v>Desviado</v>
      </c>
      <c r="M169" s="246"/>
      <c r="N169" s="241">
        <v>4</v>
      </c>
      <c r="O169" s="241"/>
      <c r="P169" s="241"/>
      <c r="Q169" s="241"/>
      <c r="R169" s="241"/>
      <c r="S169" s="241"/>
      <c r="T169" s="241"/>
      <c r="U169" s="241"/>
      <c r="V169" s="241"/>
      <c r="W169" s="241"/>
      <c r="X169" s="241"/>
      <c r="Y169" s="241"/>
      <c r="Z169" s="241"/>
      <c r="AA169" s="241"/>
      <c r="AB169" s="241"/>
      <c r="AC169" s="241"/>
      <c r="AD169" s="241"/>
      <c r="AE169" s="241"/>
      <c r="AF169" s="241"/>
      <c r="AG169" s="241"/>
      <c r="AH169" s="241"/>
      <c r="AI169" s="241"/>
      <c r="AJ169" s="241"/>
      <c r="AK169" s="205"/>
      <c r="AL169" s="205"/>
      <c r="AM169" s="205"/>
      <c r="AN169" s="205"/>
      <c r="AO169" s="205"/>
      <c r="AP169" s="205"/>
      <c r="AQ169" s="205"/>
      <c r="AR169" s="205"/>
      <c r="AS169" s="208"/>
      <c r="AT169" s="208"/>
      <c r="AU169" s="208"/>
      <c r="AV169" s="208"/>
      <c r="AW169" s="208"/>
      <c r="AX169" s="208"/>
      <c r="AY169" s="208"/>
      <c r="AZ169" s="208"/>
      <c r="BA169" s="208"/>
      <c r="BB169" s="208"/>
      <c r="BC169" s="208"/>
      <c r="BD169" s="208"/>
      <c r="BE169" s="208"/>
      <c r="BF169" s="208"/>
      <c r="BG169" s="208"/>
      <c r="BH169" s="208"/>
      <c r="BI169" s="208"/>
      <c r="BJ169" s="208"/>
      <c r="BK169" s="208"/>
      <c r="BL169" s="208"/>
      <c r="BM169" s="208"/>
      <c r="BN169" s="208"/>
    </row>
    <row r="170" spans="1:66" customFormat="1" ht="20.25" hidden="1" customHeight="1">
      <c r="A170" s="255" t="s">
        <v>515</v>
      </c>
      <c r="B170" s="228" t="s">
        <v>525</v>
      </c>
      <c r="C170" s="215" t="s">
        <v>526</v>
      </c>
      <c r="D170" s="216" t="s">
        <v>298</v>
      </c>
      <c r="E170" s="230">
        <v>46132</v>
      </c>
      <c r="F170" s="230">
        <v>46132</v>
      </c>
      <c r="G170" s="224">
        <v>16</v>
      </c>
      <c r="H170" s="256">
        <v>18.5</v>
      </c>
      <c r="I170" s="257">
        <f t="shared" si="7"/>
        <v>0</v>
      </c>
      <c r="J170" s="221">
        <f t="shared" si="4"/>
        <v>0.15625</v>
      </c>
      <c r="K170" s="224">
        <v>2</v>
      </c>
      <c r="L170" s="221" t="str">
        <f t="shared" si="5"/>
        <v>Normal</v>
      </c>
      <c r="M170" s="223"/>
      <c r="N170" s="224"/>
      <c r="O170" s="224"/>
      <c r="P170" s="224"/>
      <c r="Q170" s="224"/>
      <c r="R170" s="224"/>
      <c r="S170" s="224"/>
      <c r="T170" s="224"/>
      <c r="U170" s="224"/>
      <c r="V170" s="224"/>
      <c r="W170" s="224"/>
      <c r="X170" s="224"/>
      <c r="Y170" s="224"/>
      <c r="Z170" s="216"/>
      <c r="AA170" s="216"/>
      <c r="AB170" s="224"/>
      <c r="AC170" s="224"/>
      <c r="AD170" s="224"/>
      <c r="AE170" s="225"/>
      <c r="AF170" s="225"/>
      <c r="AG170" s="225"/>
      <c r="AH170" s="225"/>
      <c r="AI170" s="225"/>
      <c r="AJ170" s="225"/>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row>
    <row r="171" spans="1:66" customFormat="1" ht="20.25" hidden="1" customHeight="1">
      <c r="A171" s="255" t="s">
        <v>515</v>
      </c>
      <c r="B171" s="228" t="s">
        <v>527</v>
      </c>
      <c r="C171" s="215" t="s">
        <v>528</v>
      </c>
      <c r="D171" s="216" t="s">
        <v>298</v>
      </c>
      <c r="E171" s="230">
        <v>46133</v>
      </c>
      <c r="F171" s="230">
        <v>46134</v>
      </c>
      <c r="G171" s="224">
        <v>16</v>
      </c>
      <c r="H171" s="256">
        <v>16</v>
      </c>
      <c r="I171" s="257">
        <f t="shared" si="7"/>
        <v>0</v>
      </c>
      <c r="J171" s="221">
        <f t="shared" si="4"/>
        <v>0</v>
      </c>
      <c r="K171" s="224">
        <v>2</v>
      </c>
      <c r="L171" s="221" t="str">
        <f t="shared" si="5"/>
        <v>Normal</v>
      </c>
      <c r="M171" s="223"/>
      <c r="N171" s="224"/>
      <c r="O171" s="224"/>
      <c r="P171" s="224"/>
      <c r="Q171" s="224"/>
      <c r="R171" s="224"/>
      <c r="S171" s="224"/>
      <c r="T171" s="224"/>
      <c r="U171" s="224"/>
      <c r="V171" s="224"/>
      <c r="W171" s="224"/>
      <c r="X171" s="224"/>
      <c r="Y171" s="224"/>
      <c r="Z171" s="216"/>
      <c r="AA171" s="216"/>
      <c r="AB171" s="224"/>
      <c r="AC171" s="224"/>
      <c r="AD171" s="224"/>
      <c r="AE171" s="225"/>
      <c r="AF171" s="225"/>
      <c r="AG171" s="225"/>
      <c r="AH171" s="225"/>
      <c r="AI171" s="225"/>
      <c r="AJ171" s="225"/>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row>
    <row r="172" spans="1:66" customFormat="1" ht="20.25" hidden="1" customHeight="1">
      <c r="A172" s="255" t="s">
        <v>515</v>
      </c>
      <c r="B172" s="228" t="s">
        <v>529</v>
      </c>
      <c r="C172" s="215" t="s">
        <v>530</v>
      </c>
      <c r="D172" s="216" t="s">
        <v>307</v>
      </c>
      <c r="E172" s="230">
        <v>46139</v>
      </c>
      <c r="F172" s="230">
        <v>46139</v>
      </c>
      <c r="G172" s="224">
        <v>24</v>
      </c>
      <c r="H172" s="256">
        <v>23</v>
      </c>
      <c r="I172" s="257">
        <f>SUM(N172:AJ172)</f>
        <v>0</v>
      </c>
      <c r="J172" s="221">
        <f t="shared" si="4"/>
        <v>-4.1666666666666664E-2</v>
      </c>
      <c r="K172" s="224">
        <v>0</v>
      </c>
      <c r="L172" s="221" t="str">
        <f t="shared" si="5"/>
        <v>Normal</v>
      </c>
      <c r="M172" s="223"/>
      <c r="N172" s="224"/>
      <c r="O172" s="224"/>
      <c r="P172" s="224"/>
      <c r="Q172" s="224"/>
      <c r="R172" s="224"/>
      <c r="S172" s="224"/>
      <c r="T172" s="224"/>
      <c r="U172" s="224"/>
      <c r="V172" s="224"/>
      <c r="W172" s="224"/>
      <c r="X172" s="224"/>
      <c r="Y172" s="224"/>
      <c r="Z172" s="216"/>
      <c r="AA172" s="216"/>
      <c r="AB172" s="224"/>
      <c r="AC172" s="224"/>
      <c r="AD172" s="224"/>
      <c r="AE172" s="225"/>
      <c r="AF172" s="225"/>
      <c r="AG172" s="225"/>
      <c r="AH172" s="225"/>
      <c r="AI172" s="225"/>
      <c r="AJ172" s="225"/>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row>
    <row r="173" spans="1:66" s="207" customFormat="1" ht="20.25" customHeight="1">
      <c r="A173" s="259" t="s">
        <v>515</v>
      </c>
      <c r="B173" s="251" t="s">
        <v>531</v>
      </c>
      <c r="C173" s="242" t="s">
        <v>532</v>
      </c>
      <c r="D173" s="241" t="s">
        <v>113</v>
      </c>
      <c r="E173" s="243">
        <v>46142</v>
      </c>
      <c r="F173" s="243">
        <v>46262</v>
      </c>
      <c r="G173" s="241">
        <v>24</v>
      </c>
      <c r="H173" s="244">
        <v>28</v>
      </c>
      <c r="I173" s="245">
        <f>SUM(N173:AJ173)</f>
        <v>4</v>
      </c>
      <c r="J173" s="221">
        <f t="shared" si="4"/>
        <v>0.33333333333333331</v>
      </c>
      <c r="K173" s="241">
        <v>1</v>
      </c>
      <c r="L173" s="221" t="str">
        <f t="shared" si="5"/>
        <v>Desviado</v>
      </c>
      <c r="M173" s="223"/>
      <c r="N173" s="241"/>
      <c r="O173" s="241"/>
      <c r="P173" s="241"/>
      <c r="Q173" s="241"/>
      <c r="R173" s="241"/>
      <c r="S173" s="241"/>
      <c r="T173" s="241"/>
      <c r="U173" s="241"/>
      <c r="V173" s="241"/>
      <c r="W173" s="241"/>
      <c r="X173" s="241"/>
      <c r="Y173" s="241"/>
      <c r="Z173" s="241"/>
      <c r="AA173" s="241"/>
      <c r="AB173" s="241"/>
      <c r="AC173" s="241"/>
      <c r="AD173" s="241"/>
      <c r="AE173" s="241"/>
      <c r="AF173" s="241"/>
      <c r="AG173" s="241">
        <v>4</v>
      </c>
      <c r="AH173" s="241"/>
      <c r="AI173" s="241"/>
      <c r="AJ173" s="241"/>
      <c r="AK173" s="205"/>
      <c r="AL173" s="205"/>
      <c r="AM173" s="205"/>
      <c r="AN173" s="205"/>
      <c r="AO173" s="205"/>
      <c r="AP173" s="205"/>
      <c r="AQ173" s="205"/>
      <c r="AR173" s="205"/>
      <c r="AS173" s="208"/>
      <c r="AT173" s="208"/>
      <c r="AU173" s="208"/>
      <c r="AV173" s="208"/>
      <c r="AW173" s="208"/>
      <c r="AX173" s="208"/>
      <c r="AY173" s="208"/>
      <c r="AZ173" s="208"/>
      <c r="BA173" s="208"/>
      <c r="BB173" s="208"/>
      <c r="BC173" s="208"/>
      <c r="BD173" s="208"/>
      <c r="BE173" s="208"/>
      <c r="BF173" s="208"/>
      <c r="BG173" s="208"/>
      <c r="BH173" s="208"/>
      <c r="BI173" s="208"/>
      <c r="BJ173" s="208"/>
      <c r="BK173" s="208"/>
      <c r="BL173" s="208"/>
      <c r="BM173" s="208"/>
      <c r="BN173" s="208"/>
    </row>
    <row r="174" spans="1:66" customFormat="1" ht="163.5" hidden="1" customHeight="1">
      <c r="A174" s="255" t="s">
        <v>515</v>
      </c>
      <c r="B174" s="228" t="s">
        <v>533</v>
      </c>
      <c r="C174" s="215" t="s">
        <v>534</v>
      </c>
      <c r="D174" s="216" t="s">
        <v>113</v>
      </c>
      <c r="E174" s="230">
        <v>46146</v>
      </c>
      <c r="F174" s="230">
        <v>46143</v>
      </c>
      <c r="G174" s="224">
        <v>8</v>
      </c>
      <c r="H174" s="256">
        <v>16</v>
      </c>
      <c r="I174" s="257">
        <f t="shared" si="7"/>
        <v>0</v>
      </c>
      <c r="J174" s="221">
        <f t="shared" si="4"/>
        <v>1</v>
      </c>
      <c r="K174" s="218">
        <v>0</v>
      </c>
      <c r="L174" s="221" t="str">
        <f t="shared" si="5"/>
        <v>Desviado</v>
      </c>
      <c r="M174" s="246" t="s">
        <v>535</v>
      </c>
      <c r="N174" s="216"/>
      <c r="O174" s="216"/>
      <c r="P174" s="216"/>
      <c r="Q174" s="224"/>
      <c r="R174" s="224"/>
      <c r="S174" s="224"/>
      <c r="T174" s="224"/>
      <c r="U174" s="224"/>
      <c r="V174" s="224"/>
      <c r="W174" s="224"/>
      <c r="X174" s="224"/>
      <c r="Y174" s="224"/>
      <c r="Z174" s="216"/>
      <c r="AA174" s="216"/>
      <c r="AB174" s="224"/>
      <c r="AC174" s="224"/>
      <c r="AD174" s="224"/>
      <c r="AE174" s="225"/>
      <c r="AF174" s="225"/>
      <c r="AG174" s="225"/>
      <c r="AH174" s="225"/>
      <c r="AI174" s="225"/>
      <c r="AJ174" s="225"/>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row>
    <row r="175" spans="1:66" customFormat="1" ht="101.25" hidden="1" customHeight="1">
      <c r="A175" s="255" t="s">
        <v>515</v>
      </c>
      <c r="B175" s="228" t="s">
        <v>536</v>
      </c>
      <c r="C175" s="215" t="s">
        <v>537</v>
      </c>
      <c r="D175" s="216" t="s">
        <v>113</v>
      </c>
      <c r="E175" s="230">
        <v>46150</v>
      </c>
      <c r="F175" s="230">
        <v>46150</v>
      </c>
      <c r="G175" s="224">
        <v>16</v>
      </c>
      <c r="H175" s="256">
        <v>30</v>
      </c>
      <c r="I175" s="257">
        <f t="shared" si="7"/>
        <v>0</v>
      </c>
      <c r="J175" s="221">
        <f t="shared" si="4"/>
        <v>0.875</v>
      </c>
      <c r="K175" s="218">
        <v>0</v>
      </c>
      <c r="L175" s="221" t="str">
        <f t="shared" si="5"/>
        <v>Desviado</v>
      </c>
      <c r="M175" s="246" t="s">
        <v>538</v>
      </c>
      <c r="N175" s="216"/>
      <c r="O175" s="216"/>
      <c r="P175" s="216"/>
      <c r="Q175" s="224"/>
      <c r="R175" s="224"/>
      <c r="S175" s="224"/>
      <c r="T175" s="224"/>
      <c r="U175" s="224"/>
      <c r="V175" s="224"/>
      <c r="W175" s="224"/>
      <c r="X175" s="224"/>
      <c r="Y175" s="224"/>
      <c r="Z175" s="216"/>
      <c r="AA175" s="216"/>
      <c r="AB175" s="224"/>
      <c r="AC175" s="224"/>
      <c r="AD175" s="224"/>
      <c r="AE175" s="225"/>
      <c r="AF175" s="225"/>
      <c r="AG175" s="225"/>
      <c r="AH175" s="225"/>
      <c r="AI175" s="225"/>
      <c r="AJ175" s="225"/>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row>
    <row r="176" spans="1:66" customFormat="1" ht="201" hidden="1" customHeight="1">
      <c r="A176" s="255" t="s">
        <v>515</v>
      </c>
      <c r="B176" s="228" t="s">
        <v>539</v>
      </c>
      <c r="C176" s="215" t="s">
        <v>540</v>
      </c>
      <c r="D176" s="216" t="s">
        <v>298</v>
      </c>
      <c r="E176" s="230">
        <v>46147</v>
      </c>
      <c r="F176" s="230">
        <v>46147</v>
      </c>
      <c r="G176" s="224">
        <v>12</v>
      </c>
      <c r="H176" s="256">
        <v>22</v>
      </c>
      <c r="I176" s="257">
        <f t="shared" si="7"/>
        <v>0</v>
      </c>
      <c r="J176" s="221">
        <f t="shared" si="4"/>
        <v>0.83333333333333337</v>
      </c>
      <c r="K176" s="218">
        <v>3</v>
      </c>
      <c r="L176" s="221" t="str">
        <f t="shared" si="5"/>
        <v>Desviado</v>
      </c>
      <c r="M176" s="246" t="s">
        <v>541</v>
      </c>
      <c r="N176" s="216"/>
      <c r="O176" s="216"/>
      <c r="P176" s="216"/>
      <c r="Q176" s="224"/>
      <c r="R176" s="224"/>
      <c r="S176" s="224"/>
      <c r="T176" s="224"/>
      <c r="U176" s="224"/>
      <c r="V176" s="224"/>
      <c r="W176" s="224"/>
      <c r="X176" s="224"/>
      <c r="Y176" s="224"/>
      <c r="Z176" s="216"/>
      <c r="AA176" s="216"/>
      <c r="AB176" s="224"/>
      <c r="AC176" s="224"/>
      <c r="AD176" s="224"/>
      <c r="AE176" s="225"/>
      <c r="AF176" s="225"/>
      <c r="AG176" s="225"/>
      <c r="AH176" s="225"/>
      <c r="AI176" s="225"/>
      <c r="AJ176" s="225"/>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row>
    <row r="177" spans="1:66" customFormat="1" ht="20.25" hidden="1" customHeight="1">
      <c r="A177" s="255" t="s">
        <v>515</v>
      </c>
      <c r="B177" s="228" t="s">
        <v>542</v>
      </c>
      <c r="C177" s="215" t="s">
        <v>543</v>
      </c>
      <c r="D177" s="216" t="s">
        <v>113</v>
      </c>
      <c r="E177" s="230" t="s">
        <v>219</v>
      </c>
      <c r="F177" s="230">
        <v>46155</v>
      </c>
      <c r="G177" s="230" t="s">
        <v>219</v>
      </c>
      <c r="H177" s="256">
        <v>24</v>
      </c>
      <c r="I177" s="257">
        <f t="shared" si="7"/>
        <v>0</v>
      </c>
      <c r="J177" s="221" t="str">
        <f t="shared" si="4"/>
        <v/>
      </c>
      <c r="K177" s="218">
        <v>0</v>
      </c>
      <c r="L177" s="221" t="str">
        <f t="shared" si="5"/>
        <v>Sin estimación</v>
      </c>
      <c r="M177" s="223"/>
      <c r="N177" s="216"/>
      <c r="O177" s="216"/>
      <c r="P177" s="216"/>
      <c r="Q177" s="224"/>
      <c r="R177" s="224"/>
      <c r="S177" s="224"/>
      <c r="T177" s="224"/>
      <c r="U177" s="224"/>
      <c r="V177" s="224"/>
      <c r="W177" s="224"/>
      <c r="X177" s="224"/>
      <c r="Y177" s="224"/>
      <c r="Z177" s="216"/>
      <c r="AA177" s="216"/>
      <c r="AB177" s="224"/>
      <c r="AC177" s="224"/>
      <c r="AD177" s="224"/>
      <c r="AE177" s="225"/>
      <c r="AF177" s="225"/>
      <c r="AG177" s="225"/>
      <c r="AH177" s="225"/>
      <c r="AI177" s="225"/>
      <c r="AJ177" s="225"/>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row>
    <row r="178" spans="1:66" customFormat="1" ht="20.25" hidden="1" customHeight="1">
      <c r="A178" s="255" t="s">
        <v>515</v>
      </c>
      <c r="B178" s="228" t="s">
        <v>544</v>
      </c>
      <c r="C178" s="215" t="s">
        <v>545</v>
      </c>
      <c r="D178" s="216" t="s">
        <v>189</v>
      </c>
      <c r="E178" s="230" t="s">
        <v>219</v>
      </c>
      <c r="F178" s="230">
        <v>46156</v>
      </c>
      <c r="G178" s="230" t="s">
        <v>219</v>
      </c>
      <c r="H178" s="256">
        <v>16</v>
      </c>
      <c r="I178" s="257">
        <f t="shared" si="7"/>
        <v>0</v>
      </c>
      <c r="J178" s="221" t="str">
        <f t="shared" si="4"/>
        <v/>
      </c>
      <c r="K178" s="224">
        <v>0</v>
      </c>
      <c r="L178" s="221" t="str">
        <f t="shared" si="5"/>
        <v>Sin estimación</v>
      </c>
      <c r="M178" s="223"/>
      <c r="N178" s="216"/>
      <c r="O178" s="216"/>
      <c r="P178" s="216"/>
      <c r="Q178" s="224"/>
      <c r="R178" s="224"/>
      <c r="S178" s="224"/>
      <c r="T178" s="224"/>
      <c r="U178" s="224"/>
      <c r="V178" s="224"/>
      <c r="W178" s="224"/>
      <c r="X178" s="224"/>
      <c r="Y178" s="224"/>
      <c r="Z178" s="216"/>
      <c r="AA178" s="216"/>
      <c r="AB178" s="224"/>
      <c r="AC178" s="224"/>
      <c r="AD178" s="224"/>
      <c r="AE178" s="225"/>
      <c r="AF178" s="225"/>
      <c r="AG178" s="225"/>
      <c r="AH178" s="225"/>
      <c r="AI178" s="225"/>
      <c r="AJ178" s="225"/>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row>
    <row r="179" spans="1:66" customFormat="1" ht="106.5" hidden="1" customHeight="1">
      <c r="A179" s="255" t="s">
        <v>515</v>
      </c>
      <c r="B179" s="228" t="s">
        <v>546</v>
      </c>
      <c r="C179" s="215" t="s">
        <v>547</v>
      </c>
      <c r="D179" s="216" t="s">
        <v>113</v>
      </c>
      <c r="E179" s="230">
        <v>46160</v>
      </c>
      <c r="F179" s="230">
        <v>46160</v>
      </c>
      <c r="G179" s="224">
        <v>16</v>
      </c>
      <c r="H179" s="256">
        <v>26</v>
      </c>
      <c r="I179" s="257">
        <f t="shared" si="7"/>
        <v>0</v>
      </c>
      <c r="J179" s="221">
        <f t="shared" si="4"/>
        <v>0.625</v>
      </c>
      <c r="K179" s="218">
        <v>2</v>
      </c>
      <c r="L179" s="221" t="str">
        <f t="shared" si="5"/>
        <v>Desviado</v>
      </c>
      <c r="M179" s="246" t="s">
        <v>548</v>
      </c>
      <c r="N179" s="224"/>
      <c r="O179" s="224"/>
      <c r="P179" s="224"/>
      <c r="Q179" s="224"/>
      <c r="R179" s="224"/>
      <c r="S179" s="216"/>
      <c r="T179" s="224"/>
      <c r="U179" s="224"/>
      <c r="V179" s="224"/>
      <c r="W179" s="224"/>
      <c r="X179" s="224"/>
      <c r="Y179" s="224"/>
      <c r="Z179" s="216"/>
      <c r="AA179" s="216"/>
      <c r="AB179" s="224"/>
      <c r="AC179" s="224"/>
      <c r="AD179" s="224"/>
      <c r="AE179" s="225"/>
      <c r="AF179" s="225"/>
      <c r="AG179" s="225"/>
      <c r="AH179" s="225"/>
      <c r="AI179" s="225"/>
      <c r="AJ179" s="225"/>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row>
    <row r="180" spans="1:66" customFormat="1" ht="20.25" hidden="1" customHeight="1">
      <c r="A180" s="255" t="s">
        <v>515</v>
      </c>
      <c r="B180" s="228" t="s">
        <v>549</v>
      </c>
      <c r="C180" s="215" t="s">
        <v>550</v>
      </c>
      <c r="D180" s="216" t="s">
        <v>113</v>
      </c>
      <c r="E180" s="230">
        <v>46170</v>
      </c>
      <c r="F180" s="230">
        <v>46169</v>
      </c>
      <c r="G180" s="224">
        <v>50</v>
      </c>
      <c r="H180" s="256">
        <v>50</v>
      </c>
      <c r="I180" s="257">
        <f t="shared" si="7"/>
        <v>0</v>
      </c>
      <c r="J180" s="221">
        <f t="shared" si="4"/>
        <v>0</v>
      </c>
      <c r="K180" s="224">
        <v>0</v>
      </c>
      <c r="L180" s="221" t="str">
        <f t="shared" si="5"/>
        <v>Normal</v>
      </c>
      <c r="M180" s="223"/>
      <c r="N180" s="224"/>
      <c r="O180" s="224"/>
      <c r="P180" s="224"/>
      <c r="Q180" s="224"/>
      <c r="R180" s="224"/>
      <c r="S180" s="216"/>
      <c r="T180" s="224"/>
      <c r="U180" s="224"/>
      <c r="V180" s="224"/>
      <c r="W180" s="224"/>
      <c r="X180" s="224"/>
      <c r="Y180" s="224"/>
      <c r="Z180" s="216"/>
      <c r="AA180" s="216"/>
      <c r="AB180" s="224"/>
      <c r="AC180" s="224"/>
      <c r="AD180" s="224"/>
      <c r="AE180" s="225"/>
      <c r="AF180" s="225"/>
      <c r="AG180" s="225"/>
      <c r="AH180" s="225"/>
      <c r="AI180" s="225"/>
      <c r="AJ180" s="225"/>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row>
    <row r="181" spans="1:66" customFormat="1" ht="20.25" hidden="1" customHeight="1">
      <c r="A181" s="255" t="s">
        <v>515</v>
      </c>
      <c r="B181" s="228" t="s">
        <v>551</v>
      </c>
      <c r="C181" s="215" t="s">
        <v>552</v>
      </c>
      <c r="D181" s="216" t="s">
        <v>141</v>
      </c>
      <c r="E181" s="230">
        <v>46174</v>
      </c>
      <c r="F181" s="230">
        <v>46175</v>
      </c>
      <c r="G181" s="224">
        <v>24</v>
      </c>
      <c r="H181" s="256">
        <v>28</v>
      </c>
      <c r="I181" s="257">
        <f t="shared" si="7"/>
        <v>0</v>
      </c>
      <c r="J181" s="221">
        <f t="shared" si="4"/>
        <v>0.16666666666666666</v>
      </c>
      <c r="K181" s="224">
        <v>2</v>
      </c>
      <c r="L181" s="221" t="str">
        <f t="shared" si="5"/>
        <v>Normal</v>
      </c>
      <c r="M181" s="223"/>
      <c r="N181" s="224"/>
      <c r="O181" s="224"/>
      <c r="P181" s="224"/>
      <c r="Q181" s="224"/>
      <c r="R181" s="224"/>
      <c r="S181" s="216"/>
      <c r="T181" s="224"/>
      <c r="U181" s="224"/>
      <c r="V181" s="224"/>
      <c r="W181" s="224"/>
      <c r="X181" s="224"/>
      <c r="Y181" s="224"/>
      <c r="Z181" s="216"/>
      <c r="AA181" s="216"/>
      <c r="AB181" s="224"/>
      <c r="AC181" s="224"/>
      <c r="AD181" s="224"/>
      <c r="AE181" s="225"/>
      <c r="AF181" s="225"/>
      <c r="AG181" s="225"/>
      <c r="AH181" s="225"/>
      <c r="AI181" s="225"/>
      <c r="AJ181" s="225"/>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row>
    <row r="182" spans="1:66" customFormat="1" ht="172.5" hidden="1" customHeight="1">
      <c r="A182" s="255" t="s">
        <v>515</v>
      </c>
      <c r="B182" s="228" t="s">
        <v>553</v>
      </c>
      <c r="C182" s="215" t="s">
        <v>554</v>
      </c>
      <c r="D182" s="216" t="s">
        <v>113</v>
      </c>
      <c r="E182" s="230">
        <v>46177</v>
      </c>
      <c r="F182" s="230"/>
      <c r="G182" s="224">
        <v>24</v>
      </c>
      <c r="H182" s="256">
        <v>32</v>
      </c>
      <c r="I182" s="257">
        <f t="shared" si="7"/>
        <v>0</v>
      </c>
      <c r="J182" s="221">
        <f t="shared" si="4"/>
        <v>0.33333333333333331</v>
      </c>
      <c r="K182" s="218">
        <v>0</v>
      </c>
      <c r="L182" s="221" t="str">
        <f t="shared" si="5"/>
        <v>Desviado</v>
      </c>
      <c r="M182" s="246" t="s">
        <v>555</v>
      </c>
      <c r="N182" s="224"/>
      <c r="O182" s="224"/>
      <c r="P182" s="224"/>
      <c r="Q182" s="224"/>
      <c r="R182" s="224"/>
      <c r="S182" s="216"/>
      <c r="T182" s="224"/>
      <c r="U182" s="224"/>
      <c r="V182" s="224"/>
      <c r="W182" s="224"/>
      <c r="X182" s="224"/>
      <c r="Y182" s="224"/>
      <c r="Z182" s="216"/>
      <c r="AA182" s="216"/>
      <c r="AB182" s="224"/>
      <c r="AC182" s="224"/>
      <c r="AD182" s="224"/>
      <c r="AE182" s="225"/>
      <c r="AF182" s="225"/>
      <c r="AG182" s="225"/>
      <c r="AH182" s="225"/>
      <c r="AI182" s="225"/>
      <c r="AJ182" s="225"/>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row>
    <row r="183" spans="1:66" customFormat="1" ht="172.5" hidden="1" customHeight="1">
      <c r="A183" s="255" t="s">
        <v>515</v>
      </c>
      <c r="B183" s="228" t="s">
        <v>556</v>
      </c>
      <c r="C183" s="215" t="s">
        <v>557</v>
      </c>
      <c r="D183" s="216" t="s">
        <v>298</v>
      </c>
      <c r="E183" s="230">
        <v>46182</v>
      </c>
      <c r="F183" s="230">
        <v>46182</v>
      </c>
      <c r="G183" s="224">
        <v>24</v>
      </c>
      <c r="H183" s="256">
        <v>40</v>
      </c>
      <c r="I183" s="257">
        <f t="shared" si="7"/>
        <v>0</v>
      </c>
      <c r="J183" s="221">
        <f t="shared" si="4"/>
        <v>0.66666666666666663</v>
      </c>
      <c r="K183" s="218">
        <v>0</v>
      </c>
      <c r="L183" s="221" t="str">
        <f t="shared" si="5"/>
        <v>Desviado</v>
      </c>
      <c r="M183" s="246" t="s">
        <v>558</v>
      </c>
      <c r="N183" s="224"/>
      <c r="O183" s="224"/>
      <c r="P183" s="224"/>
      <c r="Q183" s="224"/>
      <c r="R183" s="224"/>
      <c r="S183" s="216"/>
      <c r="T183" s="224"/>
      <c r="U183" s="224"/>
      <c r="V183" s="224"/>
      <c r="W183" s="224"/>
      <c r="X183" s="224"/>
      <c r="Y183" s="224"/>
      <c r="Z183" s="216"/>
      <c r="AA183" s="216"/>
      <c r="AB183" s="224"/>
      <c r="AC183" s="224"/>
      <c r="AD183" s="224"/>
      <c r="AE183" s="225"/>
      <c r="AF183" s="225"/>
      <c r="AG183" s="225"/>
      <c r="AH183" s="225"/>
      <c r="AI183" s="225"/>
      <c r="AJ183" s="225"/>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row>
    <row r="184" spans="1:66" customFormat="1" ht="172.5" hidden="1" customHeight="1">
      <c r="A184" s="255" t="s">
        <v>515</v>
      </c>
      <c r="B184" s="228" t="s">
        <v>390</v>
      </c>
      <c r="C184" s="215" t="s">
        <v>391</v>
      </c>
      <c r="D184" s="216" t="s">
        <v>301</v>
      </c>
      <c r="E184" s="230">
        <v>46127</v>
      </c>
      <c r="F184" s="230">
        <v>46127</v>
      </c>
      <c r="G184" s="224">
        <v>24</v>
      </c>
      <c r="H184" s="256">
        <v>48</v>
      </c>
      <c r="I184" s="257">
        <f t="shared" si="7"/>
        <v>0</v>
      </c>
      <c r="J184" s="221">
        <f t="shared" si="4"/>
        <v>1</v>
      </c>
      <c r="K184" s="216">
        <v>1</v>
      </c>
      <c r="L184" s="221" t="str">
        <f t="shared" si="5"/>
        <v>Desviado</v>
      </c>
      <c r="M184" s="246" t="s">
        <v>559</v>
      </c>
      <c r="N184" s="224"/>
      <c r="O184" s="224"/>
      <c r="P184" s="224"/>
      <c r="Q184" s="224"/>
      <c r="R184" s="224"/>
      <c r="S184" s="224"/>
      <c r="T184" s="224"/>
      <c r="U184" s="224"/>
      <c r="V184" s="224"/>
      <c r="W184" s="224"/>
      <c r="X184" s="224"/>
      <c r="Y184" s="224"/>
      <c r="Z184" s="216"/>
      <c r="AA184" s="216"/>
      <c r="AB184" s="224"/>
      <c r="AC184" s="224"/>
      <c r="AD184" s="224"/>
      <c r="AE184" s="225"/>
      <c r="AF184" s="225"/>
      <c r="AG184" s="225"/>
      <c r="AH184" s="225"/>
      <c r="AI184" s="225"/>
      <c r="AJ184" s="225"/>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row>
    <row r="185" spans="1:66" customFormat="1" ht="172.5" hidden="1" customHeight="1">
      <c r="A185" s="255" t="s">
        <v>515</v>
      </c>
      <c r="B185" s="228" t="s">
        <v>560</v>
      </c>
      <c r="C185" s="215" t="s">
        <v>561</v>
      </c>
      <c r="D185" s="216" t="s">
        <v>141</v>
      </c>
      <c r="E185" s="230">
        <v>46189</v>
      </c>
      <c r="F185" s="230">
        <v>46191</v>
      </c>
      <c r="G185" s="224">
        <v>16</v>
      </c>
      <c r="H185" s="256">
        <v>48</v>
      </c>
      <c r="I185" s="257">
        <f t="shared" si="7"/>
        <v>0</v>
      </c>
      <c r="J185" s="221">
        <f t="shared" si="4"/>
        <v>2</v>
      </c>
      <c r="K185" s="224">
        <v>0</v>
      </c>
      <c r="L185" s="221" t="str">
        <f t="shared" si="5"/>
        <v>Desviado</v>
      </c>
      <c r="M185" s="246" t="s">
        <v>562</v>
      </c>
      <c r="N185" s="224"/>
      <c r="O185" s="224"/>
      <c r="P185" s="224"/>
      <c r="Q185" s="224"/>
      <c r="R185" s="224"/>
      <c r="S185" s="216"/>
      <c r="T185" s="224"/>
      <c r="U185" s="224"/>
      <c r="V185" s="224"/>
      <c r="W185" s="224"/>
      <c r="X185" s="224"/>
      <c r="Y185" s="224"/>
      <c r="Z185" s="216"/>
      <c r="AA185" s="216"/>
      <c r="AB185" s="224"/>
      <c r="AC185" s="224"/>
      <c r="AD185" s="224"/>
      <c r="AE185" s="225"/>
      <c r="AF185" s="225"/>
      <c r="AG185" s="225"/>
      <c r="AH185" s="225"/>
      <c r="AI185" s="225"/>
      <c r="AJ185" s="225"/>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row>
    <row r="186" spans="1:66" customFormat="1" ht="172.5" hidden="1" customHeight="1">
      <c r="A186" s="255" t="s">
        <v>515</v>
      </c>
      <c r="B186" s="228" t="s">
        <v>563</v>
      </c>
      <c r="C186" s="215" t="s">
        <v>564</v>
      </c>
      <c r="D186" s="216" t="s">
        <v>189</v>
      </c>
      <c r="E186" s="230">
        <v>46190</v>
      </c>
      <c r="F186" s="230">
        <v>46189</v>
      </c>
      <c r="G186" s="224">
        <v>20</v>
      </c>
      <c r="H186" s="256">
        <v>40</v>
      </c>
      <c r="I186" s="257">
        <f>SUM(N186:AJ186)</f>
        <v>0</v>
      </c>
      <c r="J186" s="221">
        <f t="shared" si="4"/>
        <v>1</v>
      </c>
      <c r="K186" s="224">
        <v>0</v>
      </c>
      <c r="L186" s="221" t="str">
        <f t="shared" si="5"/>
        <v>Desviado</v>
      </c>
      <c r="M186" s="246" t="s">
        <v>565</v>
      </c>
      <c r="N186" s="224"/>
      <c r="O186" s="224"/>
      <c r="P186" s="224"/>
      <c r="Q186" s="224"/>
      <c r="R186" s="224"/>
      <c r="S186" s="216"/>
      <c r="T186" s="224"/>
      <c r="U186" s="224"/>
      <c r="V186" s="224"/>
      <c r="W186" s="224"/>
      <c r="X186" s="224"/>
      <c r="Y186" s="224"/>
      <c r="Z186" s="216"/>
      <c r="AA186" s="216"/>
      <c r="AB186" s="224"/>
      <c r="AC186" s="224"/>
      <c r="AD186" s="224"/>
      <c r="AE186" s="225"/>
      <c r="AF186" s="225"/>
      <c r="AG186" s="225"/>
      <c r="AH186" s="225"/>
      <c r="AI186" s="225"/>
      <c r="AJ186" s="225"/>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row>
    <row r="187" spans="1:66" s="207" customFormat="1" ht="36.75" customHeight="1">
      <c r="A187" s="259" t="s">
        <v>515</v>
      </c>
      <c r="B187" s="251" t="s">
        <v>566</v>
      </c>
      <c r="C187" s="242" t="s">
        <v>567</v>
      </c>
      <c r="D187" s="241" t="s">
        <v>298</v>
      </c>
      <c r="E187" s="243">
        <v>46219</v>
      </c>
      <c r="F187" s="243">
        <v>46253</v>
      </c>
      <c r="G187" s="241">
        <v>40</v>
      </c>
      <c r="H187" s="244">
        <v>40</v>
      </c>
      <c r="I187" s="245">
        <f>SUM(N187:AJ187)</f>
        <v>16</v>
      </c>
      <c r="J187" s="221">
        <f t="shared" si="4"/>
        <v>0.4</v>
      </c>
      <c r="K187" s="241">
        <v>2</v>
      </c>
      <c r="L187" s="221" t="str">
        <f t="shared" si="5"/>
        <v>Desviado</v>
      </c>
      <c r="M187" s="223"/>
      <c r="N187" s="241"/>
      <c r="O187" s="241"/>
      <c r="P187" s="241"/>
      <c r="Q187" s="241"/>
      <c r="R187" s="241"/>
      <c r="S187" s="241"/>
      <c r="T187" s="241"/>
      <c r="U187" s="241"/>
      <c r="V187" s="241"/>
      <c r="W187" s="241">
        <v>8</v>
      </c>
      <c r="X187" s="241"/>
      <c r="Y187" s="241"/>
      <c r="Z187" s="241">
        <v>8</v>
      </c>
      <c r="AA187" s="241"/>
      <c r="AB187" s="241"/>
      <c r="AC187" s="241"/>
      <c r="AD187" s="241"/>
      <c r="AE187" s="241"/>
      <c r="AF187" s="241"/>
      <c r="AG187" s="241"/>
      <c r="AH187" s="241"/>
      <c r="AI187" s="241"/>
      <c r="AJ187" s="241"/>
      <c r="AK187" s="205"/>
      <c r="AL187" s="205"/>
      <c r="AM187" s="205"/>
      <c r="AN187" s="205"/>
      <c r="AO187" s="205"/>
      <c r="AP187" s="205"/>
      <c r="AQ187" s="205"/>
      <c r="AR187" s="205"/>
      <c r="AS187" s="208"/>
      <c r="AT187" s="208"/>
      <c r="AU187" s="208"/>
      <c r="AV187" s="208"/>
      <c r="AW187" s="208"/>
      <c r="AX187" s="208"/>
      <c r="AY187" s="208"/>
      <c r="AZ187" s="208"/>
      <c r="BA187" s="208"/>
      <c r="BB187" s="208"/>
      <c r="BC187" s="208"/>
      <c r="BD187" s="208"/>
      <c r="BE187" s="208"/>
      <c r="BF187" s="208"/>
      <c r="BG187" s="208"/>
      <c r="BH187" s="208"/>
      <c r="BI187" s="208"/>
      <c r="BJ187" s="208"/>
      <c r="BK187" s="208"/>
      <c r="BL187" s="208"/>
      <c r="BM187" s="208"/>
      <c r="BN187" s="208"/>
    </row>
    <row r="188" spans="1:66" customFormat="1" ht="20.25" hidden="1" customHeight="1">
      <c r="A188" s="255" t="s">
        <v>515</v>
      </c>
      <c r="B188" s="228" t="s">
        <v>568</v>
      </c>
      <c r="C188" s="215" t="s">
        <v>569</v>
      </c>
      <c r="D188" s="216" t="s">
        <v>298</v>
      </c>
      <c r="E188" s="230"/>
      <c r="F188" s="230"/>
      <c r="G188" s="224">
        <v>0</v>
      </c>
      <c r="H188" s="256">
        <v>52</v>
      </c>
      <c r="I188" s="257">
        <f t="shared" si="7"/>
        <v>0</v>
      </c>
      <c r="J188" s="221" t="str">
        <f t="shared" si="4"/>
        <v/>
      </c>
      <c r="K188" s="218">
        <v>2</v>
      </c>
      <c r="L188" s="221" t="str">
        <f t="shared" si="5"/>
        <v>Sin estimación</v>
      </c>
      <c r="M188" s="223"/>
      <c r="N188" s="224"/>
      <c r="O188" s="224"/>
      <c r="P188" s="224"/>
      <c r="Q188" s="224"/>
      <c r="R188" s="224"/>
      <c r="S188" s="216"/>
      <c r="T188" s="224"/>
      <c r="U188" s="224"/>
      <c r="V188" s="224"/>
      <c r="W188" s="224"/>
      <c r="X188" s="224"/>
      <c r="Y188" s="224"/>
      <c r="Z188" s="216"/>
      <c r="AA188" s="216"/>
      <c r="AB188" s="224"/>
      <c r="AC188" s="224"/>
      <c r="AD188" s="224"/>
      <c r="AE188" s="225"/>
      <c r="AF188" s="225"/>
      <c r="AG188" s="225"/>
      <c r="AH188" s="225"/>
      <c r="AI188" s="225"/>
      <c r="AJ188" s="225"/>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row>
    <row r="189" spans="1:66" customFormat="1" ht="20.25" hidden="1" customHeight="1">
      <c r="A189" s="255" t="s">
        <v>515</v>
      </c>
      <c r="B189" s="228" t="s">
        <v>551</v>
      </c>
      <c r="C189" s="215" t="s">
        <v>552</v>
      </c>
      <c r="D189" s="216" t="s">
        <v>298</v>
      </c>
      <c r="E189" s="230">
        <v>46174</v>
      </c>
      <c r="F189" s="230">
        <v>46175</v>
      </c>
      <c r="G189" s="224">
        <v>24</v>
      </c>
      <c r="H189" s="256">
        <v>16</v>
      </c>
      <c r="I189" s="257">
        <f t="shared" ref="I189:I197" si="9">SUM(N189:AJ189)</f>
        <v>0</v>
      </c>
      <c r="J189" s="221">
        <f t="shared" si="4"/>
        <v>-0.33333333333333331</v>
      </c>
      <c r="K189" s="218">
        <v>2</v>
      </c>
      <c r="L189" s="221" t="str">
        <f t="shared" si="5"/>
        <v>Normal</v>
      </c>
      <c r="M189" s="223"/>
      <c r="N189" s="224"/>
      <c r="O189" s="224"/>
      <c r="P189" s="224"/>
      <c r="Q189" s="224"/>
      <c r="R189" s="224"/>
      <c r="S189" s="216"/>
      <c r="T189" s="224"/>
      <c r="U189" s="224"/>
      <c r="V189" s="224"/>
      <c r="W189" s="224"/>
      <c r="X189" s="224"/>
      <c r="Y189" s="224"/>
      <c r="Z189" s="216"/>
      <c r="AA189" s="216"/>
      <c r="AB189" s="224"/>
      <c r="AC189" s="224"/>
      <c r="AD189" s="224"/>
      <c r="AE189" s="225"/>
      <c r="AF189" s="225"/>
      <c r="AG189" s="225"/>
      <c r="AH189" s="225"/>
      <c r="AI189" s="225"/>
      <c r="AJ189" s="225"/>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row>
    <row r="190" spans="1:66" s="207" customFormat="1" ht="20.25" customHeight="1">
      <c r="A190" s="259" t="s">
        <v>515</v>
      </c>
      <c r="B190" s="251" t="s">
        <v>352</v>
      </c>
      <c r="C190" s="242" t="s">
        <v>353</v>
      </c>
      <c r="D190" s="241" t="s">
        <v>298</v>
      </c>
      <c r="E190" s="243">
        <v>46224</v>
      </c>
      <c r="F190" s="243">
        <v>46258</v>
      </c>
      <c r="G190" s="241"/>
      <c r="H190" s="244">
        <v>32</v>
      </c>
      <c r="I190" s="245">
        <f t="shared" si="9"/>
        <v>18</v>
      </c>
      <c r="J190" s="221" t="str">
        <f t="shared" si="4"/>
        <v/>
      </c>
      <c r="K190" s="252">
        <v>5</v>
      </c>
      <c r="L190" s="221" t="str">
        <f t="shared" si="5"/>
        <v>Sin estimación</v>
      </c>
      <c r="M190" s="223"/>
      <c r="N190" s="241"/>
      <c r="O190" s="241"/>
      <c r="P190" s="241"/>
      <c r="Q190" s="241">
        <v>4</v>
      </c>
      <c r="R190" s="241">
        <v>4</v>
      </c>
      <c r="S190" s="241"/>
      <c r="T190" s="241"/>
      <c r="U190" s="241"/>
      <c r="V190" s="241"/>
      <c r="W190" s="241"/>
      <c r="X190" s="241"/>
      <c r="Y190" s="241">
        <v>8</v>
      </c>
      <c r="Z190" s="241"/>
      <c r="AA190" s="241"/>
      <c r="AB190" s="241"/>
      <c r="AC190" s="241">
        <v>2</v>
      </c>
      <c r="AD190" s="241"/>
      <c r="AE190" s="241"/>
      <c r="AF190" s="241"/>
      <c r="AG190" s="241"/>
      <c r="AH190" s="241"/>
      <c r="AI190" s="241"/>
      <c r="AJ190" s="241"/>
      <c r="AK190" s="205"/>
      <c r="AL190" s="205"/>
      <c r="AM190" s="205"/>
      <c r="AN190" s="205"/>
      <c r="AO190" s="205"/>
      <c r="AP190" s="205"/>
      <c r="AQ190" s="205"/>
      <c r="AR190" s="205"/>
      <c r="AS190" s="208"/>
      <c r="AT190" s="208"/>
      <c r="AU190" s="208"/>
      <c r="AV190" s="208"/>
      <c r="AW190" s="208"/>
      <c r="AX190" s="208"/>
      <c r="AY190" s="208"/>
      <c r="AZ190" s="208"/>
      <c r="BA190" s="208"/>
      <c r="BB190" s="208"/>
      <c r="BC190" s="208"/>
      <c r="BD190" s="208"/>
      <c r="BE190" s="208"/>
      <c r="BF190" s="208"/>
      <c r="BG190" s="208"/>
      <c r="BH190" s="208"/>
      <c r="BI190" s="208"/>
      <c r="BJ190" s="208"/>
      <c r="BK190" s="208"/>
      <c r="BL190" s="208"/>
      <c r="BM190" s="208"/>
      <c r="BN190" s="208"/>
    </row>
    <row r="191" spans="1:66" s="207" customFormat="1" ht="20.25" customHeight="1">
      <c r="A191" s="259" t="s">
        <v>515</v>
      </c>
      <c r="B191" s="251" t="s">
        <v>570</v>
      </c>
      <c r="C191" s="242" t="s">
        <v>571</v>
      </c>
      <c r="D191" s="241" t="s">
        <v>298</v>
      </c>
      <c r="E191" s="243">
        <v>46237</v>
      </c>
      <c r="F191" s="243">
        <v>46237</v>
      </c>
      <c r="G191" s="241"/>
      <c r="H191" s="244">
        <v>16</v>
      </c>
      <c r="I191" s="245">
        <f t="shared" si="9"/>
        <v>4</v>
      </c>
      <c r="J191" s="221" t="str">
        <f t="shared" si="4"/>
        <v/>
      </c>
      <c r="K191" s="252">
        <v>2</v>
      </c>
      <c r="L191" s="221" t="str">
        <f t="shared" si="5"/>
        <v>Sin estimación</v>
      </c>
      <c r="M191" s="223"/>
      <c r="N191" s="241">
        <v>4</v>
      </c>
      <c r="O191" s="241"/>
      <c r="P191" s="241"/>
      <c r="Q191" s="241"/>
      <c r="R191" s="241"/>
      <c r="S191" s="241"/>
      <c r="T191" s="241"/>
      <c r="U191" s="241"/>
      <c r="V191" s="241"/>
      <c r="W191" s="241"/>
      <c r="X191" s="241"/>
      <c r="Y191" s="241"/>
      <c r="Z191" s="241"/>
      <c r="AA191" s="241"/>
      <c r="AB191" s="241"/>
      <c r="AC191" s="241"/>
      <c r="AD191" s="241"/>
      <c r="AE191" s="241"/>
      <c r="AF191" s="241"/>
      <c r="AG191" s="241"/>
      <c r="AH191" s="241"/>
      <c r="AI191" s="241"/>
      <c r="AJ191" s="241"/>
      <c r="AK191" s="205"/>
      <c r="AL191" s="205"/>
      <c r="AM191" s="205"/>
      <c r="AN191" s="205"/>
      <c r="AO191" s="205"/>
      <c r="AP191" s="205"/>
      <c r="AQ191" s="205"/>
      <c r="AR191" s="205"/>
      <c r="AS191" s="208"/>
      <c r="AT191" s="208"/>
      <c r="AU191" s="208"/>
      <c r="AV191" s="208"/>
      <c r="AW191" s="208"/>
      <c r="AX191" s="208"/>
      <c r="AY191" s="208"/>
      <c r="AZ191" s="208"/>
      <c r="BA191" s="208"/>
      <c r="BB191" s="208"/>
      <c r="BC191" s="208"/>
      <c r="BD191" s="208"/>
      <c r="BE191" s="208"/>
      <c r="BF191" s="208"/>
      <c r="BG191" s="208"/>
      <c r="BH191" s="208"/>
      <c r="BI191" s="208"/>
      <c r="BJ191" s="208"/>
      <c r="BK191" s="208"/>
      <c r="BL191" s="208"/>
      <c r="BM191" s="208"/>
      <c r="BN191" s="208"/>
    </row>
    <row r="192" spans="1:66" s="207" customFormat="1" ht="39.75" customHeight="1">
      <c r="A192" s="259" t="s">
        <v>515</v>
      </c>
      <c r="B192" s="251" t="s">
        <v>349</v>
      </c>
      <c r="C192" s="242" t="s">
        <v>350</v>
      </c>
      <c r="D192" s="241" t="s">
        <v>351</v>
      </c>
      <c r="E192" s="243">
        <v>46238</v>
      </c>
      <c r="F192" s="243">
        <v>46238</v>
      </c>
      <c r="G192" s="241">
        <v>10</v>
      </c>
      <c r="H192" s="244">
        <v>16</v>
      </c>
      <c r="I192" s="245">
        <f t="shared" si="9"/>
        <v>4</v>
      </c>
      <c r="J192" s="221">
        <f t="shared" si="4"/>
        <v>1</v>
      </c>
      <c r="K192" s="241">
        <v>1</v>
      </c>
      <c r="L192" s="221" t="str">
        <f t="shared" si="5"/>
        <v>Desviado</v>
      </c>
      <c r="M192" s="246"/>
      <c r="N192" s="241"/>
      <c r="O192" s="241">
        <v>4</v>
      </c>
      <c r="P192" s="241"/>
      <c r="Q192" s="241"/>
      <c r="R192" s="241"/>
      <c r="S192" s="241"/>
      <c r="T192" s="241"/>
      <c r="U192" s="241"/>
      <c r="V192" s="241"/>
      <c r="W192" s="241"/>
      <c r="X192" s="241"/>
      <c r="Y192" s="241"/>
      <c r="Z192" s="241"/>
      <c r="AA192" s="241"/>
      <c r="AB192" s="241"/>
      <c r="AC192" s="241"/>
      <c r="AD192" s="241"/>
      <c r="AE192" s="241"/>
      <c r="AF192" s="241"/>
      <c r="AG192" s="241"/>
      <c r="AH192" s="241"/>
      <c r="AI192" s="241"/>
      <c r="AJ192" s="241"/>
      <c r="AK192" s="205"/>
      <c r="AL192" s="205"/>
      <c r="AM192" s="205"/>
      <c r="AN192" s="205"/>
      <c r="AO192" s="205"/>
      <c r="AP192" s="205"/>
      <c r="AQ192" s="205"/>
      <c r="AR192" s="205"/>
    </row>
    <row r="193" spans="1:66" s="207" customFormat="1" ht="39.75" customHeight="1">
      <c r="A193" s="259" t="s">
        <v>515</v>
      </c>
      <c r="B193" s="241" t="s">
        <v>382</v>
      </c>
      <c r="C193" s="242" t="s">
        <v>383</v>
      </c>
      <c r="D193" s="241" t="s">
        <v>351</v>
      </c>
      <c r="E193" s="243">
        <v>46107</v>
      </c>
      <c r="F193" s="243">
        <v>46238</v>
      </c>
      <c r="G193" s="241">
        <v>24</v>
      </c>
      <c r="H193" s="244">
        <v>35</v>
      </c>
      <c r="I193" s="245">
        <f t="shared" si="9"/>
        <v>4</v>
      </c>
      <c r="J193" s="221">
        <f t="shared" si="4"/>
        <v>0.625</v>
      </c>
      <c r="K193" s="241">
        <v>0</v>
      </c>
      <c r="L193" s="221" t="str">
        <f t="shared" si="5"/>
        <v>Desviado</v>
      </c>
      <c r="M193" s="246"/>
      <c r="N193" s="241"/>
      <c r="O193" s="241">
        <v>4</v>
      </c>
      <c r="P193" s="241"/>
      <c r="Q193" s="241"/>
      <c r="R193" s="241"/>
      <c r="S193" s="241"/>
      <c r="T193" s="241"/>
      <c r="U193" s="241"/>
      <c r="V193" s="241"/>
      <c r="W193" s="241"/>
      <c r="X193" s="241"/>
      <c r="Y193" s="241"/>
      <c r="Z193" s="241"/>
      <c r="AA193" s="241"/>
      <c r="AB193" s="241"/>
      <c r="AC193" s="241"/>
      <c r="AD193" s="241"/>
      <c r="AE193" s="241"/>
      <c r="AF193" s="241"/>
      <c r="AG193" s="241"/>
      <c r="AH193" s="241"/>
      <c r="AI193" s="241"/>
      <c r="AJ193" s="241"/>
      <c r="AK193" s="205"/>
      <c r="AL193" s="205"/>
      <c r="AM193" s="205"/>
      <c r="AN193" s="205"/>
      <c r="AO193" s="205"/>
      <c r="AP193" s="205"/>
      <c r="AQ193" s="205"/>
      <c r="AR193" s="205"/>
    </row>
    <row r="194" spans="1:66" s="207" customFormat="1" ht="39.75" customHeight="1">
      <c r="A194" s="259" t="s">
        <v>515</v>
      </c>
      <c r="B194" s="241" t="s">
        <v>572</v>
      </c>
      <c r="C194" s="242" t="s">
        <v>573</v>
      </c>
      <c r="D194" s="241" t="s">
        <v>298</v>
      </c>
      <c r="E194" s="243"/>
      <c r="F194" s="243">
        <v>46262</v>
      </c>
      <c r="G194" s="241"/>
      <c r="H194" s="244">
        <v>0</v>
      </c>
      <c r="I194" s="245">
        <f t="shared" si="9"/>
        <v>48</v>
      </c>
      <c r="J194" s="221" t="str">
        <f t="shared" si="4"/>
        <v/>
      </c>
      <c r="K194" s="241">
        <v>2</v>
      </c>
      <c r="L194" s="221" t="str">
        <f t="shared" si="5"/>
        <v>Sin estimación</v>
      </c>
      <c r="M194" s="246"/>
      <c r="N194" s="241"/>
      <c r="O194" s="241"/>
      <c r="P194" s="241">
        <v>8</v>
      </c>
      <c r="Q194" s="241">
        <v>4</v>
      </c>
      <c r="R194" s="241">
        <v>4</v>
      </c>
      <c r="S194" s="241">
        <v>8</v>
      </c>
      <c r="T194" s="241">
        <v>8</v>
      </c>
      <c r="U194" s="241">
        <v>8</v>
      </c>
      <c r="V194" s="241"/>
      <c r="W194" s="241"/>
      <c r="X194" s="241"/>
      <c r="Y194" s="241"/>
      <c r="Z194" s="241"/>
      <c r="AA194" s="241"/>
      <c r="AB194" s="241"/>
      <c r="AC194" s="241"/>
      <c r="AD194" s="241"/>
      <c r="AE194" s="241">
        <v>4</v>
      </c>
      <c r="AF194" s="241"/>
      <c r="AG194" s="241">
        <v>4</v>
      </c>
      <c r="AH194" s="241"/>
      <c r="AI194" s="241"/>
      <c r="AJ194" s="241"/>
      <c r="AK194" s="205"/>
      <c r="AL194" s="205"/>
      <c r="AM194" s="205"/>
      <c r="AN194" s="205"/>
      <c r="AO194" s="205"/>
      <c r="AP194" s="205"/>
      <c r="AQ194" s="205"/>
      <c r="AR194" s="205"/>
    </row>
    <row r="195" spans="1:66" s="207" customFormat="1" ht="25.5" customHeight="1">
      <c r="A195" s="259" t="s">
        <v>515</v>
      </c>
      <c r="B195" s="241" t="s">
        <v>574</v>
      </c>
      <c r="C195" s="242" t="s">
        <v>575</v>
      </c>
      <c r="D195" s="241" t="s">
        <v>189</v>
      </c>
      <c r="E195" s="243"/>
      <c r="F195" s="243"/>
      <c r="G195" s="241"/>
      <c r="H195" s="244">
        <v>0</v>
      </c>
      <c r="I195" s="245">
        <f t="shared" si="9"/>
        <v>16</v>
      </c>
      <c r="J195" s="221" t="str">
        <f t="shared" ref="J195:J258" si="10">IFERROR((H195+I195-G195)/G195,"")</f>
        <v/>
      </c>
      <c r="K195" s="241"/>
      <c r="L195" s="221" t="str">
        <f t="shared" ref="L195:L258" si="11">IF(OR(J195="",J195="Sin estimado"),"Sin estimación",IF(J195&gt;=30%,"Desviado","Normal"))</f>
        <v>Sin estimación</v>
      </c>
      <c r="M195" s="246"/>
      <c r="N195" s="241"/>
      <c r="O195" s="241"/>
      <c r="P195" s="241"/>
      <c r="Q195" s="241"/>
      <c r="R195" s="241"/>
      <c r="S195" s="241"/>
      <c r="T195" s="241"/>
      <c r="U195" s="241"/>
      <c r="V195" s="241">
        <v>8</v>
      </c>
      <c r="W195" s="241"/>
      <c r="X195" s="241">
        <v>8</v>
      </c>
      <c r="Y195" s="241"/>
      <c r="Z195" s="241"/>
      <c r="AA195" s="241"/>
      <c r="AB195" s="241"/>
      <c r="AC195" s="241"/>
      <c r="AD195" s="241"/>
      <c r="AE195" s="241"/>
      <c r="AF195" s="241"/>
      <c r="AG195" s="241"/>
      <c r="AH195" s="241"/>
      <c r="AI195" s="241"/>
      <c r="AJ195" s="241"/>
      <c r="AK195" s="205"/>
      <c r="AL195" s="205"/>
      <c r="AM195" s="205"/>
      <c r="AN195" s="205"/>
      <c r="AO195" s="205"/>
      <c r="AP195" s="205"/>
      <c r="AQ195" s="205"/>
      <c r="AR195" s="205"/>
    </row>
    <row r="196" spans="1:66" s="207" customFormat="1" ht="33" customHeight="1">
      <c r="A196" s="259" t="s">
        <v>515</v>
      </c>
      <c r="B196" s="241" t="s">
        <v>576</v>
      </c>
      <c r="C196" s="242" t="s">
        <v>577</v>
      </c>
      <c r="D196" s="241" t="s">
        <v>578</v>
      </c>
      <c r="E196" s="243"/>
      <c r="F196" s="243"/>
      <c r="G196" s="241">
        <v>30</v>
      </c>
      <c r="H196" s="244">
        <v>0</v>
      </c>
      <c r="I196" s="245">
        <f t="shared" si="9"/>
        <v>24</v>
      </c>
      <c r="J196" s="221">
        <f t="shared" si="10"/>
        <v>-0.2</v>
      </c>
      <c r="K196" s="241">
        <v>0</v>
      </c>
      <c r="L196" s="221" t="str">
        <f t="shared" si="11"/>
        <v>Normal</v>
      </c>
      <c r="M196" s="246"/>
      <c r="N196" s="241"/>
      <c r="O196" s="241"/>
      <c r="P196" s="241"/>
      <c r="Q196" s="241"/>
      <c r="R196" s="241"/>
      <c r="S196" s="241"/>
      <c r="T196" s="241"/>
      <c r="U196" s="241"/>
      <c r="V196" s="241"/>
      <c r="W196" s="241"/>
      <c r="X196" s="241"/>
      <c r="Y196" s="241"/>
      <c r="Z196" s="241"/>
      <c r="AA196" s="241">
        <v>8</v>
      </c>
      <c r="AB196" s="241">
        <v>8</v>
      </c>
      <c r="AC196" s="241"/>
      <c r="AD196" s="241"/>
      <c r="AE196" s="241"/>
      <c r="AF196" s="241">
        <v>8</v>
      </c>
      <c r="AG196" s="241"/>
      <c r="AH196" s="241"/>
      <c r="AI196" s="241"/>
      <c r="AJ196" s="241"/>
      <c r="AK196" s="205"/>
      <c r="AL196" s="205"/>
      <c r="AM196" s="205"/>
      <c r="AN196" s="205"/>
      <c r="AO196" s="205"/>
      <c r="AP196" s="205"/>
      <c r="AQ196" s="205"/>
      <c r="AR196" s="205"/>
    </row>
    <row r="197" spans="1:66" s="207" customFormat="1" ht="39.75" customHeight="1">
      <c r="A197" s="259" t="s">
        <v>515</v>
      </c>
      <c r="B197" s="241" t="s">
        <v>579</v>
      </c>
      <c r="C197" s="242" t="s">
        <v>580</v>
      </c>
      <c r="D197" s="241" t="s">
        <v>116</v>
      </c>
      <c r="E197" s="243">
        <v>46265</v>
      </c>
      <c r="F197" s="243">
        <v>46265</v>
      </c>
      <c r="G197" s="241">
        <v>64</v>
      </c>
      <c r="H197" s="244">
        <v>0</v>
      </c>
      <c r="I197" s="245">
        <f t="shared" si="9"/>
        <v>26</v>
      </c>
      <c r="J197" s="221">
        <f t="shared" si="10"/>
        <v>-0.59375</v>
      </c>
      <c r="K197" s="241">
        <v>3</v>
      </c>
      <c r="L197" s="221" t="str">
        <f t="shared" si="11"/>
        <v>Normal</v>
      </c>
      <c r="M197" s="246"/>
      <c r="N197" s="241"/>
      <c r="O197" s="241"/>
      <c r="P197" s="241"/>
      <c r="Q197" s="241"/>
      <c r="R197" s="241"/>
      <c r="S197" s="241"/>
      <c r="T197" s="241"/>
      <c r="U197" s="241"/>
      <c r="V197" s="241"/>
      <c r="W197" s="241"/>
      <c r="X197" s="241"/>
      <c r="Y197" s="241"/>
      <c r="Z197" s="241"/>
      <c r="AA197" s="241"/>
      <c r="AB197" s="241"/>
      <c r="AC197" s="241">
        <v>6</v>
      </c>
      <c r="AD197" s="241">
        <v>8</v>
      </c>
      <c r="AE197" s="241">
        <v>4</v>
      </c>
      <c r="AF197" s="241"/>
      <c r="AG197" s="241"/>
      <c r="AH197" s="241"/>
      <c r="AI197" s="241"/>
      <c r="AJ197" s="241">
        <v>8</v>
      </c>
      <c r="AK197" s="205"/>
      <c r="AL197" s="205"/>
      <c r="AM197" s="205"/>
      <c r="AN197" s="205"/>
      <c r="AO197" s="205"/>
      <c r="AP197" s="205"/>
      <c r="AQ197" s="205"/>
      <c r="AR197" s="205"/>
    </row>
    <row r="198" spans="1:66" customFormat="1" ht="39.75" hidden="1" customHeight="1">
      <c r="A198" s="234" t="s">
        <v>581</v>
      </c>
      <c r="B198" s="228" t="s">
        <v>582</v>
      </c>
      <c r="C198" s="215" t="s">
        <v>583</v>
      </c>
      <c r="D198" s="216" t="s">
        <v>113</v>
      </c>
      <c r="E198" s="230">
        <v>46189</v>
      </c>
      <c r="F198" s="230">
        <v>46197</v>
      </c>
      <c r="G198" s="224">
        <v>8</v>
      </c>
      <c r="H198" s="256">
        <v>53</v>
      </c>
      <c r="I198" s="237">
        <f>SUM(N198:AB198)</f>
        <v>0</v>
      </c>
      <c r="J198" s="221">
        <f t="shared" si="10"/>
        <v>5.625</v>
      </c>
      <c r="K198" s="224">
        <v>0</v>
      </c>
      <c r="L198" s="221" t="str">
        <f t="shared" si="11"/>
        <v>Desviado</v>
      </c>
      <c r="M198" s="246" t="s">
        <v>584</v>
      </c>
      <c r="N198" s="216"/>
      <c r="O198" s="216"/>
      <c r="P198" s="216"/>
      <c r="Q198" s="216"/>
      <c r="R198" s="216"/>
      <c r="S198" s="216"/>
      <c r="T198" s="222"/>
      <c r="U198" s="222"/>
      <c r="V198" s="224"/>
      <c r="W198" s="227"/>
      <c r="X198" s="227"/>
      <c r="Y198" s="227"/>
      <c r="Z198" s="227"/>
      <c r="AA198" s="227"/>
      <c r="AB198" s="227"/>
      <c r="AC198" s="227"/>
      <c r="AD198" s="227"/>
      <c r="AE198" s="227"/>
      <c r="AF198" s="227"/>
      <c r="AG198" s="227"/>
      <c r="AH198" s="227"/>
      <c r="AI198" s="227"/>
      <c r="AJ198" s="227"/>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row>
    <row r="199" spans="1:66" customFormat="1" ht="183.75" hidden="1" customHeight="1">
      <c r="A199" s="234" t="s">
        <v>581</v>
      </c>
      <c r="B199" s="228" t="s">
        <v>585</v>
      </c>
      <c r="C199" s="215" t="s">
        <v>586</v>
      </c>
      <c r="D199" s="216" t="s">
        <v>97</v>
      </c>
      <c r="E199" s="230">
        <v>46204</v>
      </c>
      <c r="F199" s="230">
        <v>46204</v>
      </c>
      <c r="G199" s="224">
        <v>1</v>
      </c>
      <c r="H199" s="256">
        <v>13</v>
      </c>
      <c r="I199" s="237">
        <f>SUM(N199:AB199)</f>
        <v>0</v>
      </c>
      <c r="J199" s="221">
        <f t="shared" si="10"/>
        <v>12</v>
      </c>
      <c r="K199" s="224">
        <v>1</v>
      </c>
      <c r="L199" s="221" t="str">
        <f t="shared" si="11"/>
        <v>Desviado</v>
      </c>
      <c r="M199" s="246" t="s">
        <v>587</v>
      </c>
      <c r="N199" s="224"/>
      <c r="O199" s="224"/>
      <c r="P199" s="224"/>
      <c r="Q199" s="224"/>
      <c r="R199" s="224"/>
      <c r="S199" s="216"/>
      <c r="T199" s="224"/>
      <c r="U199" s="224"/>
      <c r="V199" s="224"/>
      <c r="W199" s="224"/>
      <c r="X199" s="224"/>
      <c r="Y199" s="224"/>
      <c r="Z199" s="224"/>
      <c r="AA199" s="224"/>
      <c r="AB199" s="224"/>
      <c r="AC199" s="224"/>
      <c r="AD199" s="224"/>
      <c r="AE199" s="224"/>
      <c r="AF199" s="225"/>
      <c r="AG199" s="225"/>
      <c r="AH199" s="225"/>
      <c r="AI199" s="225"/>
      <c r="AJ199" s="225"/>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row>
    <row r="200" spans="1:66" customFormat="1" ht="71.25" hidden="1" customHeight="1">
      <c r="A200" s="234" t="s">
        <v>581</v>
      </c>
      <c r="B200" s="228" t="s">
        <v>588</v>
      </c>
      <c r="C200" s="215" t="s">
        <v>589</v>
      </c>
      <c r="D200" s="216" t="s">
        <v>113</v>
      </c>
      <c r="E200" s="230">
        <v>46195</v>
      </c>
      <c r="F200" s="230">
        <v>46202</v>
      </c>
      <c r="G200" s="224">
        <v>20</v>
      </c>
      <c r="H200" s="256">
        <v>39</v>
      </c>
      <c r="I200" s="237">
        <f>SUM(N200:AB200)</f>
        <v>0</v>
      </c>
      <c r="J200" s="221">
        <f t="shared" si="10"/>
        <v>0.95</v>
      </c>
      <c r="K200" s="224">
        <v>0</v>
      </c>
      <c r="L200" s="221" t="str">
        <f t="shared" si="11"/>
        <v>Desviado</v>
      </c>
      <c r="M200" s="246" t="s">
        <v>590</v>
      </c>
      <c r="N200" s="224"/>
      <c r="O200" s="224"/>
      <c r="P200" s="224"/>
      <c r="Q200" s="224"/>
      <c r="R200" s="224"/>
      <c r="S200" s="216"/>
      <c r="T200" s="224"/>
      <c r="U200" s="224"/>
      <c r="V200" s="224"/>
      <c r="W200" s="224"/>
      <c r="X200" s="224"/>
      <c r="Y200" s="224"/>
      <c r="Z200" s="224"/>
      <c r="AA200" s="224"/>
      <c r="AB200" s="224"/>
      <c r="AC200" s="224"/>
      <c r="AD200" s="224"/>
      <c r="AE200" s="224"/>
      <c r="AF200" s="225"/>
      <c r="AG200" s="225"/>
      <c r="AH200" s="225"/>
      <c r="AI200" s="225"/>
      <c r="AJ200" s="225"/>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row>
    <row r="201" spans="1:66" customFormat="1" ht="15.75" hidden="1" customHeight="1">
      <c r="A201" s="234" t="s">
        <v>581</v>
      </c>
      <c r="B201" s="228" t="s">
        <v>591</v>
      </c>
      <c r="C201" s="215" t="s">
        <v>592</v>
      </c>
      <c r="D201" s="216" t="s">
        <v>110</v>
      </c>
      <c r="E201" s="230">
        <v>46233</v>
      </c>
      <c r="F201" s="230">
        <v>46195</v>
      </c>
      <c r="G201" s="224">
        <v>6</v>
      </c>
      <c r="H201" s="256">
        <v>6</v>
      </c>
      <c r="I201" s="237">
        <f>SUM(N201:AB201)</f>
        <v>0</v>
      </c>
      <c r="J201" s="221">
        <f t="shared" si="10"/>
        <v>0</v>
      </c>
      <c r="K201" s="224">
        <v>0</v>
      </c>
      <c r="L201" s="221" t="str">
        <f t="shared" si="11"/>
        <v>Normal</v>
      </c>
      <c r="M201" s="223"/>
      <c r="N201" s="224"/>
      <c r="O201" s="224"/>
      <c r="P201" s="224"/>
      <c r="Q201" s="224"/>
      <c r="R201" s="224"/>
      <c r="S201" s="216"/>
      <c r="T201" s="224"/>
      <c r="U201" s="224"/>
      <c r="V201" s="224"/>
      <c r="W201" s="225"/>
      <c r="X201" s="225"/>
      <c r="Y201" s="225"/>
      <c r="Z201" s="225"/>
      <c r="AA201" s="225"/>
      <c r="AB201" s="225"/>
      <c r="AC201" s="225"/>
      <c r="AD201" s="225"/>
      <c r="AE201" s="225"/>
      <c r="AF201" s="225"/>
      <c r="AG201" s="225"/>
      <c r="AH201" s="225"/>
      <c r="AI201" s="225"/>
      <c r="AJ201" s="225"/>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row>
    <row r="202" spans="1:66" customFormat="1" ht="77.25" hidden="1" customHeight="1">
      <c r="A202" s="234" t="s">
        <v>581</v>
      </c>
      <c r="B202" s="228" t="s">
        <v>593</v>
      </c>
      <c r="C202" s="215" t="s">
        <v>594</v>
      </c>
      <c r="D202" s="216" t="s">
        <v>97</v>
      </c>
      <c r="E202" s="230">
        <v>46209</v>
      </c>
      <c r="F202" s="230">
        <v>46241</v>
      </c>
      <c r="G202" s="224">
        <v>12</v>
      </c>
      <c r="H202" s="256">
        <v>25</v>
      </c>
      <c r="I202" s="237">
        <f>SUM(N202:AB202)</f>
        <v>0</v>
      </c>
      <c r="J202" s="221">
        <f t="shared" si="10"/>
        <v>1.0833333333333333</v>
      </c>
      <c r="K202" s="224">
        <v>0</v>
      </c>
      <c r="L202" s="221" t="str">
        <f t="shared" si="11"/>
        <v>Desviado</v>
      </c>
      <c r="M202" s="246" t="s">
        <v>595</v>
      </c>
      <c r="N202" s="224"/>
      <c r="O202" s="224"/>
      <c r="P202" s="224"/>
      <c r="Q202" s="224"/>
      <c r="R202" s="224"/>
      <c r="S202" s="216"/>
      <c r="T202" s="224"/>
      <c r="U202" s="224"/>
      <c r="V202" s="224"/>
      <c r="W202" s="224"/>
      <c r="X202" s="224"/>
      <c r="Y202" s="224"/>
      <c r="Z202" s="224"/>
      <c r="AA202" s="224"/>
      <c r="AB202" s="224"/>
      <c r="AC202" s="224"/>
      <c r="AD202" s="224"/>
      <c r="AE202" s="224"/>
      <c r="AF202" s="225"/>
      <c r="AG202" s="225"/>
      <c r="AH202" s="225"/>
      <c r="AI202" s="225"/>
      <c r="AJ202" s="225"/>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row>
    <row r="203" spans="1:66" customFormat="1" ht="15.75" hidden="1" customHeight="1">
      <c r="A203" s="234" t="s">
        <v>581</v>
      </c>
      <c r="B203" s="228" t="s">
        <v>596</v>
      </c>
      <c r="C203" s="215" t="s">
        <v>597</v>
      </c>
      <c r="D203" s="216" t="s">
        <v>97</v>
      </c>
      <c r="E203" s="230">
        <v>46213</v>
      </c>
      <c r="F203" s="230">
        <v>46212</v>
      </c>
      <c r="G203" s="224">
        <v>0</v>
      </c>
      <c r="H203" s="256">
        <v>12</v>
      </c>
      <c r="I203" s="237">
        <f>SUM(N203:AB203)</f>
        <v>0</v>
      </c>
      <c r="J203" s="221" t="str">
        <f t="shared" si="10"/>
        <v/>
      </c>
      <c r="K203" s="224">
        <v>1</v>
      </c>
      <c r="L203" s="221" t="str">
        <f t="shared" si="11"/>
        <v>Sin estimación</v>
      </c>
      <c r="M203" s="246"/>
      <c r="N203" s="224"/>
      <c r="O203" s="224"/>
      <c r="P203" s="224"/>
      <c r="Q203" s="224"/>
      <c r="R203" s="224"/>
      <c r="S203" s="216"/>
      <c r="T203" s="224"/>
      <c r="U203" s="224"/>
      <c r="V203" s="224"/>
      <c r="W203" s="224"/>
      <c r="X203" s="224"/>
      <c r="Y203" s="224"/>
      <c r="Z203" s="224"/>
      <c r="AA203" s="224"/>
      <c r="AB203" s="224"/>
      <c r="AC203" s="224"/>
      <c r="AD203" s="224"/>
      <c r="AE203" s="224"/>
      <c r="AF203" s="225"/>
      <c r="AG203" s="225"/>
      <c r="AH203" s="225"/>
      <c r="AI203" s="225"/>
      <c r="AJ203" s="225"/>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row>
    <row r="204" spans="1:66" customFormat="1" ht="273" hidden="1" customHeight="1">
      <c r="A204" s="234" t="s">
        <v>581</v>
      </c>
      <c r="B204" s="228" t="s">
        <v>598</v>
      </c>
      <c r="C204" s="215" t="s">
        <v>599</v>
      </c>
      <c r="D204" s="216" t="s">
        <v>97</v>
      </c>
      <c r="E204" s="230"/>
      <c r="F204" s="230">
        <v>46218</v>
      </c>
      <c r="G204" s="224">
        <v>24</v>
      </c>
      <c r="H204" s="256">
        <v>47</v>
      </c>
      <c r="I204" s="237">
        <f>SUM(N204:AB204)</f>
        <v>0</v>
      </c>
      <c r="J204" s="221">
        <f t="shared" si="10"/>
        <v>0.95833333333333337</v>
      </c>
      <c r="K204" s="224">
        <v>7</v>
      </c>
      <c r="L204" s="221" t="str">
        <f t="shared" si="11"/>
        <v>Desviado</v>
      </c>
      <c r="M204" s="246" t="s">
        <v>600</v>
      </c>
      <c r="N204" s="224"/>
      <c r="O204" s="224"/>
      <c r="P204" s="224"/>
      <c r="Q204" s="224"/>
      <c r="R204" s="224"/>
      <c r="S204" s="216"/>
      <c r="T204" s="224"/>
      <c r="U204" s="224"/>
      <c r="V204" s="224"/>
      <c r="W204" s="224"/>
      <c r="X204" s="224"/>
      <c r="Y204" s="224"/>
      <c r="Z204" s="224"/>
      <c r="AA204" s="224"/>
      <c r="AB204" s="224"/>
      <c r="AC204" s="224"/>
      <c r="AD204" s="224"/>
      <c r="AE204" s="224"/>
      <c r="AF204" s="225"/>
      <c r="AG204" s="225"/>
      <c r="AH204" s="225"/>
      <c r="AI204" s="225"/>
      <c r="AJ204" s="225"/>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row>
    <row r="205" spans="1:66" customFormat="1" ht="50.25" hidden="1" customHeight="1">
      <c r="A205" s="234" t="s">
        <v>581</v>
      </c>
      <c r="B205" s="228" t="s">
        <v>601</v>
      </c>
      <c r="C205" s="215" t="s">
        <v>602</v>
      </c>
      <c r="D205" s="216" t="s">
        <v>97</v>
      </c>
      <c r="E205" s="230">
        <v>46223</v>
      </c>
      <c r="F205" s="230">
        <v>46220</v>
      </c>
      <c r="G205" s="224">
        <v>16</v>
      </c>
      <c r="H205" s="256">
        <v>20</v>
      </c>
      <c r="I205" s="237">
        <f>SUM(N205:AB205)</f>
        <v>0</v>
      </c>
      <c r="J205" s="221">
        <f t="shared" si="10"/>
        <v>0.25</v>
      </c>
      <c r="K205" s="224">
        <v>1</v>
      </c>
      <c r="L205" s="221" t="str">
        <f t="shared" si="11"/>
        <v>Normal</v>
      </c>
      <c r="M205" s="246"/>
      <c r="N205" s="224"/>
      <c r="O205" s="224"/>
      <c r="P205" s="224"/>
      <c r="Q205" s="224"/>
      <c r="R205" s="224"/>
      <c r="S205" s="216"/>
      <c r="T205" s="224"/>
      <c r="U205" s="224"/>
      <c r="V205" s="224"/>
      <c r="W205" s="224"/>
      <c r="X205" s="224"/>
      <c r="Y205" s="224"/>
      <c r="Z205" s="224"/>
      <c r="AA205" s="224"/>
      <c r="AB205" s="224"/>
      <c r="AC205" s="224"/>
      <c r="AD205" s="224"/>
      <c r="AE205" s="224"/>
      <c r="AF205" s="225"/>
      <c r="AG205" s="225"/>
      <c r="AH205" s="225"/>
      <c r="AI205" s="225"/>
      <c r="AJ205" s="225"/>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row>
    <row r="206" spans="1:66" s="207" customFormat="1" ht="50.25" customHeight="1">
      <c r="A206" s="241" t="s">
        <v>581</v>
      </c>
      <c r="B206" s="251" t="s">
        <v>603</v>
      </c>
      <c r="C206" s="242" t="s">
        <v>604</v>
      </c>
      <c r="D206" s="241" t="s">
        <v>97</v>
      </c>
      <c r="E206" s="243">
        <v>46226</v>
      </c>
      <c r="F206" s="243">
        <v>46239</v>
      </c>
      <c r="G206" s="241">
        <v>6</v>
      </c>
      <c r="H206" s="244">
        <v>15</v>
      </c>
      <c r="I206" s="245">
        <f t="shared" ref="I206:I215" si="12">SUM(N206:AJ206)</f>
        <v>1</v>
      </c>
      <c r="J206" s="221">
        <f t="shared" si="10"/>
        <v>1.6666666666666667</v>
      </c>
      <c r="K206" s="241">
        <v>0</v>
      </c>
      <c r="L206" s="221" t="str">
        <f t="shared" si="11"/>
        <v>Desviado</v>
      </c>
      <c r="M206" s="246"/>
      <c r="N206" s="241"/>
      <c r="O206" s="241"/>
      <c r="P206" s="241">
        <v>1</v>
      </c>
      <c r="Q206" s="241"/>
      <c r="R206" s="241"/>
      <c r="S206" s="241"/>
      <c r="T206" s="241"/>
      <c r="U206" s="241"/>
      <c r="V206" s="241"/>
      <c r="W206" s="241"/>
      <c r="X206" s="241"/>
      <c r="Y206" s="241"/>
      <c r="Z206" s="241"/>
      <c r="AA206" s="241"/>
      <c r="AB206" s="241"/>
      <c r="AC206" s="241"/>
      <c r="AD206" s="241"/>
      <c r="AE206" s="241"/>
      <c r="AF206" s="241"/>
      <c r="AG206" s="241"/>
      <c r="AH206" s="241"/>
      <c r="AI206" s="241"/>
      <c r="AJ206" s="241"/>
      <c r="AK206" s="205"/>
      <c r="AL206" s="205"/>
      <c r="AM206" s="205"/>
      <c r="AN206" s="205"/>
      <c r="AO206" s="205"/>
      <c r="AP206" s="205"/>
      <c r="AQ206" s="205"/>
      <c r="AR206" s="205"/>
      <c r="AS206" s="208"/>
      <c r="AT206" s="208"/>
      <c r="AU206" s="208"/>
      <c r="AV206" s="208"/>
      <c r="AW206" s="208"/>
      <c r="AX206" s="208"/>
      <c r="AY206" s="208"/>
      <c r="AZ206" s="208"/>
      <c r="BA206" s="208"/>
      <c r="BB206" s="208"/>
      <c r="BC206" s="208"/>
      <c r="BD206" s="208"/>
      <c r="BE206" s="208"/>
      <c r="BF206" s="208"/>
      <c r="BG206" s="208"/>
      <c r="BH206" s="208"/>
      <c r="BI206" s="208"/>
      <c r="BJ206" s="208"/>
      <c r="BK206" s="208"/>
      <c r="BL206" s="208"/>
      <c r="BM206" s="208"/>
      <c r="BN206" s="208"/>
    </row>
    <row r="207" spans="1:66" s="207" customFormat="1" ht="50.25" customHeight="1">
      <c r="A207" s="241" t="s">
        <v>581</v>
      </c>
      <c r="B207" s="251" t="s">
        <v>605</v>
      </c>
      <c r="C207" s="242" t="s">
        <v>606</v>
      </c>
      <c r="D207" s="241" t="s">
        <v>96</v>
      </c>
      <c r="E207" s="243"/>
      <c r="F207" s="243">
        <v>46258</v>
      </c>
      <c r="G207" s="241">
        <v>14</v>
      </c>
      <c r="H207" s="244">
        <v>5</v>
      </c>
      <c r="I207" s="245">
        <f t="shared" si="12"/>
        <v>2</v>
      </c>
      <c r="J207" s="221">
        <f t="shared" si="10"/>
        <v>-0.5</v>
      </c>
      <c r="K207" s="241">
        <v>1</v>
      </c>
      <c r="L207" s="221" t="str">
        <f t="shared" si="11"/>
        <v>Normal</v>
      </c>
      <c r="M207" s="233"/>
      <c r="N207" s="241"/>
      <c r="O207" s="241"/>
      <c r="P207" s="241"/>
      <c r="Q207" s="241"/>
      <c r="R207" s="241"/>
      <c r="S207" s="241"/>
      <c r="T207" s="241"/>
      <c r="U207" s="241"/>
      <c r="V207" s="241"/>
      <c r="W207" s="241"/>
      <c r="X207" s="241"/>
      <c r="Y207" s="241"/>
      <c r="Z207" s="241"/>
      <c r="AA207" s="241">
        <v>2</v>
      </c>
      <c r="AB207" s="241"/>
      <c r="AC207" s="241"/>
      <c r="AD207" s="241"/>
      <c r="AE207" s="241"/>
      <c r="AF207" s="241"/>
      <c r="AG207" s="241"/>
      <c r="AH207" s="241"/>
      <c r="AI207" s="241"/>
      <c r="AJ207" s="241"/>
      <c r="AK207" s="205"/>
      <c r="AL207" s="205"/>
      <c r="AM207" s="205"/>
      <c r="AN207" s="205"/>
      <c r="AO207" s="205"/>
      <c r="AP207" s="205"/>
      <c r="AQ207" s="205"/>
      <c r="AR207" s="205"/>
      <c r="AS207" s="208"/>
      <c r="AT207" s="208"/>
      <c r="AU207" s="208"/>
      <c r="AV207" s="208"/>
      <c r="AW207" s="208"/>
      <c r="AX207" s="208"/>
      <c r="AY207" s="208"/>
      <c r="AZ207" s="208"/>
      <c r="BA207" s="208"/>
      <c r="BB207" s="208"/>
      <c r="BC207" s="208"/>
      <c r="BD207" s="208"/>
      <c r="BE207" s="208"/>
      <c r="BF207" s="208"/>
      <c r="BG207" s="208"/>
      <c r="BH207" s="208"/>
      <c r="BI207" s="208"/>
      <c r="BJ207" s="208"/>
      <c r="BK207" s="208"/>
      <c r="BL207" s="208"/>
      <c r="BM207" s="208"/>
      <c r="BN207" s="208"/>
    </row>
    <row r="208" spans="1:66" s="207" customFormat="1" ht="50.25" customHeight="1">
      <c r="A208" s="241" t="s">
        <v>581</v>
      </c>
      <c r="B208" s="251" t="s">
        <v>607</v>
      </c>
      <c r="C208" s="242" t="s">
        <v>608</v>
      </c>
      <c r="D208" s="241" t="s">
        <v>97</v>
      </c>
      <c r="E208" s="243">
        <v>46231</v>
      </c>
      <c r="F208" s="243">
        <v>46240</v>
      </c>
      <c r="G208" s="241"/>
      <c r="H208" s="244">
        <v>22</v>
      </c>
      <c r="I208" s="245">
        <f t="shared" si="12"/>
        <v>6</v>
      </c>
      <c r="J208" s="221" t="str">
        <f t="shared" si="10"/>
        <v/>
      </c>
      <c r="K208" s="241">
        <v>1</v>
      </c>
      <c r="L208" s="221" t="str">
        <f t="shared" si="11"/>
        <v>Sin estimación</v>
      </c>
      <c r="M208" s="247"/>
      <c r="N208" s="241"/>
      <c r="O208" s="241"/>
      <c r="P208" s="241">
        <v>5</v>
      </c>
      <c r="Q208" s="241">
        <v>1</v>
      </c>
      <c r="R208" s="241"/>
      <c r="S208" s="241"/>
      <c r="T208" s="241"/>
      <c r="U208" s="241"/>
      <c r="V208" s="241"/>
      <c r="W208" s="241"/>
      <c r="X208" s="241"/>
      <c r="Y208" s="241"/>
      <c r="Z208" s="241"/>
      <c r="AA208" s="241"/>
      <c r="AB208" s="241"/>
      <c r="AC208" s="241"/>
      <c r="AD208" s="241"/>
      <c r="AE208" s="241"/>
      <c r="AF208" s="241"/>
      <c r="AG208" s="241"/>
      <c r="AH208" s="241"/>
      <c r="AI208" s="241"/>
      <c r="AJ208" s="241"/>
      <c r="AK208" s="205"/>
      <c r="AL208" s="205"/>
      <c r="AM208" s="205"/>
      <c r="AN208" s="205"/>
      <c r="AO208" s="205"/>
      <c r="AP208" s="205"/>
      <c r="AQ208" s="205"/>
      <c r="AR208" s="205"/>
      <c r="AS208" s="208"/>
      <c r="AT208" s="208"/>
      <c r="AU208" s="208"/>
      <c r="AV208" s="208"/>
      <c r="AW208" s="208"/>
      <c r="AX208" s="208"/>
      <c r="AY208" s="208"/>
      <c r="AZ208" s="208"/>
      <c r="BA208" s="208"/>
      <c r="BB208" s="208"/>
      <c r="BC208" s="208"/>
      <c r="BD208" s="208"/>
      <c r="BE208" s="208"/>
      <c r="BF208" s="208"/>
      <c r="BG208" s="208"/>
      <c r="BH208" s="208"/>
      <c r="BI208" s="208"/>
      <c r="BJ208" s="208"/>
      <c r="BK208" s="208"/>
      <c r="BL208" s="208"/>
      <c r="BM208" s="208"/>
      <c r="BN208" s="208"/>
    </row>
    <row r="209" spans="1:66" s="207" customFormat="1" ht="50.25" customHeight="1">
      <c r="A209" s="241" t="s">
        <v>581</v>
      </c>
      <c r="B209" s="251" t="s">
        <v>609</v>
      </c>
      <c r="C209" s="242" t="s">
        <v>610</v>
      </c>
      <c r="D209" s="241" t="s">
        <v>97</v>
      </c>
      <c r="E209" s="243">
        <v>46237</v>
      </c>
      <c r="F209" s="243">
        <v>46239</v>
      </c>
      <c r="G209" s="241"/>
      <c r="H209" s="244">
        <v>15</v>
      </c>
      <c r="I209" s="245">
        <f t="shared" si="12"/>
        <v>11</v>
      </c>
      <c r="J209" s="221" t="str">
        <f t="shared" si="10"/>
        <v/>
      </c>
      <c r="K209" s="241">
        <v>0</v>
      </c>
      <c r="L209" s="221" t="str">
        <f t="shared" si="11"/>
        <v>Sin estimación</v>
      </c>
      <c r="M209" s="247"/>
      <c r="N209" s="241">
        <v>8</v>
      </c>
      <c r="O209" s="241">
        <v>1</v>
      </c>
      <c r="P209" s="241">
        <v>1</v>
      </c>
      <c r="Q209" s="241">
        <v>1</v>
      </c>
      <c r="R209" s="241"/>
      <c r="S209" s="241"/>
      <c r="T209" s="241"/>
      <c r="U209" s="241"/>
      <c r="V209" s="241"/>
      <c r="W209" s="241"/>
      <c r="X209" s="241"/>
      <c r="Y209" s="241"/>
      <c r="Z209" s="241"/>
      <c r="AA209" s="241"/>
      <c r="AB209" s="241"/>
      <c r="AC209" s="241"/>
      <c r="AD209" s="241"/>
      <c r="AE209" s="241"/>
      <c r="AF209" s="241"/>
      <c r="AG209" s="241"/>
      <c r="AH209" s="241"/>
      <c r="AI209" s="241"/>
      <c r="AJ209" s="241"/>
      <c r="AK209" s="205"/>
      <c r="AL209" s="205"/>
      <c r="AM209" s="205"/>
      <c r="AN209" s="205"/>
      <c r="AO209" s="205"/>
      <c r="AP209" s="205"/>
      <c r="AQ209" s="205"/>
      <c r="AR209" s="205"/>
      <c r="AS209" s="208"/>
      <c r="AT209" s="208"/>
      <c r="AU209" s="208"/>
      <c r="AV209" s="208"/>
      <c r="AW209" s="208"/>
      <c r="AX209" s="208"/>
      <c r="AY209" s="208"/>
      <c r="AZ209" s="208"/>
      <c r="BA209" s="208"/>
      <c r="BB209" s="208"/>
      <c r="BC209" s="208"/>
      <c r="BD209" s="208"/>
      <c r="BE209" s="208"/>
      <c r="BF209" s="208"/>
      <c r="BG209" s="208"/>
      <c r="BH209" s="208"/>
      <c r="BI209" s="208"/>
      <c r="BJ209" s="208"/>
      <c r="BK209" s="208"/>
      <c r="BL209" s="208"/>
      <c r="BM209" s="208"/>
      <c r="BN209" s="208"/>
    </row>
    <row r="210" spans="1:66" s="207" customFormat="1" ht="50.25" customHeight="1">
      <c r="A210" s="241" t="s">
        <v>581</v>
      </c>
      <c r="B210" s="251" t="s">
        <v>611</v>
      </c>
      <c r="C210" s="242" t="s">
        <v>612</v>
      </c>
      <c r="D210" s="241" t="s">
        <v>97</v>
      </c>
      <c r="E210" s="243">
        <v>46240</v>
      </c>
      <c r="F210" s="243">
        <v>46239</v>
      </c>
      <c r="G210" s="241"/>
      <c r="H210" s="244">
        <v>0</v>
      </c>
      <c r="I210" s="245">
        <f t="shared" si="12"/>
        <v>9</v>
      </c>
      <c r="J210" s="221" t="str">
        <f t="shared" si="10"/>
        <v/>
      </c>
      <c r="K210" s="241">
        <v>0</v>
      </c>
      <c r="L210" s="221" t="str">
        <f t="shared" si="11"/>
        <v>Sin estimación</v>
      </c>
      <c r="M210" s="247"/>
      <c r="N210" s="241"/>
      <c r="O210" s="241">
        <v>7</v>
      </c>
      <c r="P210" s="241">
        <v>1</v>
      </c>
      <c r="Q210" s="241">
        <v>1</v>
      </c>
      <c r="R210" s="241"/>
      <c r="S210" s="241"/>
      <c r="T210" s="241"/>
      <c r="U210" s="241"/>
      <c r="V210" s="241"/>
      <c r="W210" s="241"/>
      <c r="X210" s="241"/>
      <c r="Y210" s="241"/>
      <c r="Z210" s="241"/>
      <c r="AA210" s="241"/>
      <c r="AB210" s="241"/>
      <c r="AC210" s="241"/>
      <c r="AD210" s="241"/>
      <c r="AE210" s="241"/>
      <c r="AF210" s="241"/>
      <c r="AG210" s="241"/>
      <c r="AH210" s="241"/>
      <c r="AI210" s="241"/>
      <c r="AJ210" s="241"/>
      <c r="AK210" s="205"/>
      <c r="AL210" s="205"/>
      <c r="AM210" s="205"/>
      <c r="AN210" s="205"/>
      <c r="AO210" s="205"/>
      <c r="AP210" s="205"/>
      <c r="AQ210" s="205"/>
      <c r="AR210" s="205"/>
      <c r="AS210" s="208"/>
      <c r="AT210" s="208"/>
      <c r="AU210" s="208"/>
      <c r="AV210" s="208"/>
      <c r="AW210" s="208"/>
      <c r="AX210" s="208"/>
      <c r="AY210" s="208"/>
      <c r="AZ210" s="208"/>
      <c r="BA210" s="208"/>
      <c r="BB210" s="208"/>
      <c r="BC210" s="208"/>
      <c r="BD210" s="208"/>
      <c r="BE210" s="208"/>
      <c r="BF210" s="208"/>
      <c r="BG210" s="208"/>
      <c r="BH210" s="208"/>
      <c r="BI210" s="208"/>
      <c r="BJ210" s="208"/>
      <c r="BK210" s="208"/>
      <c r="BL210" s="208"/>
      <c r="BM210" s="208"/>
      <c r="BN210" s="208"/>
    </row>
    <row r="211" spans="1:66" s="207" customFormat="1" ht="50.25" customHeight="1">
      <c r="A211" s="241" t="s">
        <v>581</v>
      </c>
      <c r="B211" s="251" t="s">
        <v>613</v>
      </c>
      <c r="C211" s="242" t="s">
        <v>614</v>
      </c>
      <c r="D211" s="241" t="s">
        <v>97</v>
      </c>
      <c r="E211" s="243">
        <v>46247</v>
      </c>
      <c r="F211" s="243">
        <v>46246</v>
      </c>
      <c r="G211" s="241"/>
      <c r="H211" s="244">
        <v>0</v>
      </c>
      <c r="I211" s="245">
        <f t="shared" si="12"/>
        <v>16</v>
      </c>
      <c r="J211" s="221" t="str">
        <f t="shared" si="10"/>
        <v/>
      </c>
      <c r="K211" s="241">
        <v>0</v>
      </c>
      <c r="L211" s="221" t="str">
        <f t="shared" si="11"/>
        <v>Sin estimación</v>
      </c>
      <c r="M211" s="247"/>
      <c r="N211" s="241"/>
      <c r="O211" s="241"/>
      <c r="P211" s="241"/>
      <c r="Q211" s="241">
        <v>5</v>
      </c>
      <c r="R211" s="241">
        <v>8</v>
      </c>
      <c r="S211" s="241">
        <v>1</v>
      </c>
      <c r="T211" s="241"/>
      <c r="U211" s="241">
        <v>1</v>
      </c>
      <c r="V211" s="241">
        <v>1</v>
      </c>
      <c r="W211" s="241"/>
      <c r="X211" s="241"/>
      <c r="Y211" s="241"/>
      <c r="Z211" s="241"/>
      <c r="AA211" s="241"/>
      <c r="AB211" s="241"/>
      <c r="AC211" s="241"/>
      <c r="AD211" s="241"/>
      <c r="AE211" s="241"/>
      <c r="AF211" s="241"/>
      <c r="AG211" s="241"/>
      <c r="AH211" s="241"/>
      <c r="AI211" s="241"/>
      <c r="AJ211" s="241"/>
      <c r="AK211" s="205"/>
      <c r="AL211" s="205"/>
      <c r="AM211" s="205"/>
      <c r="AN211" s="205"/>
      <c r="AO211" s="205"/>
      <c r="AP211" s="205"/>
      <c r="AQ211" s="205"/>
      <c r="AR211" s="205"/>
      <c r="AS211" s="208"/>
      <c r="AT211" s="208"/>
      <c r="AU211" s="208"/>
      <c r="AV211" s="208"/>
      <c r="AW211" s="208"/>
      <c r="AX211" s="208"/>
      <c r="AY211" s="208"/>
      <c r="AZ211" s="208"/>
      <c r="BA211" s="208"/>
      <c r="BB211" s="208"/>
      <c r="BC211" s="208"/>
      <c r="BD211" s="208"/>
      <c r="BE211" s="208"/>
      <c r="BF211" s="208"/>
      <c r="BG211" s="208"/>
      <c r="BH211" s="208"/>
      <c r="BI211" s="208"/>
      <c r="BJ211" s="208"/>
      <c r="BK211" s="208"/>
      <c r="BL211" s="208"/>
      <c r="BM211" s="208"/>
      <c r="BN211" s="208"/>
    </row>
    <row r="212" spans="1:66" s="207" customFormat="1" ht="50.25" customHeight="1">
      <c r="A212" s="241" t="s">
        <v>581</v>
      </c>
      <c r="B212" s="251" t="s">
        <v>615</v>
      </c>
      <c r="C212" s="242" t="s">
        <v>616</v>
      </c>
      <c r="D212" s="241" t="s">
        <v>97</v>
      </c>
      <c r="E212" s="243">
        <v>46259</v>
      </c>
      <c r="F212" s="243">
        <v>46258</v>
      </c>
      <c r="G212" s="241">
        <v>16</v>
      </c>
      <c r="H212" s="244">
        <v>0</v>
      </c>
      <c r="I212" s="245">
        <f t="shared" si="12"/>
        <v>38</v>
      </c>
      <c r="J212" s="221">
        <f t="shared" si="10"/>
        <v>1.375</v>
      </c>
      <c r="K212" s="241">
        <v>1</v>
      </c>
      <c r="L212" s="221" t="str">
        <f t="shared" si="11"/>
        <v>Desviado</v>
      </c>
      <c r="M212" s="247"/>
      <c r="N212" s="241"/>
      <c r="O212" s="241"/>
      <c r="P212" s="241"/>
      <c r="Q212" s="241"/>
      <c r="R212" s="241"/>
      <c r="S212" s="241">
        <v>7</v>
      </c>
      <c r="T212" s="241">
        <v>8</v>
      </c>
      <c r="U212" s="241">
        <v>7</v>
      </c>
      <c r="V212" s="241">
        <v>7</v>
      </c>
      <c r="W212" s="241"/>
      <c r="X212" s="241"/>
      <c r="Y212" s="241"/>
      <c r="Z212" s="241">
        <v>1</v>
      </c>
      <c r="AA212" s="241"/>
      <c r="AB212" s="241">
        <v>8</v>
      </c>
      <c r="AC212" s="241"/>
      <c r="AD212" s="241"/>
      <c r="AE212" s="241"/>
      <c r="AF212" s="241"/>
      <c r="AG212" s="241"/>
      <c r="AH212" s="241"/>
      <c r="AI212" s="241"/>
      <c r="AJ212" s="241"/>
      <c r="AK212" s="205"/>
      <c r="AL212" s="205"/>
      <c r="AM212" s="205"/>
      <c r="AN212" s="205"/>
      <c r="AO212" s="205"/>
      <c r="AP212" s="205"/>
      <c r="AQ212" s="205"/>
      <c r="AR212" s="205"/>
      <c r="AS212" s="208"/>
      <c r="AT212" s="208"/>
      <c r="AU212" s="208"/>
      <c r="AV212" s="208"/>
      <c r="AW212" s="208"/>
      <c r="AX212" s="208"/>
      <c r="AY212" s="208"/>
      <c r="AZ212" s="208"/>
      <c r="BA212" s="208"/>
      <c r="BB212" s="208"/>
      <c r="BC212" s="208"/>
      <c r="BD212" s="208"/>
      <c r="BE212" s="208"/>
      <c r="BF212" s="208"/>
      <c r="BG212" s="208"/>
      <c r="BH212" s="208"/>
      <c r="BI212" s="208"/>
      <c r="BJ212" s="208"/>
      <c r="BK212" s="208"/>
      <c r="BL212" s="208"/>
      <c r="BM212" s="208"/>
      <c r="BN212" s="208"/>
    </row>
    <row r="213" spans="1:66" s="207" customFormat="1" ht="50.25" customHeight="1">
      <c r="A213" s="241" t="s">
        <v>581</v>
      </c>
      <c r="B213" s="251" t="s">
        <v>513</v>
      </c>
      <c r="C213" s="242" t="s">
        <v>514</v>
      </c>
      <c r="D213" s="241" t="s">
        <v>116</v>
      </c>
      <c r="E213" s="243">
        <v>46254</v>
      </c>
      <c r="F213" s="243">
        <v>46261</v>
      </c>
      <c r="G213" s="241">
        <v>24</v>
      </c>
      <c r="H213" s="244">
        <v>0</v>
      </c>
      <c r="I213" s="245">
        <f t="shared" si="12"/>
        <v>41</v>
      </c>
      <c r="J213" s="221">
        <f t="shared" si="10"/>
        <v>0.70833333333333337</v>
      </c>
      <c r="K213" s="241">
        <v>1</v>
      </c>
      <c r="L213" s="221" t="str">
        <f t="shared" si="11"/>
        <v>Desviado</v>
      </c>
      <c r="M213" s="247"/>
      <c r="N213" s="241"/>
      <c r="O213" s="241"/>
      <c r="P213" s="241"/>
      <c r="Q213" s="241"/>
      <c r="R213" s="241"/>
      <c r="S213" s="241"/>
      <c r="T213" s="241"/>
      <c r="U213" s="241"/>
      <c r="V213" s="241"/>
      <c r="W213" s="241">
        <v>8</v>
      </c>
      <c r="X213" s="241">
        <v>8</v>
      </c>
      <c r="Y213" s="241">
        <v>8</v>
      </c>
      <c r="Z213" s="241">
        <v>1</v>
      </c>
      <c r="AA213" s="241"/>
      <c r="AB213" s="241"/>
      <c r="AC213" s="241"/>
      <c r="AD213" s="241"/>
      <c r="AE213" s="241">
        <v>8</v>
      </c>
      <c r="AF213" s="241">
        <v>8</v>
      </c>
      <c r="AG213" s="241"/>
      <c r="AH213" s="241"/>
      <c r="AI213" s="241"/>
      <c r="AJ213" s="241"/>
      <c r="AK213" s="205"/>
      <c r="AL213" s="205"/>
      <c r="AM213" s="205"/>
      <c r="AN213" s="205"/>
      <c r="AO213" s="205"/>
      <c r="AP213" s="205"/>
      <c r="AQ213" s="205"/>
      <c r="AR213" s="205"/>
      <c r="AS213" s="208"/>
      <c r="AT213" s="208"/>
      <c r="AU213" s="208"/>
      <c r="AV213" s="208"/>
      <c r="AW213" s="208"/>
      <c r="AX213" s="208"/>
      <c r="AY213" s="208"/>
      <c r="AZ213" s="208"/>
      <c r="BA213" s="208"/>
      <c r="BB213" s="208"/>
      <c r="BC213" s="208"/>
      <c r="BD213" s="208"/>
      <c r="BE213" s="208"/>
      <c r="BF213" s="208"/>
      <c r="BG213" s="208"/>
      <c r="BH213" s="208"/>
      <c r="BI213" s="208"/>
      <c r="BJ213" s="208"/>
      <c r="BK213" s="208"/>
      <c r="BL213" s="208"/>
      <c r="BM213" s="208"/>
      <c r="BN213" s="208"/>
    </row>
    <row r="214" spans="1:66" s="207" customFormat="1" ht="50.25" customHeight="1">
      <c r="A214" s="241" t="s">
        <v>581</v>
      </c>
      <c r="B214" s="251" t="s">
        <v>617</v>
      </c>
      <c r="C214" s="242" t="s">
        <v>618</v>
      </c>
      <c r="D214" s="241" t="s">
        <v>113</v>
      </c>
      <c r="E214" s="243">
        <v>46268</v>
      </c>
      <c r="F214" s="243">
        <v>46262</v>
      </c>
      <c r="G214" s="241">
        <v>28</v>
      </c>
      <c r="H214" s="244">
        <v>0</v>
      </c>
      <c r="I214" s="245">
        <f t="shared" si="12"/>
        <v>28</v>
      </c>
      <c r="J214" s="221">
        <f t="shared" si="10"/>
        <v>0</v>
      </c>
      <c r="K214" s="241">
        <v>0</v>
      </c>
      <c r="L214" s="221" t="str">
        <f t="shared" si="11"/>
        <v>Normal</v>
      </c>
      <c r="M214" s="247"/>
      <c r="N214" s="241"/>
      <c r="O214" s="241"/>
      <c r="P214" s="241"/>
      <c r="Q214" s="241"/>
      <c r="R214" s="241"/>
      <c r="S214" s="241"/>
      <c r="T214" s="241"/>
      <c r="U214" s="241"/>
      <c r="V214" s="241"/>
      <c r="W214" s="241"/>
      <c r="X214" s="241"/>
      <c r="Y214" s="241"/>
      <c r="Z214" s="241">
        <v>6</v>
      </c>
      <c r="AA214" s="241">
        <v>6</v>
      </c>
      <c r="AB214" s="241"/>
      <c r="AC214" s="241">
        <v>8</v>
      </c>
      <c r="AD214" s="241">
        <v>8</v>
      </c>
      <c r="AE214" s="241"/>
      <c r="AF214" s="241"/>
      <c r="AG214" s="241"/>
      <c r="AH214" s="241"/>
      <c r="AI214" s="241"/>
      <c r="AJ214" s="241"/>
      <c r="AK214" s="205"/>
      <c r="AL214" s="205"/>
      <c r="AM214" s="205"/>
      <c r="AN214" s="205"/>
      <c r="AO214" s="205"/>
      <c r="AP214" s="205"/>
      <c r="AQ214" s="205"/>
      <c r="AR214" s="205"/>
      <c r="AS214" s="208"/>
      <c r="AT214" s="208"/>
      <c r="AU214" s="208"/>
      <c r="AV214" s="208"/>
      <c r="AW214" s="208"/>
      <c r="AX214" s="208"/>
      <c r="AY214" s="208"/>
      <c r="AZ214" s="208"/>
      <c r="BA214" s="208"/>
      <c r="BB214" s="208"/>
      <c r="BC214" s="208"/>
      <c r="BD214" s="208"/>
      <c r="BE214" s="208"/>
      <c r="BF214" s="208"/>
      <c r="BG214" s="208"/>
      <c r="BH214" s="208"/>
      <c r="BI214" s="208"/>
      <c r="BJ214" s="208"/>
      <c r="BK214" s="208"/>
      <c r="BL214" s="208"/>
      <c r="BM214" s="208"/>
      <c r="BN214" s="208"/>
    </row>
    <row r="215" spans="1:66" s="207" customFormat="1" ht="50.25" customHeight="1">
      <c r="A215" s="241" t="s">
        <v>581</v>
      </c>
      <c r="B215" s="251" t="s">
        <v>619</v>
      </c>
      <c r="C215" s="242" t="s">
        <v>620</v>
      </c>
      <c r="D215" s="241" t="s">
        <v>116</v>
      </c>
      <c r="E215" s="243">
        <v>46268</v>
      </c>
      <c r="F215" s="243"/>
      <c r="G215" s="241">
        <v>12</v>
      </c>
      <c r="H215" s="244">
        <v>0</v>
      </c>
      <c r="I215" s="245">
        <f t="shared" si="12"/>
        <v>16</v>
      </c>
      <c r="J215" s="221">
        <f t="shared" si="10"/>
        <v>0.33333333333333331</v>
      </c>
      <c r="K215" s="241">
        <v>0</v>
      </c>
      <c r="L215" s="221" t="str">
        <f t="shared" si="11"/>
        <v>Desviado</v>
      </c>
      <c r="M215" s="247"/>
      <c r="N215" s="241"/>
      <c r="O215" s="241"/>
      <c r="P215" s="241"/>
      <c r="Q215" s="241"/>
      <c r="R215" s="241"/>
      <c r="S215" s="241"/>
      <c r="T215" s="241"/>
      <c r="U215" s="241"/>
      <c r="V215" s="241"/>
      <c r="W215" s="241"/>
      <c r="X215" s="241"/>
      <c r="Y215" s="241"/>
      <c r="Z215" s="241"/>
      <c r="AA215" s="241"/>
      <c r="AB215" s="241"/>
      <c r="AC215" s="241"/>
      <c r="AD215" s="241"/>
      <c r="AE215" s="241"/>
      <c r="AF215" s="241"/>
      <c r="AG215" s="241">
        <v>8</v>
      </c>
      <c r="AH215" s="241"/>
      <c r="AI215" s="241"/>
      <c r="AJ215" s="241">
        <v>8</v>
      </c>
      <c r="AK215" s="205"/>
      <c r="AL215" s="205"/>
      <c r="AM215" s="205"/>
      <c r="AN215" s="205"/>
      <c r="AO215" s="205"/>
      <c r="AP215" s="205"/>
      <c r="AQ215" s="205"/>
      <c r="AR215" s="205"/>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c r="BM215" s="208"/>
      <c r="BN215" s="208"/>
    </row>
    <row r="216" spans="1:66" ht="50.25" hidden="1" customHeight="1">
      <c r="A216" s="224" t="s">
        <v>248</v>
      </c>
      <c r="B216" s="224" t="s">
        <v>621</v>
      </c>
      <c r="C216" s="233" t="s">
        <v>622</v>
      </c>
      <c r="D216" s="216" t="s">
        <v>244</v>
      </c>
      <c r="E216" s="230">
        <v>45929</v>
      </c>
      <c r="F216" s="230">
        <v>45929</v>
      </c>
      <c r="G216" s="224">
        <v>38</v>
      </c>
      <c r="H216" s="256">
        <v>38</v>
      </c>
      <c r="I216" s="237">
        <f>SUM(N216:AB216)</f>
        <v>0</v>
      </c>
      <c r="J216" s="221">
        <f t="shared" si="10"/>
        <v>0</v>
      </c>
      <c r="K216" s="224">
        <v>1</v>
      </c>
      <c r="L216" s="221" t="str">
        <f t="shared" si="11"/>
        <v>Normal</v>
      </c>
      <c r="M216" s="224"/>
      <c r="N216" s="216"/>
      <c r="O216" s="216"/>
      <c r="P216" s="216"/>
      <c r="Q216" s="216"/>
      <c r="R216" s="216"/>
      <c r="S216" s="216"/>
      <c r="T216" s="224"/>
      <c r="U216" s="224"/>
      <c r="V216" s="224"/>
      <c r="W216" s="225"/>
      <c r="X216" s="225"/>
      <c r="Y216" s="225"/>
      <c r="Z216" s="225"/>
      <c r="AA216" s="225"/>
      <c r="AB216" s="225"/>
      <c r="AC216" s="225"/>
      <c r="AD216" s="225"/>
      <c r="AE216" s="225"/>
      <c r="AF216" s="225"/>
      <c r="AG216" s="225"/>
      <c r="AH216" s="225"/>
      <c r="AI216" s="225"/>
      <c r="AJ216" s="225"/>
      <c r="AK216" s="51"/>
      <c r="AL216" s="51"/>
      <c r="AM216" s="51"/>
      <c r="AN216" s="51"/>
      <c r="AO216" s="51"/>
      <c r="AP216" s="51"/>
      <c r="AQ216" s="51"/>
      <c r="AR216" s="51"/>
    </row>
    <row r="217" spans="1:66" ht="50.25" hidden="1" customHeight="1">
      <c r="A217" s="224" t="s">
        <v>248</v>
      </c>
      <c r="B217" s="224" t="s">
        <v>623</v>
      </c>
      <c r="C217" s="233" t="s">
        <v>624</v>
      </c>
      <c r="D217" s="216" t="s">
        <v>298</v>
      </c>
      <c r="E217" s="230">
        <v>45961</v>
      </c>
      <c r="F217" s="230">
        <v>45961</v>
      </c>
      <c r="G217" s="224">
        <v>11</v>
      </c>
      <c r="H217" s="256">
        <v>0</v>
      </c>
      <c r="I217" s="237">
        <f>SUM(N217:AB217)</f>
        <v>0</v>
      </c>
      <c r="J217" s="221">
        <f t="shared" si="10"/>
        <v>-1</v>
      </c>
      <c r="K217" s="224">
        <v>0</v>
      </c>
      <c r="L217" s="221" t="str">
        <f t="shared" si="11"/>
        <v>Normal</v>
      </c>
      <c r="M217" s="224"/>
      <c r="N217" s="216"/>
      <c r="O217" s="216"/>
      <c r="P217" s="216"/>
      <c r="Q217" s="216"/>
      <c r="R217" s="216"/>
      <c r="S217" s="216"/>
      <c r="T217" s="224"/>
      <c r="U217" s="224"/>
      <c r="V217" s="224"/>
      <c r="W217" s="225"/>
      <c r="X217" s="225"/>
      <c r="Y217" s="225"/>
      <c r="Z217" s="225"/>
      <c r="AA217" s="225"/>
      <c r="AB217" s="225"/>
      <c r="AC217" s="225"/>
      <c r="AD217" s="225"/>
      <c r="AE217" s="225"/>
      <c r="AF217" s="225"/>
      <c r="AG217" s="225"/>
      <c r="AH217" s="225"/>
      <c r="AI217" s="225"/>
      <c r="AJ217" s="225"/>
      <c r="AK217" s="51"/>
      <c r="AL217" s="51"/>
      <c r="AM217" s="51"/>
      <c r="AN217" s="51"/>
      <c r="AO217" s="51"/>
      <c r="AP217" s="51"/>
      <c r="AQ217" s="51"/>
      <c r="AR217" s="51"/>
    </row>
    <row r="218" spans="1:66" ht="50.25" hidden="1" customHeight="1">
      <c r="A218" s="224" t="s">
        <v>248</v>
      </c>
      <c r="B218" s="224" t="s">
        <v>625</v>
      </c>
      <c r="C218" s="215" t="s">
        <v>626</v>
      </c>
      <c r="D218" s="216" t="s">
        <v>244</v>
      </c>
      <c r="E218" s="230">
        <v>45954</v>
      </c>
      <c r="F218" s="230">
        <v>45950</v>
      </c>
      <c r="G218" s="224">
        <v>25</v>
      </c>
      <c r="H218" s="256">
        <v>24</v>
      </c>
      <c r="I218" s="237">
        <f>SUM(N218:AB218)</f>
        <v>0</v>
      </c>
      <c r="J218" s="221">
        <f t="shared" si="10"/>
        <v>-0.04</v>
      </c>
      <c r="K218" s="216">
        <v>1</v>
      </c>
      <c r="L218" s="221" t="str">
        <f t="shared" si="11"/>
        <v>Normal</v>
      </c>
      <c r="M218" s="224"/>
      <c r="N218" s="216"/>
      <c r="O218" s="216"/>
      <c r="P218" s="216"/>
      <c r="Q218" s="216"/>
      <c r="R218" s="216"/>
      <c r="S218" s="216"/>
      <c r="T218" s="224"/>
      <c r="U218" s="224"/>
      <c r="V218" s="224"/>
      <c r="W218" s="225"/>
      <c r="X218" s="225"/>
      <c r="Y218" s="225"/>
      <c r="Z218" s="225"/>
      <c r="AA218" s="225"/>
      <c r="AB218" s="225"/>
      <c r="AC218" s="225"/>
      <c r="AD218" s="225"/>
      <c r="AE218" s="225"/>
      <c r="AF218" s="225"/>
      <c r="AG218" s="225"/>
      <c r="AH218" s="225"/>
      <c r="AI218" s="225"/>
      <c r="AJ218" s="225"/>
      <c r="AK218" s="51"/>
      <c r="AL218" s="51"/>
      <c r="AM218" s="51"/>
      <c r="AN218" s="51"/>
      <c r="AO218" s="51"/>
      <c r="AP218" s="51"/>
      <c r="AQ218" s="51"/>
      <c r="AR218" s="51"/>
    </row>
    <row r="219" spans="1:66" ht="50.25" hidden="1" customHeight="1">
      <c r="A219" s="224" t="s">
        <v>248</v>
      </c>
      <c r="B219" s="224" t="s">
        <v>627</v>
      </c>
      <c r="C219" s="215" t="s">
        <v>628</v>
      </c>
      <c r="D219" s="216" t="s">
        <v>244</v>
      </c>
      <c r="E219" s="230">
        <v>45952</v>
      </c>
      <c r="F219" s="230">
        <v>45952</v>
      </c>
      <c r="G219" s="224">
        <v>1</v>
      </c>
      <c r="H219" s="256">
        <v>1</v>
      </c>
      <c r="I219" s="237">
        <f>SUM(N219:AB219)</f>
        <v>0</v>
      </c>
      <c r="J219" s="221">
        <f t="shared" si="10"/>
        <v>0</v>
      </c>
      <c r="K219" s="224">
        <v>1</v>
      </c>
      <c r="L219" s="221" t="str">
        <f t="shared" si="11"/>
        <v>Normal</v>
      </c>
      <c r="M219" s="224"/>
      <c r="N219" s="224"/>
      <c r="O219" s="224"/>
      <c r="P219" s="224"/>
      <c r="Q219" s="224"/>
      <c r="R219" s="224"/>
      <c r="S219" s="224"/>
      <c r="T219" s="224"/>
      <c r="U219" s="224"/>
      <c r="V219" s="224"/>
      <c r="W219" s="225"/>
      <c r="X219" s="225"/>
      <c r="Y219" s="225"/>
      <c r="Z219" s="225"/>
      <c r="AA219" s="225"/>
      <c r="AB219" s="225"/>
      <c r="AC219" s="225"/>
      <c r="AD219" s="225"/>
      <c r="AE219" s="225"/>
      <c r="AF219" s="225"/>
      <c r="AG219" s="225"/>
      <c r="AH219" s="225"/>
      <c r="AI219" s="225"/>
      <c r="AJ219" s="225"/>
      <c r="AK219" s="51"/>
      <c r="AL219" s="51"/>
      <c r="AM219" s="51"/>
      <c r="AN219" s="51"/>
      <c r="AO219" s="51"/>
      <c r="AP219" s="51"/>
      <c r="AQ219" s="51"/>
      <c r="AR219" s="51"/>
    </row>
    <row r="220" spans="1:66" ht="50.25" hidden="1" customHeight="1">
      <c r="A220" s="224" t="s">
        <v>248</v>
      </c>
      <c r="B220" s="224" t="s">
        <v>629</v>
      </c>
      <c r="C220" s="215" t="s">
        <v>630</v>
      </c>
      <c r="D220" s="216" t="s">
        <v>307</v>
      </c>
      <c r="E220" s="230">
        <v>45954</v>
      </c>
      <c r="F220" s="230">
        <v>45952</v>
      </c>
      <c r="G220" s="224">
        <v>2</v>
      </c>
      <c r="H220" s="256">
        <v>2</v>
      </c>
      <c r="I220" s="237">
        <f>SUM(N220:AB220)</f>
        <v>0</v>
      </c>
      <c r="J220" s="221">
        <f t="shared" si="10"/>
        <v>0</v>
      </c>
      <c r="K220" s="216">
        <v>1</v>
      </c>
      <c r="L220" s="221" t="str">
        <f t="shared" si="11"/>
        <v>Normal</v>
      </c>
      <c r="M220" s="224"/>
      <c r="N220" s="216"/>
      <c r="O220" s="216"/>
      <c r="P220" s="216"/>
      <c r="Q220" s="216"/>
      <c r="R220" s="216"/>
      <c r="S220" s="216"/>
      <c r="T220" s="224"/>
      <c r="U220" s="224"/>
      <c r="V220" s="224"/>
      <c r="W220" s="225"/>
      <c r="X220" s="225"/>
      <c r="Y220" s="225"/>
      <c r="Z220" s="225"/>
      <c r="AA220" s="225"/>
      <c r="AB220" s="225"/>
      <c r="AC220" s="225"/>
      <c r="AD220" s="225"/>
      <c r="AE220" s="225"/>
      <c r="AF220" s="225"/>
      <c r="AG220" s="225"/>
      <c r="AH220" s="225"/>
      <c r="AI220" s="225"/>
      <c r="AJ220" s="225"/>
      <c r="AK220" s="51"/>
      <c r="AL220" s="51"/>
      <c r="AM220" s="51"/>
      <c r="AN220" s="51"/>
      <c r="AO220" s="51"/>
      <c r="AP220" s="51"/>
      <c r="AQ220" s="51"/>
      <c r="AR220" s="51"/>
    </row>
    <row r="221" spans="1:66" ht="50.25" hidden="1" customHeight="1">
      <c r="A221" s="224" t="s">
        <v>248</v>
      </c>
      <c r="B221" s="224" t="s">
        <v>631</v>
      </c>
      <c r="C221" s="215" t="s">
        <v>632</v>
      </c>
      <c r="D221" s="216" t="s">
        <v>113</v>
      </c>
      <c r="E221" s="230">
        <v>45952</v>
      </c>
      <c r="F221" s="230">
        <v>45952</v>
      </c>
      <c r="G221" s="224">
        <v>4</v>
      </c>
      <c r="H221" s="256">
        <v>5</v>
      </c>
      <c r="I221" s="237">
        <f>SUM(N221:AB221)</f>
        <v>0</v>
      </c>
      <c r="J221" s="221">
        <f t="shared" si="10"/>
        <v>0.25</v>
      </c>
      <c r="K221" s="224">
        <v>1</v>
      </c>
      <c r="L221" s="221" t="str">
        <f t="shared" si="11"/>
        <v>Normal</v>
      </c>
      <c r="M221" s="224"/>
      <c r="N221" s="224"/>
      <c r="O221" s="224"/>
      <c r="P221" s="224"/>
      <c r="Q221" s="224"/>
      <c r="R221" s="224"/>
      <c r="S221" s="224"/>
      <c r="T221" s="224"/>
      <c r="U221" s="224"/>
      <c r="V221" s="224"/>
      <c r="W221" s="225"/>
      <c r="X221" s="225"/>
      <c r="Y221" s="225"/>
      <c r="Z221" s="225"/>
      <c r="AA221" s="225"/>
      <c r="AB221" s="225"/>
      <c r="AC221" s="225"/>
      <c r="AD221" s="225"/>
      <c r="AE221" s="225"/>
      <c r="AF221" s="225"/>
      <c r="AG221" s="225"/>
      <c r="AH221" s="225"/>
      <c r="AI221" s="225"/>
      <c r="AJ221" s="225"/>
      <c r="AK221" s="51"/>
      <c r="AL221" s="51"/>
      <c r="AM221" s="51"/>
      <c r="AN221" s="51"/>
      <c r="AO221" s="51"/>
      <c r="AP221" s="51"/>
      <c r="AQ221" s="51"/>
      <c r="AR221" s="51"/>
    </row>
    <row r="222" spans="1:66" ht="50.25" hidden="1" customHeight="1">
      <c r="A222" s="224" t="s">
        <v>248</v>
      </c>
      <c r="B222" s="224" t="s">
        <v>633</v>
      </c>
      <c r="C222" s="215" t="s">
        <v>634</v>
      </c>
      <c r="D222" s="216" t="s">
        <v>113</v>
      </c>
      <c r="E222" s="230">
        <v>45966</v>
      </c>
      <c r="F222" s="230">
        <v>45968</v>
      </c>
      <c r="G222" s="224">
        <v>32</v>
      </c>
      <c r="H222" s="256">
        <v>39</v>
      </c>
      <c r="I222" s="237">
        <f>SUM(N222:AB222)</f>
        <v>0</v>
      </c>
      <c r="J222" s="221">
        <f t="shared" si="10"/>
        <v>0.21875</v>
      </c>
      <c r="K222" s="216">
        <v>1</v>
      </c>
      <c r="L222" s="221" t="str">
        <f t="shared" si="11"/>
        <v>Normal</v>
      </c>
      <c r="M222" s="216"/>
      <c r="N222" s="216"/>
      <c r="O222" s="216"/>
      <c r="P222" s="216"/>
      <c r="Q222" s="216"/>
      <c r="R222" s="216"/>
      <c r="S222" s="216"/>
      <c r="T222" s="224"/>
      <c r="U222" s="224"/>
      <c r="V222" s="224"/>
      <c r="W222" s="225"/>
      <c r="X222" s="225"/>
      <c r="Y222" s="225"/>
      <c r="Z222" s="225"/>
      <c r="AA222" s="225"/>
      <c r="AB222" s="225"/>
      <c r="AC222" s="225"/>
      <c r="AD222" s="225"/>
      <c r="AE222" s="225"/>
      <c r="AF222" s="225"/>
      <c r="AG222" s="225"/>
      <c r="AH222" s="225"/>
      <c r="AI222" s="225"/>
      <c r="AJ222" s="225"/>
      <c r="AK222" s="51"/>
      <c r="AL222" s="51"/>
      <c r="AM222" s="51"/>
      <c r="AN222" s="51"/>
      <c r="AO222" s="51"/>
      <c r="AP222" s="51"/>
      <c r="AQ222" s="51"/>
      <c r="AR222" s="51"/>
    </row>
    <row r="223" spans="1:66" ht="50.25" hidden="1" customHeight="1">
      <c r="A223" s="224" t="s">
        <v>248</v>
      </c>
      <c r="B223" s="228" t="s">
        <v>635</v>
      </c>
      <c r="C223" s="215" t="s">
        <v>636</v>
      </c>
      <c r="D223" s="216" t="s">
        <v>113</v>
      </c>
      <c r="E223" s="230">
        <v>46013</v>
      </c>
      <c r="F223" s="230">
        <v>46017</v>
      </c>
      <c r="G223" s="224">
        <f>40+6</f>
        <v>46</v>
      </c>
      <c r="H223" s="256">
        <v>54</v>
      </c>
      <c r="I223" s="237">
        <f>SUM(N223:AB223)</f>
        <v>0</v>
      </c>
      <c r="J223" s="221">
        <f t="shared" si="10"/>
        <v>0.17391304347826086</v>
      </c>
      <c r="K223" s="224">
        <v>1</v>
      </c>
      <c r="L223" s="221" t="str">
        <f t="shared" si="11"/>
        <v>Normal</v>
      </c>
      <c r="M223" s="224"/>
      <c r="N223" s="216"/>
      <c r="O223" s="216"/>
      <c r="P223" s="216"/>
      <c r="Q223" s="216"/>
      <c r="R223" s="216"/>
      <c r="S223" s="216"/>
      <c r="T223" s="224"/>
      <c r="U223" s="224"/>
      <c r="V223" s="224"/>
      <c r="W223" s="225"/>
      <c r="X223" s="225"/>
      <c r="Y223" s="225"/>
      <c r="Z223" s="225"/>
      <c r="AA223" s="225"/>
      <c r="AB223" s="225"/>
      <c r="AC223" s="225"/>
      <c r="AD223" s="225"/>
      <c r="AE223" s="225"/>
      <c r="AF223" s="225"/>
      <c r="AG223" s="225"/>
      <c r="AH223" s="225"/>
      <c r="AI223" s="225"/>
      <c r="AJ223" s="225"/>
      <c r="AK223" s="51"/>
      <c r="AL223" s="51"/>
      <c r="AM223" s="51"/>
      <c r="AN223" s="51"/>
      <c r="AO223" s="51"/>
      <c r="AP223" s="51"/>
      <c r="AQ223" s="51"/>
      <c r="AR223" s="51"/>
    </row>
    <row r="224" spans="1:66" ht="50.25" hidden="1" customHeight="1">
      <c r="A224" s="224" t="s">
        <v>248</v>
      </c>
      <c r="B224" s="224" t="s">
        <v>637</v>
      </c>
      <c r="C224" s="215" t="s">
        <v>638</v>
      </c>
      <c r="D224" s="216" t="s">
        <v>244</v>
      </c>
      <c r="E224" s="230">
        <v>45960</v>
      </c>
      <c r="F224" s="230">
        <v>45960</v>
      </c>
      <c r="G224" s="224">
        <v>3</v>
      </c>
      <c r="H224" s="256">
        <v>3</v>
      </c>
      <c r="I224" s="237">
        <f>SUM(N224:AB224)</f>
        <v>0</v>
      </c>
      <c r="J224" s="221">
        <f t="shared" si="10"/>
        <v>0</v>
      </c>
      <c r="K224" s="224">
        <v>1</v>
      </c>
      <c r="L224" s="221" t="str">
        <f t="shared" si="11"/>
        <v>Normal</v>
      </c>
      <c r="M224" s="224"/>
      <c r="N224" s="224"/>
      <c r="O224" s="224"/>
      <c r="P224" s="224"/>
      <c r="Q224" s="224"/>
      <c r="R224" s="224"/>
      <c r="S224" s="224"/>
      <c r="T224" s="224"/>
      <c r="U224" s="224"/>
      <c r="V224" s="224"/>
      <c r="W224" s="225"/>
      <c r="X224" s="225"/>
      <c r="Y224" s="225"/>
      <c r="Z224" s="225"/>
      <c r="AA224" s="225"/>
      <c r="AB224" s="225"/>
      <c r="AC224" s="225"/>
      <c r="AD224" s="225"/>
      <c r="AE224" s="225"/>
      <c r="AF224" s="225"/>
      <c r="AG224" s="225"/>
      <c r="AH224" s="225"/>
      <c r="AI224" s="225"/>
      <c r="AJ224" s="225"/>
      <c r="AK224" s="51"/>
      <c r="AL224" s="51"/>
      <c r="AM224" s="51"/>
      <c r="AN224" s="51"/>
      <c r="AO224" s="51"/>
      <c r="AP224" s="51"/>
      <c r="AQ224" s="51"/>
      <c r="AR224" s="51"/>
    </row>
    <row r="225" spans="1:44" ht="50.25" hidden="1" customHeight="1">
      <c r="A225" s="224" t="s">
        <v>248</v>
      </c>
      <c r="B225" s="224" t="s">
        <v>639</v>
      </c>
      <c r="C225" s="215" t="s">
        <v>640</v>
      </c>
      <c r="D225" s="216" t="s">
        <v>244</v>
      </c>
      <c r="E225" s="230">
        <v>45964</v>
      </c>
      <c r="F225" s="230">
        <v>45961</v>
      </c>
      <c r="G225" s="224">
        <v>16</v>
      </c>
      <c r="H225" s="256">
        <v>6</v>
      </c>
      <c r="I225" s="237">
        <f>SUM(N225:AB225)</f>
        <v>0</v>
      </c>
      <c r="J225" s="221">
        <f t="shared" si="10"/>
        <v>-0.625</v>
      </c>
      <c r="K225" s="224">
        <v>1</v>
      </c>
      <c r="L225" s="221" t="str">
        <f t="shared" si="11"/>
        <v>Normal</v>
      </c>
      <c r="M225" s="224"/>
      <c r="N225" s="224"/>
      <c r="O225" s="224"/>
      <c r="P225" s="224"/>
      <c r="Q225" s="224"/>
      <c r="R225" s="224"/>
      <c r="S225" s="224"/>
      <c r="T225" s="224"/>
      <c r="U225" s="224"/>
      <c r="V225" s="224"/>
      <c r="W225" s="225"/>
      <c r="X225" s="225"/>
      <c r="Y225" s="225"/>
      <c r="Z225" s="225"/>
      <c r="AA225" s="225"/>
      <c r="AB225" s="225"/>
      <c r="AC225" s="225"/>
      <c r="AD225" s="225"/>
      <c r="AE225" s="225"/>
      <c r="AF225" s="225"/>
      <c r="AG225" s="225"/>
      <c r="AH225" s="225"/>
      <c r="AI225" s="225"/>
      <c r="AJ225" s="225"/>
      <c r="AK225" s="51"/>
      <c r="AL225" s="51"/>
      <c r="AM225" s="51"/>
      <c r="AN225" s="51"/>
      <c r="AO225" s="51"/>
      <c r="AP225" s="51"/>
      <c r="AQ225" s="51"/>
      <c r="AR225" s="51"/>
    </row>
    <row r="226" spans="1:44" ht="50.25" hidden="1" customHeight="1">
      <c r="A226" s="224" t="s">
        <v>248</v>
      </c>
      <c r="B226" s="228" t="s">
        <v>641</v>
      </c>
      <c r="C226" s="233" t="s">
        <v>642</v>
      </c>
      <c r="D226" s="216" t="s">
        <v>298</v>
      </c>
      <c r="E226" s="230">
        <v>45991</v>
      </c>
      <c r="F226" s="230">
        <v>45991</v>
      </c>
      <c r="G226" s="224">
        <v>9</v>
      </c>
      <c r="H226" s="256">
        <v>9</v>
      </c>
      <c r="I226" s="237">
        <f>SUM(N226:AB226)</f>
        <v>0</v>
      </c>
      <c r="J226" s="221">
        <f t="shared" si="10"/>
        <v>0</v>
      </c>
      <c r="K226" s="224">
        <v>0</v>
      </c>
      <c r="L226" s="221" t="str">
        <f t="shared" si="11"/>
        <v>Normal</v>
      </c>
      <c r="M226" s="224"/>
      <c r="N226" s="216"/>
      <c r="O226" s="216"/>
      <c r="P226" s="216"/>
      <c r="Q226" s="216"/>
      <c r="R226" s="216"/>
      <c r="S226" s="216"/>
      <c r="T226" s="224"/>
      <c r="U226" s="224"/>
      <c r="V226" s="224"/>
      <c r="W226" s="225"/>
      <c r="X226" s="225"/>
      <c r="Y226" s="225"/>
      <c r="Z226" s="225"/>
      <c r="AA226" s="225"/>
      <c r="AB226" s="225"/>
      <c r="AC226" s="225"/>
      <c r="AD226" s="225"/>
      <c r="AE226" s="225"/>
      <c r="AF226" s="225"/>
      <c r="AG226" s="225"/>
      <c r="AH226" s="225"/>
      <c r="AI226" s="225"/>
      <c r="AJ226" s="225"/>
      <c r="AK226" s="51"/>
      <c r="AL226" s="51"/>
      <c r="AM226" s="51"/>
      <c r="AN226" s="51"/>
      <c r="AO226" s="51"/>
      <c r="AP226" s="51"/>
      <c r="AQ226" s="51"/>
      <c r="AR226" s="51"/>
    </row>
    <row r="227" spans="1:44" ht="50.25" hidden="1" customHeight="1">
      <c r="A227" s="224" t="s">
        <v>248</v>
      </c>
      <c r="B227" s="228" t="s">
        <v>643</v>
      </c>
      <c r="C227" s="233" t="s">
        <v>644</v>
      </c>
      <c r="D227" s="216" t="s">
        <v>244</v>
      </c>
      <c r="E227" s="230">
        <v>45966</v>
      </c>
      <c r="F227" s="230">
        <v>45965</v>
      </c>
      <c r="G227" s="224">
        <v>4</v>
      </c>
      <c r="H227" s="256">
        <v>2</v>
      </c>
      <c r="I227" s="237">
        <f>SUM(N227:AB227)</f>
        <v>0</v>
      </c>
      <c r="J227" s="221">
        <f t="shared" si="10"/>
        <v>-0.5</v>
      </c>
      <c r="K227" s="224">
        <v>1</v>
      </c>
      <c r="L227" s="221" t="str">
        <f t="shared" si="11"/>
        <v>Normal</v>
      </c>
      <c r="M227" s="224"/>
      <c r="N227" s="216"/>
      <c r="O227" s="216"/>
      <c r="P227" s="216"/>
      <c r="Q227" s="216"/>
      <c r="R227" s="216"/>
      <c r="S227" s="216"/>
      <c r="T227" s="224"/>
      <c r="U227" s="224"/>
      <c r="V227" s="224"/>
      <c r="W227" s="225"/>
      <c r="X227" s="225"/>
      <c r="Y227" s="225"/>
      <c r="Z227" s="225"/>
      <c r="AA227" s="225"/>
      <c r="AB227" s="225"/>
      <c r="AC227" s="225"/>
      <c r="AD227" s="225"/>
      <c r="AE227" s="225"/>
      <c r="AF227" s="225"/>
      <c r="AG227" s="225"/>
      <c r="AH227" s="225"/>
      <c r="AI227" s="225"/>
      <c r="AJ227" s="225"/>
      <c r="AK227" s="51"/>
      <c r="AL227" s="51"/>
      <c r="AM227" s="51"/>
      <c r="AN227" s="51"/>
      <c r="AO227" s="51"/>
      <c r="AP227" s="51"/>
      <c r="AQ227" s="51"/>
      <c r="AR227" s="51"/>
    </row>
    <row r="228" spans="1:44" ht="50.25" hidden="1" customHeight="1">
      <c r="A228" s="224" t="s">
        <v>248</v>
      </c>
      <c r="B228" s="228" t="s">
        <v>645</v>
      </c>
      <c r="C228" s="233" t="s">
        <v>646</v>
      </c>
      <c r="D228" s="216" t="s">
        <v>298</v>
      </c>
      <c r="E228" s="230">
        <v>45971</v>
      </c>
      <c r="F228" s="230">
        <v>45968</v>
      </c>
      <c r="G228" s="224">
        <v>10</v>
      </c>
      <c r="H228" s="256">
        <v>12</v>
      </c>
      <c r="I228" s="237">
        <f>SUM(N228:AB228)</f>
        <v>0</v>
      </c>
      <c r="J228" s="221">
        <f t="shared" si="10"/>
        <v>0.2</v>
      </c>
      <c r="K228" s="216">
        <v>1</v>
      </c>
      <c r="L228" s="221" t="str">
        <f t="shared" si="11"/>
        <v>Normal</v>
      </c>
      <c r="M228" s="216"/>
      <c r="N228" s="216"/>
      <c r="O228" s="216"/>
      <c r="P228" s="216"/>
      <c r="Q228" s="216"/>
      <c r="R228" s="216"/>
      <c r="S228" s="216"/>
      <c r="T228" s="224"/>
      <c r="U228" s="224"/>
      <c r="V228" s="224"/>
      <c r="W228" s="225"/>
      <c r="X228" s="225"/>
      <c r="Y228" s="225"/>
      <c r="Z228" s="225"/>
      <c r="AA228" s="225"/>
      <c r="AB228" s="225"/>
      <c r="AC228" s="225"/>
      <c r="AD228" s="225"/>
      <c r="AE228" s="225"/>
      <c r="AF228" s="225"/>
      <c r="AG228" s="225"/>
      <c r="AH228" s="225"/>
      <c r="AI228" s="225"/>
      <c r="AJ228" s="225"/>
      <c r="AK228" s="51"/>
      <c r="AL228" s="51"/>
      <c r="AM228" s="51"/>
      <c r="AN228" s="51"/>
      <c r="AO228" s="51"/>
      <c r="AP228" s="51"/>
      <c r="AQ228" s="51"/>
      <c r="AR228" s="51"/>
    </row>
    <row r="229" spans="1:44" ht="50.25" hidden="1" customHeight="1">
      <c r="A229" s="224" t="s">
        <v>248</v>
      </c>
      <c r="B229" s="228" t="s">
        <v>647</v>
      </c>
      <c r="C229" s="215" t="s">
        <v>648</v>
      </c>
      <c r="D229" s="216" t="s">
        <v>298</v>
      </c>
      <c r="E229" s="230">
        <v>45975</v>
      </c>
      <c r="F229" s="230">
        <v>45979</v>
      </c>
      <c r="G229" s="224">
        <v>48</v>
      </c>
      <c r="H229" s="256">
        <v>60</v>
      </c>
      <c r="I229" s="237">
        <f>SUM(N229:AB229)</f>
        <v>0</v>
      </c>
      <c r="J229" s="221">
        <f t="shared" si="10"/>
        <v>0.25</v>
      </c>
      <c r="K229" s="224">
        <v>1</v>
      </c>
      <c r="L229" s="221" t="str">
        <f t="shared" si="11"/>
        <v>Normal</v>
      </c>
      <c r="M229" s="224"/>
      <c r="N229" s="216"/>
      <c r="O229" s="216"/>
      <c r="P229" s="216"/>
      <c r="Q229" s="216"/>
      <c r="R229" s="216"/>
      <c r="S229" s="216"/>
      <c r="T229" s="216"/>
      <c r="U229" s="224"/>
      <c r="V229" s="224"/>
      <c r="W229" s="225"/>
      <c r="X229" s="225"/>
      <c r="Y229" s="225"/>
      <c r="Z229" s="225"/>
      <c r="AA229" s="225"/>
      <c r="AB229" s="225"/>
      <c r="AC229" s="225"/>
      <c r="AD229" s="225"/>
      <c r="AE229" s="225"/>
      <c r="AF229" s="225"/>
      <c r="AG229" s="225"/>
      <c r="AH229" s="225"/>
      <c r="AI229" s="225"/>
      <c r="AJ229" s="225"/>
      <c r="AK229" s="51"/>
      <c r="AL229" s="51"/>
      <c r="AM229" s="51"/>
      <c r="AN229" s="51"/>
      <c r="AO229" s="51"/>
      <c r="AP229" s="51"/>
      <c r="AQ229" s="51"/>
      <c r="AR229" s="51"/>
    </row>
    <row r="230" spans="1:44" ht="50.25" hidden="1" customHeight="1">
      <c r="A230" s="224" t="s">
        <v>248</v>
      </c>
      <c r="B230" s="228" t="s">
        <v>649</v>
      </c>
      <c r="C230" s="215" t="s">
        <v>650</v>
      </c>
      <c r="D230" s="216" t="s">
        <v>298</v>
      </c>
      <c r="E230" s="230">
        <v>45988</v>
      </c>
      <c r="F230" s="230">
        <v>45988</v>
      </c>
      <c r="G230" s="224">
        <v>12</v>
      </c>
      <c r="H230" s="256">
        <v>12</v>
      </c>
      <c r="I230" s="237">
        <f>SUM(N230:AB230)</f>
        <v>0</v>
      </c>
      <c r="J230" s="221">
        <f t="shared" si="10"/>
        <v>0</v>
      </c>
      <c r="K230" s="224">
        <v>1</v>
      </c>
      <c r="L230" s="221" t="str">
        <f t="shared" si="11"/>
        <v>Normal</v>
      </c>
      <c r="M230" s="224"/>
      <c r="N230" s="216"/>
      <c r="O230" s="216"/>
      <c r="P230" s="216"/>
      <c r="Q230" s="216"/>
      <c r="R230" s="216"/>
      <c r="S230" s="216"/>
      <c r="T230" s="216"/>
      <c r="U230" s="224"/>
      <c r="V230" s="224"/>
      <c r="W230" s="225"/>
      <c r="X230" s="225"/>
      <c r="Y230" s="225"/>
      <c r="Z230" s="225"/>
      <c r="AA230" s="225"/>
      <c r="AB230" s="225"/>
      <c r="AC230" s="225"/>
      <c r="AD230" s="225"/>
      <c r="AE230" s="225"/>
      <c r="AF230" s="225"/>
      <c r="AG230" s="225"/>
      <c r="AH230" s="225"/>
      <c r="AI230" s="225"/>
      <c r="AJ230" s="225"/>
      <c r="AK230" s="51"/>
      <c r="AL230" s="51"/>
      <c r="AM230" s="51"/>
      <c r="AN230" s="51"/>
      <c r="AO230" s="51"/>
      <c r="AP230" s="51"/>
      <c r="AQ230" s="51"/>
      <c r="AR230" s="51"/>
    </row>
    <row r="231" spans="1:44" ht="50.25" hidden="1" customHeight="1">
      <c r="A231" s="224" t="s">
        <v>248</v>
      </c>
      <c r="B231" s="228" t="s">
        <v>651</v>
      </c>
      <c r="C231" s="215" t="s">
        <v>652</v>
      </c>
      <c r="D231" s="216" t="s">
        <v>106</v>
      </c>
      <c r="E231" s="230">
        <v>45981</v>
      </c>
      <c r="F231" s="230">
        <v>45982</v>
      </c>
      <c r="G231" s="224">
        <v>26</v>
      </c>
      <c r="H231" s="256">
        <v>32</v>
      </c>
      <c r="I231" s="237">
        <f>SUM(N231:AB231)</f>
        <v>0</v>
      </c>
      <c r="J231" s="221">
        <f t="shared" si="10"/>
        <v>0.23076923076923078</v>
      </c>
      <c r="K231" s="224">
        <v>1</v>
      </c>
      <c r="L231" s="221" t="str">
        <f t="shared" si="11"/>
        <v>Normal</v>
      </c>
      <c r="M231" s="224"/>
      <c r="N231" s="216"/>
      <c r="O231" s="216"/>
      <c r="P231" s="216"/>
      <c r="Q231" s="216"/>
      <c r="R231" s="216"/>
      <c r="S231" s="216"/>
      <c r="T231" s="216"/>
      <c r="U231" s="224"/>
      <c r="V231" s="224"/>
      <c r="W231" s="225"/>
      <c r="X231" s="225"/>
      <c r="Y231" s="225"/>
      <c r="Z231" s="225"/>
      <c r="AA231" s="225"/>
      <c r="AB231" s="225"/>
      <c r="AC231" s="225"/>
      <c r="AD231" s="225"/>
      <c r="AE231" s="225"/>
      <c r="AF231" s="225"/>
      <c r="AG231" s="225"/>
      <c r="AH231" s="225"/>
      <c r="AI231" s="225"/>
      <c r="AJ231" s="225"/>
      <c r="AK231" s="51"/>
      <c r="AL231" s="51"/>
      <c r="AM231" s="51"/>
      <c r="AN231" s="51"/>
      <c r="AO231" s="51"/>
      <c r="AP231" s="51"/>
      <c r="AQ231" s="51"/>
      <c r="AR231" s="51"/>
    </row>
    <row r="232" spans="1:44" ht="50.25" hidden="1" customHeight="1">
      <c r="A232" s="224" t="s">
        <v>248</v>
      </c>
      <c r="B232" s="228" t="s">
        <v>653</v>
      </c>
      <c r="C232" s="215" t="s">
        <v>654</v>
      </c>
      <c r="D232" s="216" t="s">
        <v>298</v>
      </c>
      <c r="E232" s="230">
        <v>46007</v>
      </c>
      <c r="F232" s="230">
        <v>46007</v>
      </c>
      <c r="G232" s="224">
        <f>8*5</f>
        <v>40</v>
      </c>
      <c r="H232" s="256">
        <v>52</v>
      </c>
      <c r="I232" s="237">
        <f>SUM(N232:AB232)</f>
        <v>0</v>
      </c>
      <c r="J232" s="221">
        <f t="shared" si="10"/>
        <v>0.3</v>
      </c>
      <c r="K232" s="224">
        <v>1</v>
      </c>
      <c r="L232" s="221" t="str">
        <f t="shared" si="11"/>
        <v>Desviado</v>
      </c>
      <c r="M232" s="224"/>
      <c r="N232" s="216"/>
      <c r="O232" s="216"/>
      <c r="P232" s="216"/>
      <c r="Q232" s="216"/>
      <c r="R232" s="216"/>
      <c r="S232" s="216"/>
      <c r="T232" s="216"/>
      <c r="U232" s="224"/>
      <c r="V232" s="224"/>
      <c r="W232" s="225"/>
      <c r="X232" s="225"/>
      <c r="Y232" s="225"/>
      <c r="Z232" s="225"/>
      <c r="AA232" s="225"/>
      <c r="AB232" s="225"/>
      <c r="AC232" s="225"/>
      <c r="AD232" s="225"/>
      <c r="AE232" s="225"/>
      <c r="AF232" s="225"/>
      <c r="AG232" s="225"/>
      <c r="AH232" s="225"/>
      <c r="AI232" s="225"/>
      <c r="AJ232" s="225"/>
      <c r="AK232" s="51"/>
      <c r="AL232" s="51"/>
      <c r="AM232" s="51"/>
      <c r="AN232" s="51"/>
      <c r="AO232" s="51"/>
      <c r="AP232" s="51"/>
      <c r="AQ232" s="51"/>
      <c r="AR232" s="51"/>
    </row>
    <row r="233" spans="1:44" ht="50.25" hidden="1" customHeight="1">
      <c r="A233" s="224" t="s">
        <v>248</v>
      </c>
      <c r="B233" s="228" t="s">
        <v>655</v>
      </c>
      <c r="C233" s="215" t="s">
        <v>656</v>
      </c>
      <c r="D233" s="216" t="s">
        <v>113</v>
      </c>
      <c r="E233" s="230">
        <v>45985</v>
      </c>
      <c r="F233" s="230">
        <v>45985</v>
      </c>
      <c r="G233" s="224">
        <v>32</v>
      </c>
      <c r="H233" s="256">
        <v>39</v>
      </c>
      <c r="I233" s="237">
        <f>SUM(N233:AB233)</f>
        <v>0</v>
      </c>
      <c r="J233" s="221">
        <f t="shared" si="10"/>
        <v>0.21875</v>
      </c>
      <c r="K233" s="224">
        <v>2</v>
      </c>
      <c r="L233" s="221" t="str">
        <f t="shared" si="11"/>
        <v>Normal</v>
      </c>
      <c r="M233" s="224"/>
      <c r="N233" s="216"/>
      <c r="O233" s="216"/>
      <c r="P233" s="216"/>
      <c r="Q233" s="216"/>
      <c r="R233" s="216"/>
      <c r="S233" s="216"/>
      <c r="T233" s="216"/>
      <c r="U233" s="224"/>
      <c r="V233" s="224"/>
      <c r="W233" s="225"/>
      <c r="X233" s="225"/>
      <c r="Y233" s="225"/>
      <c r="Z233" s="225"/>
      <c r="AA233" s="225"/>
      <c r="AB233" s="225"/>
      <c r="AC233" s="225"/>
      <c r="AD233" s="225"/>
      <c r="AE233" s="225"/>
      <c r="AF233" s="225"/>
      <c r="AG233" s="225"/>
      <c r="AH233" s="225"/>
      <c r="AI233" s="225"/>
      <c r="AJ233" s="225"/>
      <c r="AK233" s="51"/>
      <c r="AL233" s="51"/>
      <c r="AM233" s="51"/>
      <c r="AN233" s="51"/>
      <c r="AO233" s="51"/>
      <c r="AP233" s="51"/>
      <c r="AQ233" s="51"/>
      <c r="AR233" s="51"/>
    </row>
    <row r="234" spans="1:44" ht="50.25" hidden="1" customHeight="1">
      <c r="A234" s="224" t="s">
        <v>248</v>
      </c>
      <c r="B234" s="228" t="s">
        <v>657</v>
      </c>
      <c r="C234" s="215" t="s">
        <v>658</v>
      </c>
      <c r="D234" s="216" t="s">
        <v>298</v>
      </c>
      <c r="E234" s="230">
        <v>45989</v>
      </c>
      <c r="F234" s="230">
        <v>45989</v>
      </c>
      <c r="G234" s="224">
        <v>6</v>
      </c>
      <c r="H234" s="256">
        <v>6</v>
      </c>
      <c r="I234" s="237">
        <f>SUM(N234:AB234)</f>
        <v>0</v>
      </c>
      <c r="J234" s="221">
        <f t="shared" si="10"/>
        <v>0</v>
      </c>
      <c r="K234" s="224">
        <v>0</v>
      </c>
      <c r="L234" s="221" t="str">
        <f t="shared" si="11"/>
        <v>Normal</v>
      </c>
      <c r="M234" s="224"/>
      <c r="N234" s="216"/>
      <c r="O234" s="216"/>
      <c r="P234" s="216"/>
      <c r="Q234" s="216"/>
      <c r="R234" s="216"/>
      <c r="S234" s="216"/>
      <c r="T234" s="216"/>
      <c r="U234" s="224"/>
      <c r="V234" s="224"/>
      <c r="W234" s="225"/>
      <c r="X234" s="225"/>
      <c r="Y234" s="225"/>
      <c r="Z234" s="225"/>
      <c r="AA234" s="225"/>
      <c r="AB234" s="225"/>
      <c r="AC234" s="225"/>
      <c r="AD234" s="225"/>
      <c r="AE234" s="225"/>
      <c r="AF234" s="225"/>
      <c r="AG234" s="225"/>
      <c r="AH234" s="225"/>
      <c r="AI234" s="225"/>
      <c r="AJ234" s="225"/>
      <c r="AK234" s="51"/>
      <c r="AL234" s="51"/>
      <c r="AM234" s="51"/>
      <c r="AN234" s="51"/>
      <c r="AO234" s="51"/>
      <c r="AP234" s="51"/>
      <c r="AQ234" s="51"/>
      <c r="AR234" s="51"/>
    </row>
    <row r="235" spans="1:44" ht="50.25" hidden="1" customHeight="1">
      <c r="A235" s="224" t="s">
        <v>248</v>
      </c>
      <c r="B235" s="228" t="s">
        <v>659</v>
      </c>
      <c r="C235" s="215" t="s">
        <v>660</v>
      </c>
      <c r="D235" s="216" t="s">
        <v>298</v>
      </c>
      <c r="E235" s="230">
        <v>45992</v>
      </c>
      <c r="F235" s="230">
        <v>45992</v>
      </c>
      <c r="G235" s="224">
        <v>8</v>
      </c>
      <c r="H235" s="256">
        <v>2</v>
      </c>
      <c r="I235" s="237">
        <f>SUM(N235:AB235)</f>
        <v>0</v>
      </c>
      <c r="J235" s="221">
        <f t="shared" si="10"/>
        <v>-0.75</v>
      </c>
      <c r="K235" s="224">
        <v>1</v>
      </c>
      <c r="L235" s="221" t="str">
        <f t="shared" si="11"/>
        <v>Normal</v>
      </c>
      <c r="M235" s="224"/>
      <c r="N235" s="216"/>
      <c r="O235" s="216"/>
      <c r="P235" s="216"/>
      <c r="Q235" s="216"/>
      <c r="R235" s="216"/>
      <c r="S235" s="216"/>
      <c r="T235" s="216"/>
      <c r="U235" s="224"/>
      <c r="V235" s="224"/>
      <c r="W235" s="225"/>
      <c r="X235" s="225"/>
      <c r="Y235" s="225"/>
      <c r="Z235" s="225"/>
      <c r="AA235" s="225"/>
      <c r="AB235" s="225"/>
      <c r="AC235" s="225"/>
      <c r="AD235" s="225"/>
      <c r="AE235" s="225"/>
      <c r="AF235" s="225"/>
      <c r="AG235" s="225"/>
      <c r="AH235" s="225"/>
      <c r="AI235" s="225"/>
      <c r="AJ235" s="225"/>
      <c r="AK235" s="51"/>
      <c r="AL235" s="51"/>
      <c r="AM235" s="51"/>
      <c r="AN235" s="51"/>
      <c r="AO235" s="51"/>
      <c r="AP235" s="51"/>
      <c r="AQ235" s="51"/>
      <c r="AR235" s="51"/>
    </row>
    <row r="236" spans="1:44" ht="50.25" hidden="1" customHeight="1">
      <c r="A236" s="224" t="s">
        <v>248</v>
      </c>
      <c r="B236" s="228" t="s">
        <v>661</v>
      </c>
      <c r="C236" s="233" t="s">
        <v>662</v>
      </c>
      <c r="D236" s="216" t="s">
        <v>298</v>
      </c>
      <c r="E236" s="230">
        <v>46022</v>
      </c>
      <c r="F236" s="230">
        <v>46022</v>
      </c>
      <c r="G236" s="224">
        <v>10.5</v>
      </c>
      <c r="H236" s="256">
        <v>0</v>
      </c>
      <c r="I236" s="237">
        <f>SUM(N236:AB236)</f>
        <v>0</v>
      </c>
      <c r="J236" s="221">
        <f t="shared" si="10"/>
        <v>-1</v>
      </c>
      <c r="K236" s="224">
        <v>0</v>
      </c>
      <c r="L236" s="221" t="str">
        <f t="shared" si="11"/>
        <v>Normal</v>
      </c>
      <c r="M236" s="224"/>
      <c r="N236" s="216"/>
      <c r="O236" s="216"/>
      <c r="P236" s="216"/>
      <c r="Q236" s="216"/>
      <c r="R236" s="216"/>
      <c r="S236" s="216"/>
      <c r="T236" s="216"/>
      <c r="U236" s="224"/>
      <c r="V236" s="224"/>
      <c r="W236" s="225"/>
      <c r="X236" s="225"/>
      <c r="Y236" s="225"/>
      <c r="Z236" s="225"/>
      <c r="AA236" s="225"/>
      <c r="AB236" s="225"/>
      <c r="AC236" s="225"/>
      <c r="AD236" s="225"/>
      <c r="AE236" s="225"/>
      <c r="AF236" s="225"/>
      <c r="AG236" s="225"/>
      <c r="AH236" s="225"/>
      <c r="AI236" s="225"/>
      <c r="AJ236" s="225"/>
      <c r="AK236" s="51"/>
      <c r="AL236" s="51"/>
      <c r="AM236" s="51"/>
      <c r="AN236" s="51"/>
      <c r="AO236" s="51"/>
      <c r="AP236" s="51"/>
      <c r="AQ236" s="51"/>
      <c r="AR236" s="51"/>
    </row>
    <row r="237" spans="1:44" ht="50.25" hidden="1" customHeight="1">
      <c r="A237" s="224" t="s">
        <v>248</v>
      </c>
      <c r="B237" s="228" t="s">
        <v>663</v>
      </c>
      <c r="C237" s="215" t="s">
        <v>664</v>
      </c>
      <c r="D237" s="216" t="s">
        <v>106</v>
      </c>
      <c r="E237" s="230">
        <v>46010</v>
      </c>
      <c r="F237" s="230">
        <v>46009</v>
      </c>
      <c r="G237" s="224">
        <v>16</v>
      </c>
      <c r="H237" s="256">
        <v>20</v>
      </c>
      <c r="I237" s="237">
        <f>SUM(N237:AB237)</f>
        <v>0</v>
      </c>
      <c r="J237" s="221">
        <f t="shared" si="10"/>
        <v>0.25</v>
      </c>
      <c r="K237" s="224">
        <v>1</v>
      </c>
      <c r="L237" s="221" t="str">
        <f t="shared" si="11"/>
        <v>Normal</v>
      </c>
      <c r="M237" s="224"/>
      <c r="N237" s="224"/>
      <c r="O237" s="224"/>
      <c r="P237" s="224"/>
      <c r="Q237" s="216"/>
      <c r="R237" s="216"/>
      <c r="S237" s="216"/>
      <c r="T237" s="224"/>
      <c r="U237" s="224"/>
      <c r="V237" s="224"/>
      <c r="W237" s="225"/>
      <c r="X237" s="225"/>
      <c r="Y237" s="225"/>
      <c r="Z237" s="225"/>
      <c r="AA237" s="225"/>
      <c r="AB237" s="225"/>
      <c r="AC237" s="225"/>
      <c r="AD237" s="225"/>
      <c r="AE237" s="225"/>
      <c r="AF237" s="225"/>
      <c r="AG237" s="225"/>
      <c r="AH237" s="225"/>
      <c r="AI237" s="225"/>
      <c r="AJ237" s="225"/>
      <c r="AK237" s="51"/>
      <c r="AL237" s="51"/>
      <c r="AM237" s="51"/>
      <c r="AN237" s="51"/>
      <c r="AO237" s="51"/>
      <c r="AP237" s="51"/>
      <c r="AQ237" s="51"/>
      <c r="AR237" s="51"/>
    </row>
    <row r="238" spans="1:44" ht="50.25" hidden="1" customHeight="1">
      <c r="A238" s="224" t="s">
        <v>248</v>
      </c>
      <c r="B238" s="228" t="s">
        <v>665</v>
      </c>
      <c r="C238" s="215" t="s">
        <v>666</v>
      </c>
      <c r="D238" s="216" t="s">
        <v>113</v>
      </c>
      <c r="E238" s="230">
        <v>46031</v>
      </c>
      <c r="F238" s="230">
        <v>46031</v>
      </c>
      <c r="G238" s="224">
        <v>16</v>
      </c>
      <c r="H238" s="256">
        <v>14</v>
      </c>
      <c r="I238" s="237">
        <f>SUM(N238:AB238)</f>
        <v>0</v>
      </c>
      <c r="J238" s="221">
        <f t="shared" si="10"/>
        <v>-0.125</v>
      </c>
      <c r="K238" s="224">
        <v>1</v>
      </c>
      <c r="L238" s="221" t="str">
        <f t="shared" si="11"/>
        <v>Normal</v>
      </c>
      <c r="M238" s="224"/>
      <c r="N238" s="216"/>
      <c r="O238" s="216"/>
      <c r="P238" s="216"/>
      <c r="Q238" s="216"/>
      <c r="R238" s="216"/>
      <c r="S238" s="216"/>
      <c r="T238" s="224"/>
      <c r="U238" s="224"/>
      <c r="V238" s="224"/>
      <c r="W238" s="225"/>
      <c r="X238" s="225"/>
      <c r="Y238" s="225"/>
      <c r="Z238" s="225"/>
      <c r="AA238" s="225"/>
      <c r="AB238" s="225"/>
      <c r="AC238" s="225"/>
      <c r="AD238" s="225"/>
      <c r="AE238" s="225"/>
      <c r="AF238" s="225"/>
      <c r="AG238" s="225"/>
      <c r="AH238" s="225"/>
      <c r="AI238" s="225"/>
      <c r="AJ238" s="225"/>
      <c r="AK238" s="51"/>
      <c r="AL238" s="51"/>
      <c r="AM238" s="51"/>
      <c r="AN238" s="51"/>
      <c r="AO238" s="51"/>
      <c r="AP238" s="51"/>
      <c r="AQ238" s="51"/>
      <c r="AR238" s="51"/>
    </row>
    <row r="239" spans="1:44" ht="50.25" hidden="1" customHeight="1">
      <c r="A239" s="224" t="s">
        <v>248</v>
      </c>
      <c r="B239" s="228" t="s">
        <v>667</v>
      </c>
      <c r="C239" s="215" t="s">
        <v>668</v>
      </c>
      <c r="D239" s="216" t="s">
        <v>307</v>
      </c>
      <c r="E239" s="230">
        <v>46052</v>
      </c>
      <c r="F239" s="230">
        <v>46052</v>
      </c>
      <c r="G239" s="224">
        <v>10</v>
      </c>
      <c r="H239" s="256">
        <v>10</v>
      </c>
      <c r="I239" s="237">
        <f>SUM(N239:AB239)</f>
        <v>0</v>
      </c>
      <c r="J239" s="221">
        <f t="shared" si="10"/>
        <v>0</v>
      </c>
      <c r="K239" s="224">
        <v>0</v>
      </c>
      <c r="L239" s="221" t="str">
        <f t="shared" si="11"/>
        <v>Normal</v>
      </c>
      <c r="M239" s="224"/>
      <c r="N239" s="224"/>
      <c r="O239" s="224"/>
      <c r="P239" s="224"/>
      <c r="Q239" s="224"/>
      <c r="R239" s="224"/>
      <c r="S239" s="224"/>
      <c r="T239" s="224"/>
      <c r="U239" s="224"/>
      <c r="V239" s="224"/>
      <c r="W239" s="225"/>
      <c r="X239" s="225"/>
      <c r="Y239" s="225"/>
      <c r="Z239" s="225"/>
      <c r="AA239" s="225"/>
      <c r="AB239" s="225"/>
      <c r="AC239" s="225"/>
      <c r="AD239" s="225"/>
      <c r="AE239" s="225"/>
      <c r="AF239" s="225"/>
      <c r="AG239" s="225"/>
      <c r="AH239" s="225"/>
      <c r="AI239" s="225"/>
      <c r="AJ239" s="225"/>
      <c r="AK239" s="51"/>
      <c r="AL239" s="51"/>
      <c r="AM239" s="51"/>
      <c r="AN239" s="51"/>
      <c r="AO239" s="51"/>
      <c r="AP239" s="51"/>
      <c r="AQ239" s="51"/>
      <c r="AR239" s="51"/>
    </row>
    <row r="240" spans="1:44" ht="50.25" hidden="1" customHeight="1">
      <c r="A240" s="224" t="s">
        <v>248</v>
      </c>
      <c r="B240" s="228" t="s">
        <v>669</v>
      </c>
      <c r="C240" s="215" t="s">
        <v>670</v>
      </c>
      <c r="D240" s="216" t="s">
        <v>298</v>
      </c>
      <c r="E240" s="230">
        <v>46017</v>
      </c>
      <c r="F240" s="230">
        <v>46017</v>
      </c>
      <c r="G240" s="224">
        <v>6</v>
      </c>
      <c r="H240" s="256">
        <v>6</v>
      </c>
      <c r="I240" s="237">
        <f>SUM(N240:AB240)</f>
        <v>0</v>
      </c>
      <c r="J240" s="221">
        <f t="shared" si="10"/>
        <v>0</v>
      </c>
      <c r="K240" s="224">
        <v>1</v>
      </c>
      <c r="L240" s="221" t="str">
        <f t="shared" si="11"/>
        <v>Normal</v>
      </c>
      <c r="M240" s="224"/>
      <c r="N240" s="216"/>
      <c r="O240" s="216"/>
      <c r="P240" s="216"/>
      <c r="Q240" s="216"/>
      <c r="R240" s="216"/>
      <c r="S240" s="216"/>
      <c r="T240" s="224"/>
      <c r="U240" s="224"/>
      <c r="V240" s="224"/>
      <c r="W240" s="225"/>
      <c r="X240" s="225"/>
      <c r="Y240" s="225"/>
      <c r="Z240" s="225"/>
      <c r="AA240" s="225"/>
      <c r="AB240" s="225"/>
      <c r="AC240" s="225"/>
      <c r="AD240" s="225"/>
      <c r="AE240" s="225"/>
      <c r="AF240" s="225"/>
      <c r="AG240" s="225"/>
      <c r="AH240" s="225"/>
      <c r="AI240" s="225"/>
      <c r="AJ240" s="225"/>
      <c r="AK240" s="51"/>
      <c r="AL240" s="51"/>
      <c r="AM240" s="51"/>
      <c r="AN240" s="51"/>
      <c r="AO240" s="51"/>
      <c r="AP240" s="51"/>
      <c r="AQ240" s="51"/>
      <c r="AR240" s="51"/>
    </row>
    <row r="241" spans="1:66" ht="50.25" hidden="1" customHeight="1">
      <c r="A241" s="224" t="s">
        <v>248</v>
      </c>
      <c r="B241" s="224" t="s">
        <v>671</v>
      </c>
      <c r="C241" s="233" t="s">
        <v>672</v>
      </c>
      <c r="D241" s="216" t="s">
        <v>106</v>
      </c>
      <c r="E241" s="230">
        <v>45772</v>
      </c>
      <c r="F241" s="230">
        <v>45888</v>
      </c>
      <c r="G241" s="224">
        <v>108.5</v>
      </c>
      <c r="H241" s="256">
        <v>122</v>
      </c>
      <c r="I241" s="237">
        <f>SUM(N241:AB241)</f>
        <v>0</v>
      </c>
      <c r="J241" s="221">
        <f t="shared" si="10"/>
        <v>0.12442396313364056</v>
      </c>
      <c r="K241" s="216">
        <v>1</v>
      </c>
      <c r="L241" s="221" t="str">
        <f t="shared" si="11"/>
        <v>Normal</v>
      </c>
      <c r="M241" s="224"/>
      <c r="N241" s="224"/>
      <c r="O241" s="224"/>
      <c r="P241" s="224"/>
      <c r="Q241" s="224"/>
      <c r="R241" s="224"/>
      <c r="S241" s="224"/>
      <c r="T241" s="224"/>
      <c r="U241" s="224"/>
      <c r="V241" s="224"/>
      <c r="W241" s="225"/>
      <c r="X241" s="225"/>
      <c r="Y241" s="225"/>
      <c r="Z241" s="225"/>
      <c r="AA241" s="225"/>
      <c r="AB241" s="225"/>
      <c r="AC241" s="225"/>
      <c r="AD241" s="225"/>
      <c r="AE241" s="225"/>
      <c r="AF241" s="225"/>
      <c r="AG241" s="225"/>
      <c r="AH241" s="225"/>
      <c r="AI241" s="225"/>
      <c r="AJ241" s="225"/>
      <c r="AK241" s="51"/>
      <c r="AL241" s="51"/>
      <c r="AM241" s="51"/>
      <c r="AN241" s="51"/>
      <c r="AO241" s="51"/>
      <c r="AP241" s="51"/>
      <c r="AQ241" s="51"/>
      <c r="AR241" s="51"/>
    </row>
    <row r="242" spans="1:66" ht="50.25" hidden="1" customHeight="1">
      <c r="A242" s="224" t="s">
        <v>248</v>
      </c>
      <c r="B242" s="224" t="s">
        <v>673</v>
      </c>
      <c r="C242" s="233" t="s">
        <v>674</v>
      </c>
      <c r="D242" s="216" t="s">
        <v>244</v>
      </c>
      <c r="E242" s="230">
        <v>45951</v>
      </c>
      <c r="F242" s="230">
        <v>45939</v>
      </c>
      <c r="G242" s="224">
        <v>60</v>
      </c>
      <c r="H242" s="256">
        <v>0</v>
      </c>
      <c r="I242" s="237">
        <f>SUM(N242:AB242)</f>
        <v>0</v>
      </c>
      <c r="J242" s="221">
        <f t="shared" si="10"/>
        <v>-1</v>
      </c>
      <c r="K242" s="224">
        <v>8</v>
      </c>
      <c r="L242" s="221" t="str">
        <f t="shared" si="11"/>
        <v>Normal</v>
      </c>
      <c r="M242" s="224"/>
      <c r="N242" s="224"/>
      <c r="O242" s="224"/>
      <c r="P242" s="224"/>
      <c r="Q242" s="224"/>
      <c r="R242" s="224"/>
      <c r="S242" s="224"/>
      <c r="T242" s="224"/>
      <c r="U242" s="224"/>
      <c r="V242" s="224"/>
      <c r="W242" s="225"/>
      <c r="X242" s="225"/>
      <c r="Y242" s="225"/>
      <c r="Z242" s="225"/>
      <c r="AA242" s="225"/>
      <c r="AB242" s="225"/>
      <c r="AC242" s="225"/>
      <c r="AD242" s="225"/>
      <c r="AE242" s="225"/>
      <c r="AF242" s="225"/>
      <c r="AG242" s="225"/>
      <c r="AH242" s="225"/>
      <c r="AI242" s="225"/>
      <c r="AJ242" s="225"/>
      <c r="AK242" s="51"/>
      <c r="AL242" s="51"/>
      <c r="AM242" s="51"/>
      <c r="AN242" s="51"/>
      <c r="AO242" s="51"/>
      <c r="AP242" s="51"/>
      <c r="AQ242" s="51"/>
      <c r="AR242" s="51"/>
    </row>
    <row r="243" spans="1:66" ht="50.25" hidden="1" customHeight="1">
      <c r="A243" s="224" t="s">
        <v>248</v>
      </c>
      <c r="B243" s="224" t="s">
        <v>675</v>
      </c>
      <c r="C243" s="233" t="s">
        <v>676</v>
      </c>
      <c r="D243" s="216" t="s">
        <v>298</v>
      </c>
      <c r="E243" s="230">
        <v>45937</v>
      </c>
      <c r="F243" s="230">
        <v>45933</v>
      </c>
      <c r="G243" s="224">
        <v>42</v>
      </c>
      <c r="H243" s="256">
        <v>46</v>
      </c>
      <c r="I243" s="237">
        <f>SUM(N243:AB243)</f>
        <v>0</v>
      </c>
      <c r="J243" s="221">
        <f t="shared" si="10"/>
        <v>9.5238095238095233E-2</v>
      </c>
      <c r="K243" s="224">
        <v>2</v>
      </c>
      <c r="L243" s="221" t="str">
        <f t="shared" si="11"/>
        <v>Normal</v>
      </c>
      <c r="M243" s="224"/>
      <c r="N243" s="224"/>
      <c r="O243" s="224"/>
      <c r="P243" s="224"/>
      <c r="Q243" s="224"/>
      <c r="R243" s="224"/>
      <c r="S243" s="224"/>
      <c r="T243" s="224"/>
      <c r="U243" s="224"/>
      <c r="V243" s="224"/>
      <c r="W243" s="225"/>
      <c r="X243" s="225"/>
      <c r="Y243" s="225"/>
      <c r="Z243" s="225"/>
      <c r="AA243" s="225"/>
      <c r="AB243" s="225"/>
      <c r="AC243" s="225"/>
      <c r="AD243" s="225"/>
      <c r="AE243" s="225"/>
      <c r="AF243" s="225"/>
      <c r="AG243" s="225"/>
      <c r="AH243" s="225"/>
      <c r="AI243" s="225"/>
      <c r="AJ243" s="225"/>
      <c r="AK243" s="51"/>
      <c r="AL243" s="51"/>
      <c r="AM243" s="51"/>
      <c r="AN243" s="51"/>
      <c r="AO243" s="51"/>
      <c r="AP243" s="51"/>
      <c r="AQ243" s="51"/>
      <c r="AR243" s="51"/>
    </row>
    <row r="244" spans="1:66" ht="50.25" hidden="1" customHeight="1">
      <c r="A244" s="224" t="s">
        <v>248</v>
      </c>
      <c r="B244" s="224" t="s">
        <v>677</v>
      </c>
      <c r="C244" s="233" t="s">
        <v>678</v>
      </c>
      <c r="D244" s="216" t="s">
        <v>106</v>
      </c>
      <c r="E244" s="230">
        <v>45923</v>
      </c>
      <c r="F244" s="230">
        <v>45925</v>
      </c>
      <c r="G244" s="224">
        <v>46</v>
      </c>
      <c r="H244" s="256">
        <v>56</v>
      </c>
      <c r="I244" s="237">
        <f>SUM(N244:AB244)</f>
        <v>0</v>
      </c>
      <c r="J244" s="221">
        <f t="shared" si="10"/>
        <v>0.21739130434782608</v>
      </c>
      <c r="K244" s="224">
        <v>2</v>
      </c>
      <c r="L244" s="221" t="str">
        <f t="shared" si="11"/>
        <v>Normal</v>
      </c>
      <c r="M244" s="224"/>
      <c r="N244" s="224"/>
      <c r="O244" s="224"/>
      <c r="P244" s="224"/>
      <c r="Q244" s="224"/>
      <c r="R244" s="224"/>
      <c r="S244" s="224"/>
      <c r="T244" s="224"/>
      <c r="U244" s="224"/>
      <c r="V244" s="224"/>
      <c r="W244" s="225"/>
      <c r="X244" s="225"/>
      <c r="Y244" s="225"/>
      <c r="Z244" s="225"/>
      <c r="AA244" s="225"/>
      <c r="AB244" s="225"/>
      <c r="AC244" s="225"/>
      <c r="AD244" s="225"/>
      <c r="AE244" s="225"/>
      <c r="AF244" s="225"/>
      <c r="AG244" s="225"/>
      <c r="AH244" s="225"/>
      <c r="AI244" s="225"/>
      <c r="AJ244" s="225"/>
      <c r="AK244" s="51"/>
      <c r="AL244" s="51"/>
      <c r="AM244" s="51"/>
      <c r="AN244" s="51"/>
      <c r="AO244" s="51"/>
      <c r="AP244" s="51"/>
      <c r="AQ244" s="51"/>
      <c r="AR244" s="51"/>
    </row>
    <row r="245" spans="1:66" ht="50.25" hidden="1" customHeight="1">
      <c r="A245" s="224" t="s">
        <v>248</v>
      </c>
      <c r="B245" s="224" t="s">
        <v>679</v>
      </c>
      <c r="C245" s="233" t="s">
        <v>680</v>
      </c>
      <c r="D245" s="216" t="s">
        <v>96</v>
      </c>
      <c r="E245" s="230">
        <v>45869</v>
      </c>
      <c r="F245" s="230">
        <v>45870</v>
      </c>
      <c r="G245" s="224">
        <v>4</v>
      </c>
      <c r="H245" s="256">
        <v>1</v>
      </c>
      <c r="I245" s="237">
        <f>SUM(N245:AB245)</f>
        <v>0</v>
      </c>
      <c r="J245" s="221">
        <f t="shared" si="10"/>
        <v>-0.75</v>
      </c>
      <c r="K245" s="216">
        <v>1</v>
      </c>
      <c r="L245" s="221" t="str">
        <f t="shared" si="11"/>
        <v>Normal</v>
      </c>
      <c r="M245" s="224"/>
      <c r="N245" s="224"/>
      <c r="O245" s="224"/>
      <c r="P245" s="224"/>
      <c r="Q245" s="224"/>
      <c r="R245" s="224"/>
      <c r="S245" s="224"/>
      <c r="T245" s="224"/>
      <c r="U245" s="224"/>
      <c r="V245" s="224"/>
      <c r="W245" s="225"/>
      <c r="X245" s="225"/>
      <c r="Y245" s="225"/>
      <c r="Z245" s="225"/>
      <c r="AA245" s="225"/>
      <c r="AB245" s="225"/>
      <c r="AC245" s="225"/>
      <c r="AD245" s="225"/>
      <c r="AE245" s="225"/>
      <c r="AF245" s="225"/>
      <c r="AG245" s="225"/>
      <c r="AH245" s="225"/>
      <c r="AI245" s="225"/>
      <c r="AJ245" s="225"/>
      <c r="AK245" s="51"/>
      <c r="AL245" s="51"/>
      <c r="AM245" s="51"/>
      <c r="AN245" s="51"/>
      <c r="AO245" s="51"/>
      <c r="AP245" s="51"/>
      <c r="AQ245" s="51"/>
      <c r="AR245" s="51"/>
    </row>
    <row r="246" spans="1:66" ht="50.25" hidden="1" customHeight="1">
      <c r="A246" s="224" t="s">
        <v>248</v>
      </c>
      <c r="B246" s="224" t="s">
        <v>681</v>
      </c>
      <c r="C246" s="233" t="s">
        <v>682</v>
      </c>
      <c r="D246" s="216" t="s">
        <v>298</v>
      </c>
      <c r="E246" s="230">
        <v>45900</v>
      </c>
      <c r="F246" s="230">
        <v>45900</v>
      </c>
      <c r="G246" s="224">
        <v>10</v>
      </c>
      <c r="H246" s="256">
        <v>0</v>
      </c>
      <c r="I246" s="237">
        <f>SUM(N246:AB246)</f>
        <v>0</v>
      </c>
      <c r="J246" s="221">
        <f t="shared" si="10"/>
        <v>-1</v>
      </c>
      <c r="K246" s="216">
        <v>0</v>
      </c>
      <c r="L246" s="221" t="str">
        <f t="shared" si="11"/>
        <v>Normal</v>
      </c>
      <c r="M246" s="224"/>
      <c r="N246" s="224"/>
      <c r="O246" s="224"/>
      <c r="P246" s="224"/>
      <c r="Q246" s="224"/>
      <c r="R246" s="224"/>
      <c r="S246" s="224"/>
      <c r="T246" s="224"/>
      <c r="U246" s="224"/>
      <c r="V246" s="224"/>
      <c r="W246" s="225"/>
      <c r="X246" s="225"/>
      <c r="Y246" s="225"/>
      <c r="Z246" s="225"/>
      <c r="AA246" s="225"/>
      <c r="AB246" s="225"/>
      <c r="AC246" s="225"/>
      <c r="AD246" s="225"/>
      <c r="AE246" s="225"/>
      <c r="AF246" s="225"/>
      <c r="AG246" s="225"/>
      <c r="AH246" s="225"/>
      <c r="AI246" s="225"/>
      <c r="AJ246" s="225"/>
      <c r="AK246" s="51"/>
      <c r="AL246" s="51"/>
      <c r="AM246" s="51"/>
      <c r="AN246" s="51"/>
      <c r="AO246" s="51"/>
      <c r="AP246" s="51"/>
      <c r="AQ246" s="51"/>
      <c r="AR246" s="51"/>
    </row>
    <row r="247" spans="1:66" ht="50.25" hidden="1" customHeight="1">
      <c r="A247" s="224" t="s">
        <v>248</v>
      </c>
      <c r="B247" s="224" t="s">
        <v>683</v>
      </c>
      <c r="C247" s="233" t="s">
        <v>684</v>
      </c>
      <c r="D247" s="216" t="s">
        <v>96</v>
      </c>
      <c r="E247" s="230">
        <v>45875</v>
      </c>
      <c r="F247" s="230">
        <v>45874</v>
      </c>
      <c r="G247" s="224">
        <v>12</v>
      </c>
      <c r="H247" s="256">
        <v>13</v>
      </c>
      <c r="I247" s="237">
        <f>SUM(N247:AB247)</f>
        <v>0</v>
      </c>
      <c r="J247" s="221">
        <f t="shared" si="10"/>
        <v>8.3333333333333329E-2</v>
      </c>
      <c r="K247" s="216">
        <v>1</v>
      </c>
      <c r="L247" s="221" t="str">
        <f t="shared" si="11"/>
        <v>Normal</v>
      </c>
      <c r="M247" s="224"/>
      <c r="N247" s="224"/>
      <c r="O247" s="224"/>
      <c r="P247" s="224"/>
      <c r="Q247" s="224"/>
      <c r="R247" s="224"/>
      <c r="S247" s="224"/>
      <c r="T247" s="224"/>
      <c r="U247" s="224"/>
      <c r="V247" s="224"/>
      <c r="W247" s="225"/>
      <c r="X247" s="225"/>
      <c r="Y247" s="225"/>
      <c r="Z247" s="225"/>
      <c r="AA247" s="225"/>
      <c r="AB247" s="225"/>
      <c r="AC247" s="225"/>
      <c r="AD247" s="225"/>
      <c r="AE247" s="225"/>
      <c r="AF247" s="225"/>
      <c r="AG247" s="225"/>
      <c r="AH247" s="225"/>
      <c r="AI247" s="225"/>
      <c r="AJ247" s="225"/>
      <c r="AK247" s="51"/>
      <c r="AL247" s="51"/>
      <c r="AM247" s="51"/>
      <c r="AN247" s="51"/>
      <c r="AO247" s="51"/>
      <c r="AP247" s="51"/>
      <c r="AQ247" s="51"/>
      <c r="AR247" s="51"/>
    </row>
    <row r="248" spans="1:66" ht="50.25" hidden="1" customHeight="1">
      <c r="A248" s="224" t="s">
        <v>248</v>
      </c>
      <c r="B248" s="224" t="s">
        <v>685</v>
      </c>
      <c r="C248" s="233" t="s">
        <v>686</v>
      </c>
      <c r="D248" s="216" t="s">
        <v>298</v>
      </c>
      <c r="E248" s="230">
        <v>45875</v>
      </c>
      <c r="F248" s="230">
        <v>45877</v>
      </c>
      <c r="G248" s="224">
        <v>5</v>
      </c>
      <c r="H248" s="256">
        <v>5</v>
      </c>
      <c r="I248" s="237">
        <f>SUM(N248:AB248)</f>
        <v>0</v>
      </c>
      <c r="J248" s="221">
        <f t="shared" si="10"/>
        <v>0</v>
      </c>
      <c r="K248" s="216">
        <v>0</v>
      </c>
      <c r="L248" s="221" t="str">
        <f t="shared" si="11"/>
        <v>Normal</v>
      </c>
      <c r="M248" s="224"/>
      <c r="N248" s="224"/>
      <c r="O248" s="224"/>
      <c r="P248" s="224"/>
      <c r="Q248" s="224"/>
      <c r="R248" s="224"/>
      <c r="S248" s="224"/>
      <c r="T248" s="224"/>
      <c r="U248" s="224"/>
      <c r="V248" s="224"/>
      <c r="W248" s="225"/>
      <c r="X248" s="225"/>
      <c r="Y248" s="225"/>
      <c r="Z248" s="225"/>
      <c r="AA248" s="225"/>
      <c r="AB248" s="225"/>
      <c r="AC248" s="225"/>
      <c r="AD248" s="225"/>
      <c r="AE248" s="225"/>
      <c r="AF248" s="225"/>
      <c r="AG248" s="225"/>
      <c r="AH248" s="225"/>
      <c r="AI248" s="225"/>
      <c r="AJ248" s="225"/>
      <c r="AK248" s="51"/>
      <c r="AL248" s="51"/>
      <c r="AM248" s="51"/>
      <c r="AN248" s="51"/>
      <c r="AO248" s="51"/>
      <c r="AP248" s="51"/>
      <c r="AQ248" s="51"/>
      <c r="AR248" s="51"/>
      <c r="AU248"/>
      <c r="AV248"/>
      <c r="AW248"/>
      <c r="AX248"/>
      <c r="AY248"/>
      <c r="AZ248"/>
      <c r="BA248"/>
      <c r="BB248"/>
      <c r="BC248"/>
      <c r="BD248"/>
      <c r="BE248"/>
      <c r="BF248"/>
      <c r="BG248"/>
      <c r="BH248"/>
      <c r="BI248"/>
      <c r="BJ248"/>
      <c r="BK248"/>
      <c r="BL248"/>
      <c r="BM248"/>
      <c r="BN248"/>
    </row>
    <row r="249" spans="1:66" ht="50.25" hidden="1" customHeight="1">
      <c r="A249" s="224" t="s">
        <v>248</v>
      </c>
      <c r="B249" s="224" t="s">
        <v>687</v>
      </c>
      <c r="C249" s="233" t="s">
        <v>688</v>
      </c>
      <c r="D249" s="216" t="s">
        <v>113</v>
      </c>
      <c r="E249" s="230">
        <v>45880</v>
      </c>
      <c r="F249" s="230">
        <v>45894</v>
      </c>
      <c r="G249" s="224">
        <v>38</v>
      </c>
      <c r="H249" s="256">
        <v>43</v>
      </c>
      <c r="I249" s="237">
        <f>SUM(N249:AB249)</f>
        <v>0</v>
      </c>
      <c r="J249" s="221">
        <f t="shared" si="10"/>
        <v>0.13157894736842105</v>
      </c>
      <c r="K249" s="216">
        <v>1</v>
      </c>
      <c r="L249" s="221" t="str">
        <f t="shared" si="11"/>
        <v>Normal</v>
      </c>
      <c r="M249" s="224"/>
      <c r="N249" s="216"/>
      <c r="O249" s="224"/>
      <c r="P249" s="216"/>
      <c r="Q249" s="224"/>
      <c r="R249" s="224"/>
      <c r="S249" s="224"/>
      <c r="T249" s="224"/>
      <c r="U249" s="224"/>
      <c r="V249" s="224"/>
      <c r="W249" s="225"/>
      <c r="X249" s="225"/>
      <c r="Y249" s="225"/>
      <c r="Z249" s="225"/>
      <c r="AA249" s="225"/>
      <c r="AB249" s="225"/>
      <c r="AC249" s="225"/>
      <c r="AD249" s="225"/>
      <c r="AE249" s="225"/>
      <c r="AF249" s="225"/>
      <c r="AG249" s="225"/>
      <c r="AH249" s="225"/>
      <c r="AI249" s="225"/>
      <c r="AJ249" s="225"/>
      <c r="AK249" s="51"/>
      <c r="AL249" s="51"/>
      <c r="AM249" s="51"/>
      <c r="AN249" s="51"/>
      <c r="AO249" s="51"/>
      <c r="AP249" s="51"/>
      <c r="AQ249" s="51"/>
      <c r="AR249" s="51"/>
      <c r="AU249"/>
      <c r="AV249"/>
      <c r="AW249"/>
      <c r="AX249"/>
      <c r="AY249"/>
      <c r="AZ249"/>
      <c r="BA249"/>
      <c r="BB249"/>
      <c r="BC249"/>
      <c r="BD249"/>
      <c r="BE249"/>
      <c r="BF249"/>
      <c r="BG249"/>
      <c r="BH249"/>
      <c r="BI249"/>
      <c r="BJ249"/>
      <c r="BK249"/>
      <c r="BL249"/>
      <c r="BM249"/>
      <c r="BN249"/>
    </row>
    <row r="250" spans="1:66" ht="50.25" hidden="1" customHeight="1">
      <c r="A250" s="224" t="s">
        <v>248</v>
      </c>
      <c r="B250" s="224" t="s">
        <v>689</v>
      </c>
      <c r="C250" s="233" t="s">
        <v>690</v>
      </c>
      <c r="D250" s="216" t="s">
        <v>113</v>
      </c>
      <c r="E250" s="230">
        <v>45958</v>
      </c>
      <c r="F250" s="230">
        <v>45959</v>
      </c>
      <c r="G250" s="224">
        <v>26</v>
      </c>
      <c r="H250" s="256">
        <v>0</v>
      </c>
      <c r="I250" s="237">
        <f>SUM(N250:AB250)</f>
        <v>0</v>
      </c>
      <c r="J250" s="221">
        <f t="shared" si="10"/>
        <v>-1</v>
      </c>
      <c r="K250" s="216">
        <v>1</v>
      </c>
      <c r="L250" s="221" t="str">
        <f t="shared" si="11"/>
        <v>Normal</v>
      </c>
      <c r="M250" s="216"/>
      <c r="N250" s="216"/>
      <c r="O250" s="216"/>
      <c r="P250" s="216"/>
      <c r="Q250" s="216"/>
      <c r="R250" s="216"/>
      <c r="S250" s="216"/>
      <c r="T250" s="224"/>
      <c r="U250" s="224"/>
      <c r="V250" s="224"/>
      <c r="W250" s="225"/>
      <c r="X250" s="225"/>
      <c r="Y250" s="225"/>
      <c r="Z250" s="225"/>
      <c r="AA250" s="225"/>
      <c r="AB250" s="225"/>
      <c r="AC250" s="225"/>
      <c r="AD250" s="225"/>
      <c r="AE250" s="225"/>
      <c r="AF250" s="225"/>
      <c r="AG250" s="225"/>
      <c r="AH250" s="225"/>
      <c r="AI250" s="225"/>
      <c r="AJ250" s="225"/>
      <c r="AK250" s="51"/>
      <c r="AL250" s="51"/>
      <c r="AM250" s="51"/>
      <c r="AN250" s="51"/>
      <c r="AO250" s="51"/>
      <c r="AP250" s="51"/>
      <c r="AQ250" s="51"/>
      <c r="AR250" s="51"/>
      <c r="AU250"/>
      <c r="AV250"/>
      <c r="AW250"/>
      <c r="AX250"/>
      <c r="AY250"/>
      <c r="AZ250"/>
      <c r="BA250"/>
      <c r="BB250"/>
      <c r="BC250"/>
      <c r="BD250"/>
      <c r="BE250"/>
      <c r="BF250"/>
      <c r="BG250"/>
      <c r="BH250"/>
      <c r="BI250"/>
      <c r="BJ250"/>
      <c r="BK250"/>
      <c r="BL250"/>
      <c r="BM250"/>
      <c r="BN250"/>
    </row>
    <row r="251" spans="1:66" ht="50.25" hidden="1" customHeight="1">
      <c r="A251" s="224" t="s">
        <v>248</v>
      </c>
      <c r="B251" s="224" t="s">
        <v>691</v>
      </c>
      <c r="C251" s="233" t="s">
        <v>692</v>
      </c>
      <c r="D251" s="216" t="s">
        <v>298</v>
      </c>
      <c r="E251" s="230">
        <v>45881</v>
      </c>
      <c r="F251" s="230">
        <v>45881</v>
      </c>
      <c r="G251" s="224">
        <v>1</v>
      </c>
      <c r="H251" s="256">
        <v>1</v>
      </c>
      <c r="I251" s="237">
        <f>SUM(N251:AB251)</f>
        <v>0</v>
      </c>
      <c r="J251" s="221">
        <f t="shared" si="10"/>
        <v>0</v>
      </c>
      <c r="K251" s="216">
        <v>1</v>
      </c>
      <c r="L251" s="221" t="str">
        <f t="shared" si="11"/>
        <v>Normal</v>
      </c>
      <c r="M251" s="224"/>
      <c r="N251" s="224"/>
      <c r="O251" s="224"/>
      <c r="P251" s="224"/>
      <c r="Q251" s="224"/>
      <c r="R251" s="224"/>
      <c r="S251" s="224"/>
      <c r="T251" s="224"/>
      <c r="U251" s="224"/>
      <c r="V251" s="224"/>
      <c r="W251" s="225"/>
      <c r="X251" s="225"/>
      <c r="Y251" s="225"/>
      <c r="Z251" s="225"/>
      <c r="AA251" s="225"/>
      <c r="AB251" s="225"/>
      <c r="AC251" s="225"/>
      <c r="AD251" s="225"/>
      <c r="AE251" s="225"/>
      <c r="AF251" s="225"/>
      <c r="AG251" s="225"/>
      <c r="AH251" s="225"/>
      <c r="AI251" s="225"/>
      <c r="AJ251" s="225"/>
      <c r="AK251" s="51"/>
      <c r="AL251" s="51"/>
      <c r="AM251" s="51"/>
      <c r="AN251" s="51"/>
      <c r="AO251" s="51"/>
      <c r="AP251" s="51"/>
      <c r="AQ251" s="51"/>
      <c r="AR251" s="51"/>
      <c r="AU251"/>
      <c r="AV251"/>
      <c r="AW251"/>
      <c r="AX251"/>
      <c r="AY251"/>
      <c r="AZ251"/>
      <c r="BA251"/>
      <c r="BB251"/>
      <c r="BC251"/>
      <c r="BD251"/>
      <c r="BE251"/>
      <c r="BF251"/>
      <c r="BG251"/>
      <c r="BH251"/>
      <c r="BI251"/>
      <c r="BJ251"/>
      <c r="BK251"/>
      <c r="BL251"/>
      <c r="BM251"/>
      <c r="BN251"/>
    </row>
    <row r="252" spans="1:66" customFormat="1" ht="50.25" hidden="1" customHeight="1">
      <c r="A252" s="224" t="s">
        <v>248</v>
      </c>
      <c r="B252" s="224" t="s">
        <v>693</v>
      </c>
      <c r="C252" s="233" t="s">
        <v>694</v>
      </c>
      <c r="D252" s="216" t="s">
        <v>298</v>
      </c>
      <c r="E252" s="230">
        <v>45890</v>
      </c>
      <c r="F252" s="230">
        <v>45895</v>
      </c>
      <c r="G252" s="224">
        <v>11</v>
      </c>
      <c r="H252" s="256">
        <v>12</v>
      </c>
      <c r="I252" s="237">
        <f>SUM(N252:AB252)</f>
        <v>0</v>
      </c>
      <c r="J252" s="221">
        <f t="shared" si="10"/>
        <v>9.0909090909090912E-2</v>
      </c>
      <c r="K252" s="216">
        <v>1</v>
      </c>
      <c r="L252" s="221" t="str">
        <f t="shared" si="11"/>
        <v>Normal</v>
      </c>
      <c r="M252" s="224"/>
      <c r="N252" s="224"/>
      <c r="O252" s="224"/>
      <c r="P252" s="224"/>
      <c r="Q252" s="224"/>
      <c r="R252" s="224"/>
      <c r="S252" s="224"/>
      <c r="T252" s="224"/>
      <c r="U252" s="224"/>
      <c r="V252" s="224"/>
      <c r="W252" s="225"/>
      <c r="X252" s="225"/>
      <c r="Y252" s="225"/>
      <c r="Z252" s="225"/>
      <c r="AA252" s="225"/>
      <c r="AB252" s="225"/>
      <c r="AC252" s="225"/>
      <c r="AD252" s="225"/>
      <c r="AE252" s="225"/>
      <c r="AF252" s="225"/>
      <c r="AG252" s="225"/>
      <c r="AH252" s="225"/>
      <c r="AI252" s="225"/>
      <c r="AJ252" s="225"/>
      <c r="AK252" s="51"/>
      <c r="AL252" s="51"/>
      <c r="AM252" s="51"/>
      <c r="AN252" s="51"/>
      <c r="AO252" s="51"/>
      <c r="AP252" s="51"/>
      <c r="AQ252" s="51"/>
      <c r="AR252" s="51"/>
      <c r="AS252" s="51"/>
      <c r="AT252" s="51"/>
    </row>
    <row r="253" spans="1:66" customFormat="1" ht="50.25" hidden="1" customHeight="1">
      <c r="A253" s="224" t="s">
        <v>248</v>
      </c>
      <c r="B253" s="224" t="s">
        <v>695</v>
      </c>
      <c r="C253" s="233" t="s">
        <v>696</v>
      </c>
      <c r="D253" s="216" t="s">
        <v>244</v>
      </c>
      <c r="E253" s="230">
        <v>45909</v>
      </c>
      <c r="F253" s="230">
        <v>45909</v>
      </c>
      <c r="G253" s="224">
        <v>34</v>
      </c>
      <c r="H253" s="256">
        <v>41</v>
      </c>
      <c r="I253" s="237">
        <f>SUM(N253:AB253)</f>
        <v>0</v>
      </c>
      <c r="J253" s="221">
        <f t="shared" si="10"/>
        <v>0.20588235294117646</v>
      </c>
      <c r="K253" s="261">
        <v>2</v>
      </c>
      <c r="L253" s="221" t="str">
        <f t="shared" si="11"/>
        <v>Normal</v>
      </c>
      <c r="M253" s="224"/>
      <c r="N253" s="224"/>
      <c r="O253" s="224"/>
      <c r="P253" s="224"/>
      <c r="Q253" s="224"/>
      <c r="R253" s="224"/>
      <c r="S253" s="224"/>
      <c r="T253" s="224"/>
      <c r="U253" s="224"/>
      <c r="V253" s="224"/>
      <c r="W253" s="225"/>
      <c r="X253" s="225"/>
      <c r="Y253" s="225"/>
      <c r="Z253" s="225"/>
      <c r="AA253" s="225"/>
      <c r="AB253" s="225"/>
      <c r="AC253" s="225"/>
      <c r="AD253" s="225"/>
      <c r="AE253" s="225"/>
      <c r="AF253" s="225"/>
      <c r="AG253" s="225"/>
      <c r="AH253" s="225"/>
      <c r="AI253" s="225"/>
      <c r="AJ253" s="225"/>
      <c r="AK253" s="51"/>
      <c r="AL253" s="51"/>
      <c r="AM253" s="51"/>
      <c r="AN253" s="51"/>
      <c r="AO253" s="51"/>
      <c r="AP253" s="51"/>
      <c r="AQ253" s="51"/>
      <c r="AR253" s="51"/>
      <c r="AS253" s="51"/>
      <c r="AT253" s="51"/>
    </row>
    <row r="254" spans="1:66" customFormat="1" ht="50.25" hidden="1" customHeight="1">
      <c r="A254" s="224" t="s">
        <v>248</v>
      </c>
      <c r="B254" s="224" t="s">
        <v>697</v>
      </c>
      <c r="C254" s="233" t="s">
        <v>698</v>
      </c>
      <c r="D254" s="216" t="s">
        <v>244</v>
      </c>
      <c r="E254" s="230">
        <v>45938</v>
      </c>
      <c r="F254" s="230">
        <v>45938</v>
      </c>
      <c r="G254" s="224">
        <v>41</v>
      </c>
      <c r="H254" s="256">
        <v>52</v>
      </c>
      <c r="I254" s="237">
        <f>SUM(N254:AB254)</f>
        <v>0</v>
      </c>
      <c r="J254" s="221">
        <f t="shared" si="10"/>
        <v>0.26829268292682928</v>
      </c>
      <c r="K254" s="224">
        <v>3</v>
      </c>
      <c r="L254" s="221" t="str">
        <f t="shared" si="11"/>
        <v>Normal</v>
      </c>
      <c r="M254" s="224"/>
      <c r="N254" s="224"/>
      <c r="O254" s="224"/>
      <c r="P254" s="224"/>
      <c r="Q254" s="224"/>
      <c r="R254" s="224"/>
      <c r="S254" s="224"/>
      <c r="T254" s="224"/>
      <c r="U254" s="224"/>
      <c r="V254" s="224"/>
      <c r="W254" s="225"/>
      <c r="X254" s="225"/>
      <c r="Y254" s="225"/>
      <c r="Z254" s="225"/>
      <c r="AA254" s="225"/>
      <c r="AB254" s="225"/>
      <c r="AC254" s="225"/>
      <c r="AD254" s="225"/>
      <c r="AE254" s="225"/>
      <c r="AF254" s="225"/>
      <c r="AG254" s="225"/>
      <c r="AH254" s="225"/>
      <c r="AI254" s="225"/>
      <c r="AJ254" s="225"/>
      <c r="AK254" s="51"/>
      <c r="AL254" s="51"/>
      <c r="AM254" s="51"/>
      <c r="AN254" s="51"/>
      <c r="AO254" s="51"/>
      <c r="AP254" s="51"/>
      <c r="AQ254" s="51"/>
      <c r="AR254" s="51"/>
      <c r="AS254" s="51"/>
      <c r="AT254" s="51"/>
    </row>
    <row r="255" spans="1:66" customFormat="1" ht="50.25" hidden="1" customHeight="1">
      <c r="A255" s="224" t="s">
        <v>248</v>
      </c>
      <c r="B255" s="224" t="s">
        <v>699</v>
      </c>
      <c r="C255" s="233" t="s">
        <v>700</v>
      </c>
      <c r="D255" s="216" t="s">
        <v>113</v>
      </c>
      <c r="E255" s="230">
        <v>46164</v>
      </c>
      <c r="F255" s="230">
        <v>46171</v>
      </c>
      <c r="G255" s="224">
        <v>40</v>
      </c>
      <c r="H255" s="256">
        <v>52</v>
      </c>
      <c r="I255" s="237">
        <f>SUM(N255:AB255)</f>
        <v>0</v>
      </c>
      <c r="J255" s="221">
        <f t="shared" si="10"/>
        <v>0.3</v>
      </c>
      <c r="K255" s="224">
        <v>0</v>
      </c>
      <c r="L255" s="221" t="str">
        <f t="shared" si="11"/>
        <v>Desviado</v>
      </c>
      <c r="M255" s="224"/>
      <c r="N255" s="224"/>
      <c r="O255" s="224"/>
      <c r="P255" s="224"/>
      <c r="Q255" s="224"/>
      <c r="R255" s="224"/>
      <c r="S255" s="224"/>
      <c r="T255" s="224"/>
      <c r="U255" s="224"/>
      <c r="V255" s="224"/>
      <c r="W255" s="225"/>
      <c r="X255" s="225"/>
      <c r="Y255" s="225"/>
      <c r="Z255" s="225"/>
      <c r="AA255" s="225"/>
      <c r="AB255" s="225"/>
      <c r="AC255" s="225"/>
      <c r="AD255" s="225"/>
      <c r="AE255" s="225"/>
      <c r="AF255" s="225"/>
      <c r="AG255" s="225"/>
      <c r="AH255" s="225"/>
      <c r="AI255" s="225"/>
      <c r="AJ255" s="225"/>
      <c r="AK255" s="51"/>
      <c r="AL255" s="51"/>
      <c r="AM255" s="51"/>
      <c r="AN255" s="51"/>
      <c r="AO255" s="51"/>
      <c r="AP255" s="51"/>
      <c r="AQ255" s="51"/>
      <c r="AR255" s="51"/>
      <c r="AS255" s="51"/>
      <c r="AT255" s="51"/>
    </row>
    <row r="256" spans="1:66" customFormat="1" ht="50.25" hidden="1" customHeight="1">
      <c r="A256" s="224" t="s">
        <v>248</v>
      </c>
      <c r="B256" s="224" t="s">
        <v>701</v>
      </c>
      <c r="C256" s="233" t="s">
        <v>702</v>
      </c>
      <c r="D256" s="216" t="s">
        <v>298</v>
      </c>
      <c r="E256" s="230">
        <v>45930</v>
      </c>
      <c r="F256" s="230">
        <v>45930</v>
      </c>
      <c r="G256" s="224">
        <v>11</v>
      </c>
      <c r="H256" s="256">
        <v>11</v>
      </c>
      <c r="I256" s="237">
        <f>SUM(N256:AB256)</f>
        <v>0</v>
      </c>
      <c r="J256" s="221">
        <f t="shared" si="10"/>
        <v>0</v>
      </c>
      <c r="K256" s="216">
        <v>0</v>
      </c>
      <c r="L256" s="221" t="str">
        <f t="shared" si="11"/>
        <v>Normal</v>
      </c>
      <c r="M256" s="224"/>
      <c r="N256" s="224"/>
      <c r="O256" s="224"/>
      <c r="P256" s="224"/>
      <c r="Q256" s="224"/>
      <c r="R256" s="224"/>
      <c r="S256" s="224"/>
      <c r="T256" s="224"/>
      <c r="U256" s="224"/>
      <c r="V256" s="224"/>
      <c r="W256" s="225"/>
      <c r="X256" s="225"/>
      <c r="Y256" s="225"/>
      <c r="Z256" s="225"/>
      <c r="AA256" s="225"/>
      <c r="AB256" s="225"/>
      <c r="AC256" s="225"/>
      <c r="AD256" s="225"/>
      <c r="AE256" s="225"/>
      <c r="AF256" s="225"/>
      <c r="AG256" s="225"/>
      <c r="AH256" s="225"/>
      <c r="AI256" s="225"/>
      <c r="AJ256" s="225"/>
      <c r="AK256" s="51"/>
      <c r="AL256" s="51"/>
      <c r="AM256" s="51"/>
      <c r="AN256" s="51"/>
      <c r="AO256" s="51"/>
      <c r="AP256" s="51"/>
      <c r="AQ256" s="51"/>
      <c r="AR256" s="51"/>
      <c r="AS256" s="51"/>
      <c r="AT256" s="51"/>
    </row>
    <row r="257" spans="1:66" customFormat="1" ht="50.25" hidden="1" customHeight="1">
      <c r="A257" s="224" t="s">
        <v>248</v>
      </c>
      <c r="B257" s="224" t="s">
        <v>703</v>
      </c>
      <c r="C257" s="233" t="s">
        <v>704</v>
      </c>
      <c r="D257" s="216" t="s">
        <v>298</v>
      </c>
      <c r="E257" s="230">
        <v>45917</v>
      </c>
      <c r="F257" s="230">
        <v>45917</v>
      </c>
      <c r="G257" s="224">
        <v>4</v>
      </c>
      <c r="H257" s="256">
        <v>4</v>
      </c>
      <c r="I257" s="237">
        <f>SUM(N257:AB257)</f>
        <v>0</v>
      </c>
      <c r="J257" s="221">
        <f t="shared" si="10"/>
        <v>0</v>
      </c>
      <c r="K257" s="216">
        <v>1</v>
      </c>
      <c r="L257" s="221" t="str">
        <f t="shared" si="11"/>
        <v>Normal</v>
      </c>
      <c r="M257" s="224"/>
      <c r="N257" s="224"/>
      <c r="O257" s="224"/>
      <c r="P257" s="224"/>
      <c r="Q257" s="224"/>
      <c r="R257" s="224"/>
      <c r="S257" s="224"/>
      <c r="T257" s="224"/>
      <c r="U257" s="224"/>
      <c r="V257" s="224"/>
      <c r="W257" s="225"/>
      <c r="X257" s="225"/>
      <c r="Y257" s="225"/>
      <c r="Z257" s="225"/>
      <c r="AA257" s="225"/>
      <c r="AB257" s="225"/>
      <c r="AC257" s="225"/>
      <c r="AD257" s="225"/>
      <c r="AE257" s="225"/>
      <c r="AF257" s="225"/>
      <c r="AG257" s="225"/>
      <c r="AH257" s="225"/>
      <c r="AI257" s="225"/>
      <c r="AJ257" s="225"/>
      <c r="AK257" s="51"/>
      <c r="AL257" s="51"/>
      <c r="AM257" s="51"/>
      <c r="AN257" s="51"/>
      <c r="AO257" s="51"/>
      <c r="AP257" s="51"/>
      <c r="AQ257" s="51"/>
      <c r="AR257" s="51"/>
      <c r="AS257" s="51"/>
      <c r="AT257" s="51"/>
    </row>
    <row r="258" spans="1:66" customFormat="1" ht="50.25" hidden="1" customHeight="1">
      <c r="A258" s="224" t="s">
        <v>248</v>
      </c>
      <c r="B258" s="224" t="s">
        <v>705</v>
      </c>
      <c r="C258" s="215" t="s">
        <v>706</v>
      </c>
      <c r="D258" s="216" t="s">
        <v>298</v>
      </c>
      <c r="E258" s="230">
        <v>46045</v>
      </c>
      <c r="F258" s="230">
        <v>46044</v>
      </c>
      <c r="G258" s="224">
        <v>40</v>
      </c>
      <c r="H258" s="256">
        <v>41</v>
      </c>
      <c r="I258" s="237">
        <f>SUM(N258:AB258)</f>
        <v>0</v>
      </c>
      <c r="J258" s="221">
        <f t="shared" si="10"/>
        <v>2.5000000000000001E-2</v>
      </c>
      <c r="K258" s="224">
        <v>1</v>
      </c>
      <c r="L258" s="221" t="str">
        <f t="shared" si="11"/>
        <v>Normal</v>
      </c>
      <c r="M258" s="224"/>
      <c r="N258" s="224"/>
      <c r="O258" s="224"/>
      <c r="P258" s="224"/>
      <c r="Q258" s="224"/>
      <c r="R258" s="224"/>
      <c r="S258" s="224"/>
      <c r="T258" s="224"/>
      <c r="U258" s="224"/>
      <c r="V258" s="224"/>
      <c r="W258" s="225"/>
      <c r="X258" s="225"/>
      <c r="Y258" s="225"/>
      <c r="Z258" s="225"/>
      <c r="AA258" s="225"/>
      <c r="AB258" s="225"/>
      <c r="AC258" s="225"/>
      <c r="AD258" s="225"/>
      <c r="AE258" s="225"/>
      <c r="AF258" s="225"/>
      <c r="AG258" s="225"/>
      <c r="AH258" s="225"/>
      <c r="AI258" s="225"/>
      <c r="AJ258" s="225"/>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row>
    <row r="259" spans="1:66" customFormat="1" ht="50.25" hidden="1" customHeight="1">
      <c r="A259" s="224" t="s">
        <v>248</v>
      </c>
      <c r="B259" s="224" t="s">
        <v>707</v>
      </c>
      <c r="C259" s="215" t="s">
        <v>708</v>
      </c>
      <c r="D259" s="216" t="s">
        <v>113</v>
      </c>
      <c r="E259" s="230">
        <v>46038</v>
      </c>
      <c r="F259" s="230">
        <v>46037</v>
      </c>
      <c r="G259" s="224">
        <v>8</v>
      </c>
      <c r="H259" s="256">
        <v>4</v>
      </c>
      <c r="I259" s="237">
        <f>SUM(N259:AB259)</f>
        <v>0</v>
      </c>
      <c r="J259" s="221">
        <f t="shared" ref="J259:J322" si="13">IFERROR((H259+I259-G259)/G259,"")</f>
        <v>-0.5</v>
      </c>
      <c r="K259" s="224">
        <v>1</v>
      </c>
      <c r="L259" s="221" t="str">
        <f t="shared" ref="L259:L322" si="14">IF(OR(J259="",J259="Sin estimado"),"Sin estimación",IF(J259&gt;=30%,"Desviado","Normal"))</f>
        <v>Normal</v>
      </c>
      <c r="M259" s="224"/>
      <c r="N259" s="224"/>
      <c r="O259" s="224"/>
      <c r="P259" s="224"/>
      <c r="Q259" s="224"/>
      <c r="R259" s="224"/>
      <c r="S259" s="224"/>
      <c r="T259" s="224"/>
      <c r="U259" s="224"/>
      <c r="V259" s="224"/>
      <c r="W259" s="225"/>
      <c r="X259" s="225"/>
      <c r="Y259" s="225"/>
      <c r="Z259" s="225"/>
      <c r="AA259" s="225"/>
      <c r="AB259" s="225"/>
      <c r="AC259" s="225"/>
      <c r="AD259" s="225"/>
      <c r="AE259" s="225"/>
      <c r="AF259" s="225"/>
      <c r="AG259" s="225"/>
      <c r="AH259" s="225"/>
      <c r="AI259" s="225"/>
      <c r="AJ259" s="225"/>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row>
    <row r="260" spans="1:66" customFormat="1" ht="50.25" hidden="1" customHeight="1">
      <c r="A260" s="224" t="s">
        <v>248</v>
      </c>
      <c r="B260" s="224" t="s">
        <v>709</v>
      </c>
      <c r="C260" s="215" t="s">
        <v>710</v>
      </c>
      <c r="D260" s="216" t="s">
        <v>298</v>
      </c>
      <c r="E260" s="230">
        <v>46063</v>
      </c>
      <c r="F260" s="230">
        <v>46063</v>
      </c>
      <c r="G260" s="224">
        <v>40</v>
      </c>
      <c r="H260" s="256">
        <v>47</v>
      </c>
      <c r="I260" s="237">
        <f>SUM(N260:AB260)</f>
        <v>0</v>
      </c>
      <c r="J260" s="221">
        <f t="shared" si="13"/>
        <v>0.17499999999999999</v>
      </c>
      <c r="K260" s="224">
        <v>0</v>
      </c>
      <c r="L260" s="221" t="str">
        <f t="shared" si="14"/>
        <v>Normal</v>
      </c>
      <c r="M260" s="224"/>
      <c r="N260" s="224"/>
      <c r="O260" s="224"/>
      <c r="P260" s="224"/>
      <c r="Q260" s="224"/>
      <c r="R260" s="224"/>
      <c r="S260" s="224"/>
      <c r="T260" s="224"/>
      <c r="U260" s="224"/>
      <c r="V260" s="224"/>
      <c r="W260" s="225"/>
      <c r="X260" s="225"/>
      <c r="Y260" s="225"/>
      <c r="Z260" s="225"/>
      <c r="AA260" s="225"/>
      <c r="AB260" s="225"/>
      <c r="AC260" s="225"/>
      <c r="AD260" s="225"/>
      <c r="AE260" s="225"/>
      <c r="AF260" s="225"/>
      <c r="AG260" s="225"/>
      <c r="AH260" s="225"/>
      <c r="AI260" s="225"/>
      <c r="AJ260" s="225"/>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row>
    <row r="261" spans="1:66" customFormat="1" ht="50.25" hidden="1" customHeight="1">
      <c r="A261" s="224" t="s">
        <v>248</v>
      </c>
      <c r="B261" s="224" t="s">
        <v>711</v>
      </c>
      <c r="C261" s="215" t="s">
        <v>712</v>
      </c>
      <c r="D261" s="216" t="s">
        <v>244</v>
      </c>
      <c r="E261" s="230">
        <v>46091</v>
      </c>
      <c r="F261" s="230">
        <v>46093</v>
      </c>
      <c r="G261" s="224">
        <v>56</v>
      </c>
      <c r="H261" s="256">
        <v>66</v>
      </c>
      <c r="I261" s="237">
        <f>SUM(N261:AB261)</f>
        <v>0</v>
      </c>
      <c r="J261" s="221">
        <f t="shared" si="13"/>
        <v>0.17857142857142858</v>
      </c>
      <c r="K261" s="216">
        <v>0</v>
      </c>
      <c r="L261" s="221" t="str">
        <f t="shared" si="14"/>
        <v>Normal</v>
      </c>
      <c r="M261" s="224"/>
      <c r="N261" s="216"/>
      <c r="O261" s="224"/>
      <c r="P261" s="216"/>
      <c r="Q261" s="216"/>
      <c r="R261" s="216"/>
      <c r="S261" s="216"/>
      <c r="T261" s="216"/>
      <c r="U261" s="216"/>
      <c r="V261" s="216"/>
      <c r="W261" s="249"/>
      <c r="X261" s="249"/>
      <c r="Y261" s="249"/>
      <c r="Z261" s="249"/>
      <c r="AA261" s="249"/>
      <c r="AB261" s="249"/>
      <c r="AC261" s="249"/>
      <c r="AD261" s="249"/>
      <c r="AE261" s="249"/>
      <c r="AF261" s="249"/>
      <c r="AG261" s="249"/>
      <c r="AH261" s="249"/>
      <c r="AI261" s="249"/>
      <c r="AJ261" s="249"/>
      <c r="AK261" s="74"/>
      <c r="AL261" s="74"/>
      <c r="AM261" s="74"/>
      <c r="AN261" s="74"/>
      <c r="AO261" s="74"/>
      <c r="AP261" s="74"/>
      <c r="AQ261" s="74"/>
      <c r="AR261" s="74"/>
      <c r="AS261" s="74"/>
      <c r="AT261" s="74"/>
      <c r="AU261" s="39"/>
      <c r="AV261" s="39"/>
      <c r="AW261" s="39"/>
      <c r="AX261" s="39"/>
      <c r="AY261" s="39"/>
      <c r="AZ261" s="39"/>
      <c r="BA261" s="39"/>
      <c r="BB261" s="39"/>
      <c r="BC261" s="39"/>
      <c r="BD261" s="39"/>
      <c r="BE261" s="39"/>
      <c r="BF261" s="39"/>
      <c r="BG261" s="39"/>
      <c r="BH261" s="39"/>
      <c r="BI261" s="39"/>
      <c r="BJ261" s="39"/>
      <c r="BK261" s="39"/>
      <c r="BL261" s="39"/>
      <c r="BM261" s="39"/>
    </row>
    <row r="262" spans="1:66" customFormat="1" ht="50.25" hidden="1" customHeight="1">
      <c r="A262" s="224" t="s">
        <v>248</v>
      </c>
      <c r="B262" s="224" t="s">
        <v>713</v>
      </c>
      <c r="C262" s="215" t="s">
        <v>714</v>
      </c>
      <c r="D262" s="216" t="s">
        <v>113</v>
      </c>
      <c r="E262" s="230">
        <v>46059</v>
      </c>
      <c r="F262" s="230">
        <v>46052</v>
      </c>
      <c r="G262" s="224">
        <v>32</v>
      </c>
      <c r="H262" s="256">
        <v>36</v>
      </c>
      <c r="I262" s="237">
        <f>SUM(N262:AB262)</f>
        <v>0</v>
      </c>
      <c r="J262" s="221">
        <f t="shared" si="13"/>
        <v>0.125</v>
      </c>
      <c r="K262" s="216">
        <v>1</v>
      </c>
      <c r="L262" s="221" t="str">
        <f t="shared" si="14"/>
        <v>Normal</v>
      </c>
      <c r="M262" s="224"/>
      <c r="N262" s="216"/>
      <c r="O262" s="224"/>
      <c r="P262" s="216"/>
      <c r="Q262" s="216"/>
      <c r="R262" s="216"/>
      <c r="S262" s="216"/>
      <c r="T262" s="216"/>
      <c r="U262" s="216"/>
      <c r="V262" s="216"/>
      <c r="W262" s="249"/>
      <c r="X262" s="249"/>
      <c r="Y262" s="249"/>
      <c r="Z262" s="249"/>
      <c r="AA262" s="249"/>
      <c r="AB262" s="249"/>
      <c r="AC262" s="249"/>
      <c r="AD262" s="249"/>
      <c r="AE262" s="249"/>
      <c r="AF262" s="249"/>
      <c r="AG262" s="249"/>
      <c r="AH262" s="249"/>
      <c r="AI262" s="249"/>
      <c r="AJ262" s="249"/>
      <c r="AK262" s="74"/>
      <c r="AL262" s="74"/>
      <c r="AM262" s="74"/>
      <c r="AN262" s="74"/>
      <c r="AO262" s="74"/>
      <c r="AP262" s="74"/>
      <c r="AQ262" s="74"/>
      <c r="AR262" s="74"/>
      <c r="AS262" s="74"/>
      <c r="AT262" s="74"/>
      <c r="AU262" s="39"/>
      <c r="AV262" s="39"/>
      <c r="AW262" s="39"/>
      <c r="AX262" s="39"/>
      <c r="AY262" s="39"/>
      <c r="AZ262" s="39"/>
      <c r="BA262" s="39"/>
      <c r="BB262" s="39"/>
      <c r="BC262" s="39"/>
      <c r="BD262" s="39"/>
      <c r="BE262" s="39"/>
      <c r="BF262" s="39"/>
      <c r="BG262" s="39"/>
      <c r="BH262" s="39"/>
      <c r="BI262" s="39"/>
      <c r="BJ262" s="39"/>
      <c r="BK262" s="39"/>
      <c r="BL262" s="39"/>
      <c r="BM262" s="39"/>
    </row>
    <row r="263" spans="1:66" customFormat="1" ht="50.25" hidden="1" customHeight="1">
      <c r="A263" s="224" t="s">
        <v>248</v>
      </c>
      <c r="B263" s="224" t="s">
        <v>715</v>
      </c>
      <c r="C263" s="215" t="s">
        <v>716</v>
      </c>
      <c r="D263" s="216" t="s">
        <v>307</v>
      </c>
      <c r="E263" s="230">
        <v>46045</v>
      </c>
      <c r="F263" s="230">
        <v>46045</v>
      </c>
      <c r="G263" s="224">
        <v>2.5</v>
      </c>
      <c r="H263" s="256">
        <v>1</v>
      </c>
      <c r="I263" s="237">
        <f>SUM(N263:AB263)</f>
        <v>0</v>
      </c>
      <c r="J263" s="221">
        <f t="shared" si="13"/>
        <v>-0.6</v>
      </c>
      <c r="K263" s="216">
        <v>0</v>
      </c>
      <c r="L263" s="221" t="str">
        <f t="shared" si="14"/>
        <v>Normal</v>
      </c>
      <c r="M263" s="224"/>
      <c r="N263" s="216"/>
      <c r="O263" s="224"/>
      <c r="P263" s="216"/>
      <c r="Q263" s="216"/>
      <c r="R263" s="216"/>
      <c r="S263" s="216"/>
      <c r="T263" s="216"/>
      <c r="U263" s="216"/>
      <c r="V263" s="216"/>
      <c r="W263" s="249"/>
      <c r="X263" s="249"/>
      <c r="Y263" s="249"/>
      <c r="Z263" s="249"/>
      <c r="AA263" s="249"/>
      <c r="AB263" s="249"/>
      <c r="AC263" s="249"/>
      <c r="AD263" s="249"/>
      <c r="AE263" s="249"/>
      <c r="AF263" s="249"/>
      <c r="AG263" s="249"/>
      <c r="AH263" s="249"/>
      <c r="AI263" s="249"/>
      <c r="AJ263" s="249"/>
      <c r="AK263" s="74"/>
      <c r="AL263" s="74"/>
      <c r="AM263" s="74"/>
      <c r="AN263" s="74"/>
      <c r="AO263" s="74"/>
      <c r="AP263" s="74"/>
      <c r="AQ263" s="74"/>
      <c r="AR263" s="74"/>
      <c r="AS263" s="74"/>
      <c r="AT263" s="74"/>
      <c r="AU263" s="39"/>
      <c r="AV263" s="39"/>
      <c r="AW263" s="39"/>
      <c r="AX263" s="39"/>
      <c r="AY263" s="39"/>
      <c r="AZ263" s="39"/>
      <c r="BA263" s="39"/>
      <c r="BB263" s="39"/>
      <c r="BC263" s="39"/>
      <c r="BD263" s="39"/>
      <c r="BE263" s="39"/>
      <c r="BF263" s="39"/>
      <c r="BG263" s="39"/>
      <c r="BH263" s="39"/>
      <c r="BI263" s="39"/>
      <c r="BJ263" s="39"/>
      <c r="BK263" s="39"/>
      <c r="BL263" s="39"/>
      <c r="BM263" s="39"/>
    </row>
    <row r="264" spans="1:66" customFormat="1" ht="50.25" hidden="1" customHeight="1">
      <c r="A264" s="224" t="s">
        <v>248</v>
      </c>
      <c r="B264" s="224" t="s">
        <v>717</v>
      </c>
      <c r="C264" s="215" t="s">
        <v>718</v>
      </c>
      <c r="D264" s="216" t="s">
        <v>298</v>
      </c>
      <c r="E264" s="230">
        <v>46070</v>
      </c>
      <c r="F264" s="230">
        <v>46065</v>
      </c>
      <c r="G264" s="224">
        <v>56</v>
      </c>
      <c r="H264" s="256">
        <v>57</v>
      </c>
      <c r="I264" s="237">
        <f>SUM(N264:AB264)</f>
        <v>0</v>
      </c>
      <c r="J264" s="221">
        <f t="shared" si="13"/>
        <v>1.7857142857142856E-2</v>
      </c>
      <c r="K264" s="216">
        <v>0</v>
      </c>
      <c r="L264" s="221" t="str">
        <f t="shared" si="14"/>
        <v>Normal</v>
      </c>
      <c r="M264" s="224"/>
      <c r="N264" s="216"/>
      <c r="O264" s="224"/>
      <c r="P264" s="216"/>
      <c r="Q264" s="216"/>
      <c r="R264" s="216"/>
      <c r="S264" s="216"/>
      <c r="T264" s="216"/>
      <c r="U264" s="216"/>
      <c r="V264" s="216"/>
      <c r="W264" s="249"/>
      <c r="X264" s="249"/>
      <c r="Y264" s="249"/>
      <c r="Z264" s="249"/>
      <c r="AA264" s="249"/>
      <c r="AB264" s="249"/>
      <c r="AC264" s="249"/>
      <c r="AD264" s="249"/>
      <c r="AE264" s="249"/>
      <c r="AF264" s="249"/>
      <c r="AG264" s="249"/>
      <c r="AH264" s="249"/>
      <c r="AI264" s="249"/>
      <c r="AJ264" s="249"/>
      <c r="AK264" s="74"/>
      <c r="AL264" s="74"/>
      <c r="AM264" s="74"/>
      <c r="AN264" s="74"/>
      <c r="AO264" s="74"/>
      <c r="AP264" s="74"/>
      <c r="AQ264" s="74"/>
      <c r="AR264" s="74"/>
      <c r="AS264" s="74"/>
      <c r="AT264" s="74"/>
      <c r="AU264" s="39"/>
      <c r="AV264" s="39"/>
      <c r="AW264" s="39"/>
      <c r="AX264" s="39"/>
      <c r="AY264" s="39"/>
      <c r="AZ264" s="39"/>
      <c r="BA264" s="39"/>
      <c r="BB264" s="39"/>
      <c r="BC264" s="39"/>
      <c r="BD264" s="39"/>
      <c r="BE264" s="39"/>
      <c r="BF264" s="39"/>
      <c r="BG264" s="39"/>
      <c r="BH264" s="39"/>
      <c r="BI264" s="39"/>
      <c r="BJ264" s="39"/>
      <c r="BK264" s="39"/>
      <c r="BL264" s="39"/>
      <c r="BM264" s="39"/>
    </row>
    <row r="265" spans="1:66" customFormat="1" ht="50.25" hidden="1" customHeight="1">
      <c r="A265" s="224" t="s">
        <v>248</v>
      </c>
      <c r="B265" s="224" t="s">
        <v>719</v>
      </c>
      <c r="C265" s="215" t="s">
        <v>720</v>
      </c>
      <c r="D265" s="216" t="s">
        <v>113</v>
      </c>
      <c r="E265" s="230">
        <v>46059</v>
      </c>
      <c r="F265" s="230">
        <v>46058</v>
      </c>
      <c r="G265" s="224">
        <v>8</v>
      </c>
      <c r="H265" s="256">
        <v>5</v>
      </c>
      <c r="I265" s="237">
        <f>SUM(N265:AB265)</f>
        <v>0</v>
      </c>
      <c r="J265" s="221">
        <f t="shared" si="13"/>
        <v>-0.375</v>
      </c>
      <c r="K265" s="216">
        <v>1</v>
      </c>
      <c r="L265" s="221" t="str">
        <f t="shared" si="14"/>
        <v>Normal</v>
      </c>
      <c r="M265" s="224"/>
      <c r="N265" s="216"/>
      <c r="O265" s="224"/>
      <c r="P265" s="216"/>
      <c r="Q265" s="216"/>
      <c r="R265" s="216"/>
      <c r="S265" s="216"/>
      <c r="T265" s="216"/>
      <c r="U265" s="216"/>
      <c r="V265" s="216"/>
      <c r="W265" s="249"/>
      <c r="X265" s="249"/>
      <c r="Y265" s="249"/>
      <c r="Z265" s="249"/>
      <c r="AA265" s="249"/>
      <c r="AB265" s="249"/>
      <c r="AC265" s="249"/>
      <c r="AD265" s="249"/>
      <c r="AE265" s="249"/>
      <c r="AF265" s="249"/>
      <c r="AG265" s="249"/>
      <c r="AH265" s="249"/>
      <c r="AI265" s="249"/>
      <c r="AJ265" s="249"/>
      <c r="AK265" s="74"/>
      <c r="AL265" s="74"/>
      <c r="AM265" s="74"/>
      <c r="AN265" s="74"/>
      <c r="AO265" s="74"/>
      <c r="AP265" s="74"/>
      <c r="AQ265" s="74"/>
      <c r="AR265" s="74"/>
      <c r="AS265" s="74"/>
      <c r="AT265" s="74"/>
      <c r="AU265" s="39"/>
      <c r="AV265" s="39"/>
      <c r="AW265" s="39"/>
      <c r="AX265" s="39"/>
      <c r="AY265" s="39"/>
      <c r="AZ265" s="39"/>
      <c r="BA265" s="39"/>
      <c r="BB265" s="39"/>
      <c r="BC265" s="39"/>
      <c r="BD265" s="39"/>
      <c r="BE265" s="39"/>
      <c r="BF265" s="39"/>
      <c r="BG265" s="39"/>
      <c r="BH265" s="39"/>
      <c r="BI265" s="39"/>
      <c r="BJ265" s="39"/>
      <c r="BK265" s="39"/>
      <c r="BL265" s="39"/>
      <c r="BM265" s="39"/>
    </row>
    <row r="266" spans="1:66" customFormat="1" ht="50.25" hidden="1" customHeight="1">
      <c r="A266" s="224" t="s">
        <v>248</v>
      </c>
      <c r="B266" s="224" t="s">
        <v>721</v>
      </c>
      <c r="C266" s="215" t="s">
        <v>722</v>
      </c>
      <c r="D266" s="216" t="s">
        <v>298</v>
      </c>
      <c r="E266" s="230">
        <v>46059</v>
      </c>
      <c r="F266" s="230">
        <v>46058</v>
      </c>
      <c r="G266" s="224">
        <v>8</v>
      </c>
      <c r="H266" s="256">
        <v>8</v>
      </c>
      <c r="I266" s="237">
        <f>SUM(N266:AB266)</f>
        <v>0</v>
      </c>
      <c r="J266" s="221">
        <f t="shared" si="13"/>
        <v>0</v>
      </c>
      <c r="K266" s="216">
        <v>1</v>
      </c>
      <c r="L266" s="221" t="str">
        <f t="shared" si="14"/>
        <v>Normal</v>
      </c>
      <c r="M266" s="224"/>
      <c r="N266" s="216"/>
      <c r="O266" s="224"/>
      <c r="P266" s="216"/>
      <c r="Q266" s="216"/>
      <c r="R266" s="216"/>
      <c r="S266" s="216"/>
      <c r="T266" s="216"/>
      <c r="U266" s="216"/>
      <c r="V266" s="216"/>
      <c r="W266" s="249"/>
      <c r="X266" s="249"/>
      <c r="Y266" s="249"/>
      <c r="Z266" s="249"/>
      <c r="AA266" s="249"/>
      <c r="AB266" s="249"/>
      <c r="AC266" s="249"/>
      <c r="AD266" s="249"/>
      <c r="AE266" s="249"/>
      <c r="AF266" s="249"/>
      <c r="AG266" s="249"/>
      <c r="AH266" s="249"/>
      <c r="AI266" s="249"/>
      <c r="AJ266" s="249"/>
      <c r="AK266" s="74"/>
      <c r="AL266" s="74"/>
      <c r="AM266" s="74"/>
      <c r="AN266" s="74"/>
      <c r="AO266" s="74"/>
      <c r="AP266" s="74"/>
      <c r="AQ266" s="74"/>
      <c r="AR266" s="74"/>
      <c r="AS266" s="74"/>
      <c r="AT266" s="74"/>
      <c r="AU266" s="39"/>
      <c r="AV266" s="39"/>
      <c r="AW266" s="39"/>
      <c r="AX266" s="39"/>
      <c r="AY266" s="39"/>
      <c r="AZ266" s="39"/>
      <c r="BA266" s="39"/>
      <c r="BB266" s="39"/>
      <c r="BC266" s="39"/>
      <c r="BD266" s="39"/>
      <c r="BE266" s="39"/>
      <c r="BF266" s="39"/>
      <c r="BG266" s="39"/>
      <c r="BH266" s="39"/>
      <c r="BI266" s="39"/>
      <c r="BJ266" s="39"/>
      <c r="BK266" s="39"/>
      <c r="BL266" s="39"/>
      <c r="BM266" s="39"/>
    </row>
    <row r="267" spans="1:66" customFormat="1" ht="50.25" hidden="1" customHeight="1">
      <c r="A267" s="224" t="s">
        <v>248</v>
      </c>
      <c r="B267" s="224" t="s">
        <v>723</v>
      </c>
      <c r="C267" s="215" t="s">
        <v>724</v>
      </c>
      <c r="D267" s="216" t="s">
        <v>298</v>
      </c>
      <c r="E267" s="230">
        <v>46080</v>
      </c>
      <c r="F267" s="230">
        <v>46080</v>
      </c>
      <c r="G267" s="224">
        <v>10</v>
      </c>
      <c r="H267" s="256">
        <v>10</v>
      </c>
      <c r="I267" s="237">
        <f>SUM(N267:AB267)</f>
        <v>0</v>
      </c>
      <c r="J267" s="221">
        <f t="shared" si="13"/>
        <v>0</v>
      </c>
      <c r="K267" s="216">
        <v>0</v>
      </c>
      <c r="L267" s="221" t="str">
        <f t="shared" si="14"/>
        <v>Normal</v>
      </c>
      <c r="M267" s="224"/>
      <c r="N267" s="216"/>
      <c r="O267" s="216"/>
      <c r="P267" s="216"/>
      <c r="Q267" s="216"/>
      <c r="R267" s="216"/>
      <c r="S267" s="216"/>
      <c r="T267" s="216"/>
      <c r="U267" s="216"/>
      <c r="V267" s="216"/>
      <c r="W267" s="249"/>
      <c r="X267" s="249"/>
      <c r="Y267" s="249"/>
      <c r="Z267" s="249"/>
      <c r="AA267" s="249"/>
      <c r="AB267" s="249"/>
      <c r="AC267" s="249"/>
      <c r="AD267" s="249"/>
      <c r="AE267" s="249"/>
      <c r="AF267" s="249"/>
      <c r="AG267" s="249"/>
      <c r="AH267" s="249"/>
      <c r="AI267" s="249"/>
      <c r="AJ267" s="249"/>
      <c r="AK267" s="74"/>
      <c r="AL267" s="74"/>
      <c r="AM267" s="74"/>
      <c r="AN267" s="74"/>
      <c r="AO267" s="74"/>
      <c r="AP267" s="74"/>
      <c r="AQ267" s="74"/>
      <c r="AR267" s="74"/>
      <c r="AS267" s="74"/>
      <c r="AT267" s="74"/>
      <c r="AU267" s="39"/>
      <c r="AV267" s="39"/>
      <c r="AW267" s="39"/>
      <c r="AX267" s="39"/>
      <c r="AY267" s="39"/>
      <c r="AZ267" s="39"/>
      <c r="BA267" s="39"/>
      <c r="BB267" s="39"/>
      <c r="BC267" s="39"/>
      <c r="BD267" s="39"/>
      <c r="BE267" s="39"/>
      <c r="BF267" s="39"/>
      <c r="BG267" s="39"/>
      <c r="BH267" s="39"/>
      <c r="BI267" s="39"/>
      <c r="BJ267" s="39"/>
      <c r="BK267" s="39"/>
      <c r="BL267" s="39"/>
      <c r="BM267" s="39"/>
    </row>
    <row r="268" spans="1:66" customFormat="1" ht="50.25" hidden="1" customHeight="1">
      <c r="A268" s="224" t="s">
        <v>248</v>
      </c>
      <c r="B268" s="224" t="s">
        <v>725</v>
      </c>
      <c r="C268" s="215" t="s">
        <v>726</v>
      </c>
      <c r="D268" s="216" t="s">
        <v>106</v>
      </c>
      <c r="E268" s="230">
        <v>46069</v>
      </c>
      <c r="F268" s="230">
        <v>46070</v>
      </c>
      <c r="G268" s="224">
        <v>36</v>
      </c>
      <c r="H268" s="256">
        <v>33</v>
      </c>
      <c r="I268" s="237">
        <f>SUM(N268:AB268)</f>
        <v>0</v>
      </c>
      <c r="J268" s="221">
        <f t="shared" si="13"/>
        <v>-8.3333333333333329E-2</v>
      </c>
      <c r="K268" s="216">
        <v>0</v>
      </c>
      <c r="L268" s="221" t="str">
        <f t="shared" si="14"/>
        <v>Normal</v>
      </c>
      <c r="M268" s="224"/>
      <c r="N268" s="216"/>
      <c r="O268" s="216"/>
      <c r="P268" s="216"/>
      <c r="Q268" s="216"/>
      <c r="R268" s="216"/>
      <c r="S268" s="216"/>
      <c r="T268" s="216"/>
      <c r="U268" s="216"/>
      <c r="V268" s="216"/>
      <c r="W268" s="249"/>
      <c r="X268" s="249"/>
      <c r="Y268" s="249"/>
      <c r="Z268" s="249"/>
      <c r="AA268" s="249"/>
      <c r="AB268" s="249"/>
      <c r="AC268" s="249"/>
      <c r="AD268" s="249"/>
      <c r="AE268" s="249"/>
      <c r="AF268" s="249"/>
      <c r="AG268" s="249"/>
      <c r="AH268" s="249"/>
      <c r="AI268" s="249"/>
      <c r="AJ268" s="249"/>
      <c r="AK268" s="74"/>
      <c r="AL268" s="74"/>
      <c r="AM268" s="74"/>
      <c r="AN268" s="74"/>
      <c r="AO268" s="74"/>
      <c r="AP268" s="74"/>
      <c r="AQ268" s="74"/>
      <c r="AR268" s="74"/>
      <c r="AS268" s="74"/>
      <c r="AT268" s="74"/>
      <c r="AU268" s="39"/>
      <c r="AV268" s="39"/>
      <c r="AW268" s="39"/>
      <c r="AX268" s="39"/>
      <c r="AY268" s="39"/>
      <c r="AZ268" s="39"/>
      <c r="BA268" s="39"/>
      <c r="BB268" s="39"/>
      <c r="BC268" s="39"/>
      <c r="BD268" s="39"/>
      <c r="BE268" s="39"/>
      <c r="BF268" s="39"/>
      <c r="BG268" s="39"/>
      <c r="BH268" s="39"/>
      <c r="BI268" s="39"/>
      <c r="BJ268" s="39"/>
      <c r="BK268" s="39"/>
      <c r="BL268" s="39"/>
      <c r="BM268" s="39"/>
    </row>
    <row r="269" spans="1:66" customFormat="1" ht="50.25" hidden="1" customHeight="1">
      <c r="A269" s="224" t="s">
        <v>248</v>
      </c>
      <c r="B269" s="224" t="s">
        <v>727</v>
      </c>
      <c r="C269" s="215" t="s">
        <v>728</v>
      </c>
      <c r="D269" s="216" t="s">
        <v>113</v>
      </c>
      <c r="E269" s="230">
        <v>46071</v>
      </c>
      <c r="F269" s="230">
        <v>46071</v>
      </c>
      <c r="G269" s="224">
        <v>16</v>
      </c>
      <c r="H269" s="256">
        <v>15</v>
      </c>
      <c r="I269" s="237">
        <f>SUM(N269:AB269)</f>
        <v>0</v>
      </c>
      <c r="J269" s="221">
        <f t="shared" si="13"/>
        <v>-6.25E-2</v>
      </c>
      <c r="K269" s="216">
        <v>0</v>
      </c>
      <c r="L269" s="221" t="str">
        <f t="shared" si="14"/>
        <v>Normal</v>
      </c>
      <c r="M269" s="224"/>
      <c r="N269" s="216"/>
      <c r="O269" s="216"/>
      <c r="P269" s="216"/>
      <c r="Q269" s="216"/>
      <c r="R269" s="216"/>
      <c r="S269" s="216"/>
      <c r="T269" s="216"/>
      <c r="U269" s="216"/>
      <c r="V269" s="216"/>
      <c r="W269" s="249"/>
      <c r="X269" s="249"/>
      <c r="Y269" s="249"/>
      <c r="Z269" s="249"/>
      <c r="AA269" s="249"/>
      <c r="AB269" s="249"/>
      <c r="AC269" s="249"/>
      <c r="AD269" s="249"/>
      <c r="AE269" s="249"/>
      <c r="AF269" s="249"/>
      <c r="AG269" s="249"/>
      <c r="AH269" s="249"/>
      <c r="AI269" s="249"/>
      <c r="AJ269" s="249"/>
      <c r="AK269" s="74"/>
      <c r="AL269" s="74"/>
      <c r="AM269" s="74"/>
      <c r="AN269" s="74"/>
      <c r="AO269" s="74"/>
      <c r="AP269" s="74"/>
      <c r="AQ269" s="74"/>
      <c r="AR269" s="74"/>
      <c r="AS269" s="74"/>
      <c r="AT269" s="74"/>
      <c r="AU269" s="39"/>
      <c r="AV269" s="39"/>
      <c r="AW269" s="39"/>
      <c r="AX269" s="39"/>
      <c r="AY269" s="39"/>
      <c r="AZ269" s="39"/>
      <c r="BA269" s="39"/>
      <c r="BB269" s="39"/>
      <c r="BC269" s="39"/>
      <c r="BD269" s="39"/>
      <c r="BE269" s="39"/>
      <c r="BF269" s="39"/>
      <c r="BG269" s="39"/>
      <c r="BH269" s="39"/>
      <c r="BI269" s="39"/>
      <c r="BJ269" s="39"/>
      <c r="BK269" s="39"/>
      <c r="BL269" s="39"/>
      <c r="BM269" s="39"/>
    </row>
    <row r="270" spans="1:66" customFormat="1" ht="50.25" hidden="1" customHeight="1">
      <c r="A270" s="224" t="s">
        <v>248</v>
      </c>
      <c r="B270" s="224" t="s">
        <v>729</v>
      </c>
      <c r="C270" s="215" t="s">
        <v>730</v>
      </c>
      <c r="D270" s="216" t="s">
        <v>113</v>
      </c>
      <c r="E270" s="230">
        <v>46071</v>
      </c>
      <c r="F270" s="230">
        <v>46071</v>
      </c>
      <c r="G270" s="224">
        <v>7</v>
      </c>
      <c r="H270" s="256">
        <v>7</v>
      </c>
      <c r="I270" s="237">
        <f>SUM(N270:AB270)</f>
        <v>0</v>
      </c>
      <c r="J270" s="221">
        <f t="shared" si="13"/>
        <v>0</v>
      </c>
      <c r="K270" s="216">
        <v>0</v>
      </c>
      <c r="L270" s="221" t="str">
        <f t="shared" si="14"/>
        <v>Normal</v>
      </c>
      <c r="M270" s="224"/>
      <c r="N270" s="216"/>
      <c r="O270" s="216"/>
      <c r="P270" s="216"/>
      <c r="Q270" s="216"/>
      <c r="R270" s="216"/>
      <c r="S270" s="216"/>
      <c r="T270" s="216"/>
      <c r="U270" s="216"/>
      <c r="V270" s="216"/>
      <c r="W270" s="249"/>
      <c r="X270" s="249"/>
      <c r="Y270" s="249"/>
      <c r="Z270" s="249"/>
      <c r="AA270" s="249"/>
      <c r="AB270" s="249"/>
      <c r="AC270" s="249"/>
      <c r="AD270" s="249"/>
      <c r="AE270" s="249"/>
      <c r="AF270" s="249"/>
      <c r="AG270" s="249"/>
      <c r="AH270" s="249"/>
      <c r="AI270" s="249"/>
      <c r="AJ270" s="249"/>
      <c r="AK270" s="74"/>
      <c r="AL270" s="74"/>
      <c r="AM270" s="74"/>
      <c r="AN270" s="74"/>
      <c r="AO270" s="74"/>
      <c r="AP270" s="74"/>
      <c r="AQ270" s="74"/>
      <c r="AR270" s="74"/>
      <c r="AS270" s="74"/>
      <c r="AT270" s="74"/>
      <c r="AU270" s="39"/>
      <c r="AV270" s="39"/>
      <c r="AW270" s="39"/>
      <c r="AX270" s="39"/>
      <c r="AY270" s="39"/>
      <c r="AZ270" s="39"/>
      <c r="BA270" s="39"/>
      <c r="BB270" s="39"/>
      <c r="BC270" s="39"/>
      <c r="BD270" s="39"/>
      <c r="BE270" s="39"/>
      <c r="BF270" s="39"/>
      <c r="BG270" s="39"/>
      <c r="BH270" s="39"/>
      <c r="BI270" s="39"/>
      <c r="BJ270" s="39"/>
      <c r="BK270" s="39"/>
      <c r="BL270" s="39"/>
      <c r="BM270" s="39"/>
    </row>
    <row r="271" spans="1:66" customFormat="1" ht="50.25" hidden="1" customHeight="1">
      <c r="A271" s="224" t="s">
        <v>248</v>
      </c>
      <c r="B271" s="224" t="s">
        <v>731</v>
      </c>
      <c r="C271" s="215" t="s">
        <v>732</v>
      </c>
      <c r="D271" s="216" t="s">
        <v>298</v>
      </c>
      <c r="E271" s="230">
        <v>46066</v>
      </c>
      <c r="F271" s="230">
        <v>46069</v>
      </c>
      <c r="G271" s="224">
        <v>24</v>
      </c>
      <c r="H271" s="256">
        <v>3</v>
      </c>
      <c r="I271" s="237">
        <f>SUM(N271:AB271)</f>
        <v>0</v>
      </c>
      <c r="J271" s="221">
        <f t="shared" si="13"/>
        <v>-0.875</v>
      </c>
      <c r="K271" s="216">
        <v>0</v>
      </c>
      <c r="L271" s="221" t="str">
        <f t="shared" si="14"/>
        <v>Normal</v>
      </c>
      <c r="M271" s="224"/>
      <c r="N271" s="216"/>
      <c r="O271" s="216"/>
      <c r="P271" s="216"/>
      <c r="Q271" s="216"/>
      <c r="R271" s="216"/>
      <c r="S271" s="216"/>
      <c r="T271" s="216"/>
      <c r="U271" s="216"/>
      <c r="V271" s="216"/>
      <c r="W271" s="249"/>
      <c r="X271" s="249"/>
      <c r="Y271" s="249"/>
      <c r="Z271" s="249"/>
      <c r="AA271" s="249"/>
      <c r="AB271" s="249"/>
      <c r="AC271" s="249"/>
      <c r="AD271" s="249"/>
      <c r="AE271" s="249"/>
      <c r="AF271" s="249"/>
      <c r="AG271" s="249"/>
      <c r="AH271" s="249"/>
      <c r="AI271" s="249"/>
      <c r="AJ271" s="249"/>
      <c r="AK271" s="74"/>
      <c r="AL271" s="74"/>
      <c r="AM271" s="74"/>
      <c r="AN271" s="74"/>
      <c r="AO271" s="74"/>
      <c r="AP271" s="74"/>
      <c r="AQ271" s="74"/>
      <c r="AR271" s="74"/>
      <c r="AS271" s="74"/>
      <c r="AT271" s="74"/>
      <c r="AU271" s="39"/>
      <c r="AV271" s="39"/>
      <c r="AW271" s="39"/>
      <c r="AX271" s="39"/>
      <c r="AY271" s="39"/>
      <c r="AZ271" s="39"/>
      <c r="BA271" s="39"/>
      <c r="BB271" s="39"/>
      <c r="BC271" s="39"/>
      <c r="BD271" s="39"/>
      <c r="BE271" s="39"/>
      <c r="BF271" s="39"/>
      <c r="BG271" s="39"/>
      <c r="BH271" s="39"/>
      <c r="BI271" s="39"/>
      <c r="BJ271" s="39"/>
      <c r="BK271" s="39"/>
      <c r="BL271" s="39"/>
      <c r="BM271" s="39"/>
    </row>
    <row r="272" spans="1:66" customFormat="1" ht="50.25" hidden="1" customHeight="1">
      <c r="A272" s="224" t="s">
        <v>248</v>
      </c>
      <c r="B272" s="224" t="s">
        <v>733</v>
      </c>
      <c r="C272" s="215" t="s">
        <v>734</v>
      </c>
      <c r="D272" s="216" t="s">
        <v>298</v>
      </c>
      <c r="E272" s="230">
        <v>46070</v>
      </c>
      <c r="F272" s="230">
        <v>46070</v>
      </c>
      <c r="G272" s="224">
        <v>3</v>
      </c>
      <c r="H272" s="256">
        <v>3</v>
      </c>
      <c r="I272" s="237">
        <f>SUM(N272:AB272)</f>
        <v>0</v>
      </c>
      <c r="J272" s="221">
        <f t="shared" si="13"/>
        <v>0</v>
      </c>
      <c r="K272" s="216">
        <v>0</v>
      </c>
      <c r="L272" s="221" t="str">
        <f t="shared" si="14"/>
        <v>Normal</v>
      </c>
      <c r="M272" s="224"/>
      <c r="N272" s="216"/>
      <c r="O272" s="216"/>
      <c r="P272" s="216"/>
      <c r="Q272" s="216"/>
      <c r="R272" s="216"/>
      <c r="S272" s="216"/>
      <c r="T272" s="216"/>
      <c r="U272" s="216"/>
      <c r="V272" s="216"/>
      <c r="W272" s="249"/>
      <c r="X272" s="249"/>
      <c r="Y272" s="249"/>
      <c r="Z272" s="249"/>
      <c r="AA272" s="249"/>
      <c r="AB272" s="249"/>
      <c r="AC272" s="249"/>
      <c r="AD272" s="249"/>
      <c r="AE272" s="249"/>
      <c r="AF272" s="249"/>
      <c r="AG272" s="249"/>
      <c r="AH272" s="249"/>
      <c r="AI272" s="249"/>
      <c r="AJ272" s="249"/>
      <c r="AK272" s="74"/>
      <c r="AL272" s="74"/>
      <c r="AM272" s="74"/>
      <c r="AN272" s="74"/>
      <c r="AO272" s="74"/>
      <c r="AP272" s="74"/>
      <c r="AQ272" s="74"/>
      <c r="AR272" s="74"/>
      <c r="AS272" s="74"/>
      <c r="AT272" s="74"/>
      <c r="AU272" s="39"/>
      <c r="AV272" s="39"/>
      <c r="AW272" s="39"/>
      <c r="AX272" s="39"/>
      <c r="AY272" s="39"/>
      <c r="AZ272" s="39"/>
      <c r="BA272" s="39"/>
      <c r="BB272" s="39"/>
      <c r="BC272" s="39"/>
      <c r="BD272" s="39"/>
      <c r="BE272" s="39"/>
      <c r="BF272" s="39"/>
      <c r="BG272" s="39"/>
      <c r="BH272" s="39"/>
      <c r="BI272" s="39"/>
      <c r="BJ272" s="39"/>
      <c r="BK272" s="39"/>
      <c r="BL272" s="39"/>
      <c r="BM272" s="39"/>
    </row>
    <row r="273" spans="1:65" customFormat="1" ht="50.25" hidden="1" customHeight="1">
      <c r="A273" s="224" t="s">
        <v>248</v>
      </c>
      <c r="B273" s="224" t="s">
        <v>735</v>
      </c>
      <c r="C273" s="215" t="s">
        <v>736</v>
      </c>
      <c r="D273" s="216" t="s">
        <v>244</v>
      </c>
      <c r="E273" s="230">
        <v>46072</v>
      </c>
      <c r="F273" s="230">
        <v>46076</v>
      </c>
      <c r="G273" s="224">
        <v>12</v>
      </c>
      <c r="H273" s="256">
        <v>12</v>
      </c>
      <c r="I273" s="237">
        <f>SUM(N273:AB273)</f>
        <v>0</v>
      </c>
      <c r="J273" s="221">
        <f t="shared" si="13"/>
        <v>0</v>
      </c>
      <c r="K273" s="216">
        <v>0</v>
      </c>
      <c r="L273" s="221" t="str">
        <f t="shared" si="14"/>
        <v>Normal</v>
      </c>
      <c r="M273" s="224"/>
      <c r="N273" s="216"/>
      <c r="O273" s="216"/>
      <c r="P273" s="216"/>
      <c r="Q273" s="216"/>
      <c r="R273" s="216"/>
      <c r="S273" s="216"/>
      <c r="T273" s="216"/>
      <c r="U273" s="216"/>
      <c r="V273" s="216"/>
      <c r="W273" s="249"/>
      <c r="X273" s="249"/>
      <c r="Y273" s="249"/>
      <c r="Z273" s="249"/>
      <c r="AA273" s="249"/>
      <c r="AB273" s="249"/>
      <c r="AC273" s="249"/>
      <c r="AD273" s="249"/>
      <c r="AE273" s="249"/>
      <c r="AF273" s="249"/>
      <c r="AG273" s="249"/>
      <c r="AH273" s="249"/>
      <c r="AI273" s="249"/>
      <c r="AJ273" s="249"/>
      <c r="AK273" s="74"/>
      <c r="AL273" s="74"/>
      <c r="AM273" s="74"/>
      <c r="AN273" s="74"/>
      <c r="AO273" s="74"/>
      <c r="AP273" s="74"/>
      <c r="AQ273" s="74"/>
      <c r="AR273" s="74"/>
      <c r="AS273" s="74"/>
      <c r="AT273" s="74"/>
      <c r="AU273" s="39"/>
      <c r="AV273" s="39"/>
      <c r="AW273" s="39"/>
      <c r="AX273" s="39"/>
      <c r="AY273" s="39"/>
      <c r="AZ273" s="39"/>
      <c r="BA273" s="39"/>
      <c r="BB273" s="39"/>
      <c r="BC273" s="39"/>
      <c r="BD273" s="39"/>
      <c r="BE273" s="39"/>
      <c r="BF273" s="39"/>
      <c r="BG273" s="39"/>
      <c r="BH273" s="39"/>
      <c r="BI273" s="39"/>
      <c r="BJ273" s="39"/>
      <c r="BK273" s="39"/>
      <c r="BL273" s="39"/>
      <c r="BM273" s="39"/>
    </row>
    <row r="274" spans="1:65" customFormat="1" ht="50.25" hidden="1" customHeight="1">
      <c r="A274" s="224" t="s">
        <v>248</v>
      </c>
      <c r="B274" s="224" t="s">
        <v>737</v>
      </c>
      <c r="C274" s="215" t="s">
        <v>738</v>
      </c>
      <c r="D274" s="216" t="s">
        <v>113</v>
      </c>
      <c r="E274" s="230">
        <v>46091</v>
      </c>
      <c r="F274" s="230">
        <v>46093</v>
      </c>
      <c r="G274" s="224">
        <v>32</v>
      </c>
      <c r="H274" s="256">
        <v>20</v>
      </c>
      <c r="I274" s="237">
        <f>SUM(N274:AB274)</f>
        <v>0</v>
      </c>
      <c r="J274" s="221">
        <f t="shared" si="13"/>
        <v>-0.375</v>
      </c>
      <c r="K274" s="216">
        <v>0</v>
      </c>
      <c r="L274" s="221" t="str">
        <f t="shared" si="14"/>
        <v>Normal</v>
      </c>
      <c r="M274" s="224"/>
      <c r="N274" s="216"/>
      <c r="O274" s="216"/>
      <c r="P274" s="216"/>
      <c r="Q274" s="216"/>
      <c r="R274" s="216"/>
      <c r="S274" s="216"/>
      <c r="T274" s="216"/>
      <c r="U274" s="216"/>
      <c r="V274" s="216"/>
      <c r="W274" s="249"/>
      <c r="X274" s="249"/>
      <c r="Y274" s="249"/>
      <c r="Z274" s="249"/>
      <c r="AA274" s="249"/>
      <c r="AB274" s="249"/>
      <c r="AC274" s="249"/>
      <c r="AD274" s="249"/>
      <c r="AE274" s="249"/>
      <c r="AF274" s="249"/>
      <c r="AG274" s="249"/>
      <c r="AH274" s="249"/>
      <c r="AI274" s="249"/>
      <c r="AJ274" s="249"/>
      <c r="AK274" s="74"/>
      <c r="AL274" s="74"/>
      <c r="AM274" s="74"/>
      <c r="AN274" s="74"/>
      <c r="AO274" s="74"/>
      <c r="AP274" s="74"/>
      <c r="AQ274" s="74"/>
      <c r="AR274" s="74"/>
      <c r="AS274" s="74"/>
      <c r="AT274" s="74"/>
      <c r="AU274" s="39"/>
      <c r="AV274" s="39"/>
      <c r="AW274" s="39"/>
      <c r="AX274" s="39"/>
      <c r="AY274" s="39"/>
      <c r="AZ274" s="39"/>
      <c r="BA274" s="39"/>
      <c r="BB274" s="39"/>
      <c r="BC274" s="39"/>
      <c r="BD274" s="39"/>
      <c r="BE274" s="39"/>
      <c r="BF274" s="39"/>
      <c r="BG274" s="39"/>
      <c r="BH274" s="39"/>
      <c r="BI274" s="39"/>
      <c r="BJ274" s="39"/>
      <c r="BK274" s="39"/>
      <c r="BL274" s="39"/>
      <c r="BM274" s="39"/>
    </row>
    <row r="275" spans="1:65" customFormat="1" ht="50.25" hidden="1" customHeight="1">
      <c r="A275" s="224" t="s">
        <v>248</v>
      </c>
      <c r="B275" s="224" t="s">
        <v>739</v>
      </c>
      <c r="C275" s="215" t="s">
        <v>740</v>
      </c>
      <c r="D275" s="216" t="s">
        <v>307</v>
      </c>
      <c r="E275" s="230">
        <v>46112</v>
      </c>
      <c r="F275" s="230">
        <v>46112</v>
      </c>
      <c r="G275" s="224">
        <v>31.5</v>
      </c>
      <c r="H275" s="256">
        <v>0</v>
      </c>
      <c r="I275" s="237">
        <f>SUM(N275:AB275)</f>
        <v>0</v>
      </c>
      <c r="J275" s="221">
        <f t="shared" si="13"/>
        <v>-1</v>
      </c>
      <c r="K275" s="216">
        <v>0</v>
      </c>
      <c r="L275" s="221" t="str">
        <f t="shared" si="14"/>
        <v>Normal</v>
      </c>
      <c r="M275" s="224"/>
      <c r="N275" s="216"/>
      <c r="O275" s="216"/>
      <c r="P275" s="216"/>
      <c r="Q275" s="216"/>
      <c r="R275" s="216"/>
      <c r="S275" s="216"/>
      <c r="T275" s="216"/>
      <c r="U275" s="216"/>
      <c r="V275" s="216"/>
      <c r="W275" s="249"/>
      <c r="X275" s="249"/>
      <c r="Y275" s="249"/>
      <c r="Z275" s="249"/>
      <c r="AA275" s="249"/>
      <c r="AB275" s="249"/>
      <c r="AC275" s="249"/>
      <c r="AD275" s="249"/>
      <c r="AE275" s="249"/>
      <c r="AF275" s="249"/>
      <c r="AG275" s="249"/>
      <c r="AH275" s="249"/>
      <c r="AI275" s="249"/>
      <c r="AJ275" s="249"/>
      <c r="AK275" s="74"/>
      <c r="AL275" s="74"/>
      <c r="AM275" s="74"/>
      <c r="AN275" s="74"/>
      <c r="AO275" s="74"/>
      <c r="AP275" s="74"/>
      <c r="AQ275" s="74"/>
      <c r="AR275" s="74"/>
      <c r="AS275" s="74"/>
      <c r="AT275" s="74"/>
      <c r="AU275" s="39"/>
      <c r="AV275" s="39"/>
      <c r="AW275" s="39"/>
      <c r="AX275" s="39"/>
      <c r="AY275" s="39"/>
      <c r="AZ275" s="39"/>
      <c r="BA275" s="39"/>
      <c r="BB275" s="39"/>
      <c r="BC275" s="39"/>
      <c r="BD275" s="39"/>
      <c r="BE275" s="39"/>
      <c r="BF275" s="39"/>
      <c r="BG275" s="39"/>
      <c r="BH275" s="39"/>
      <c r="BI275" s="39"/>
      <c r="BJ275" s="39"/>
      <c r="BK275" s="39"/>
      <c r="BL275" s="39"/>
      <c r="BM275" s="39"/>
    </row>
    <row r="276" spans="1:65" customFormat="1" ht="50.25" hidden="1" customHeight="1">
      <c r="A276" s="224" t="s">
        <v>248</v>
      </c>
      <c r="B276" s="224" t="s">
        <v>741</v>
      </c>
      <c r="C276" s="215" t="s">
        <v>742</v>
      </c>
      <c r="D276" s="216" t="s">
        <v>113</v>
      </c>
      <c r="E276" s="230">
        <v>46087</v>
      </c>
      <c r="F276" s="230">
        <v>46087</v>
      </c>
      <c r="G276" s="224"/>
      <c r="H276" s="256">
        <v>25</v>
      </c>
      <c r="I276" s="237">
        <f>SUM(N276:AB276)</f>
        <v>0</v>
      </c>
      <c r="J276" s="221" t="str">
        <f t="shared" si="13"/>
        <v/>
      </c>
      <c r="K276" s="216">
        <v>0</v>
      </c>
      <c r="L276" s="221" t="str">
        <f t="shared" si="14"/>
        <v>Sin estimación</v>
      </c>
      <c r="M276" s="224"/>
      <c r="N276" s="216"/>
      <c r="O276" s="216"/>
      <c r="P276" s="216"/>
      <c r="Q276" s="216"/>
      <c r="R276" s="216"/>
      <c r="S276" s="216"/>
      <c r="T276" s="216"/>
      <c r="U276" s="216"/>
      <c r="V276" s="216"/>
      <c r="W276" s="249"/>
      <c r="X276" s="249"/>
      <c r="Y276" s="249"/>
      <c r="Z276" s="249"/>
      <c r="AA276" s="249"/>
      <c r="AB276" s="249"/>
      <c r="AC276" s="249"/>
      <c r="AD276" s="249"/>
      <c r="AE276" s="249"/>
      <c r="AF276" s="249"/>
      <c r="AG276" s="249"/>
      <c r="AH276" s="249"/>
      <c r="AI276" s="249"/>
      <c r="AJ276" s="249"/>
      <c r="AK276" s="74"/>
      <c r="AL276" s="74"/>
      <c r="AM276" s="74"/>
      <c r="AN276" s="74"/>
      <c r="AO276" s="74"/>
      <c r="AP276" s="74"/>
      <c r="AQ276" s="74"/>
      <c r="AR276" s="74"/>
      <c r="AS276" s="74"/>
      <c r="AT276" s="74"/>
      <c r="AU276" s="39"/>
      <c r="AV276" s="39"/>
      <c r="AW276" s="39"/>
      <c r="AX276" s="39"/>
      <c r="AY276" s="39"/>
      <c r="AZ276" s="39"/>
      <c r="BA276" s="39"/>
      <c r="BB276" s="39"/>
      <c r="BC276" s="39"/>
      <c r="BD276" s="39"/>
      <c r="BE276" s="39"/>
      <c r="BF276" s="39"/>
      <c r="BG276" s="39"/>
      <c r="BH276" s="39"/>
      <c r="BI276" s="39"/>
      <c r="BJ276" s="39"/>
      <c r="BK276" s="39"/>
      <c r="BL276" s="39"/>
      <c r="BM276" s="39"/>
    </row>
    <row r="277" spans="1:65" customFormat="1" ht="50.25" hidden="1" customHeight="1">
      <c r="A277" s="224" t="s">
        <v>248</v>
      </c>
      <c r="B277" s="224" t="s">
        <v>743</v>
      </c>
      <c r="C277" s="215" t="s">
        <v>744</v>
      </c>
      <c r="D277" s="216" t="s">
        <v>298</v>
      </c>
      <c r="E277" s="230">
        <v>46087</v>
      </c>
      <c r="F277" s="230">
        <v>46087</v>
      </c>
      <c r="G277" s="224">
        <v>6</v>
      </c>
      <c r="H277" s="256">
        <v>6</v>
      </c>
      <c r="I277" s="237">
        <f>SUM(N277:AB277)</f>
        <v>0</v>
      </c>
      <c r="J277" s="221">
        <f t="shared" si="13"/>
        <v>0</v>
      </c>
      <c r="K277" s="216">
        <v>0</v>
      </c>
      <c r="L277" s="221" t="str">
        <f t="shared" si="14"/>
        <v>Normal</v>
      </c>
      <c r="M277" s="224"/>
      <c r="N277" s="216"/>
      <c r="O277" s="216"/>
      <c r="P277" s="224"/>
      <c r="Q277" s="216"/>
      <c r="R277" s="216"/>
      <c r="S277" s="216"/>
      <c r="T277" s="216"/>
      <c r="U277" s="216"/>
      <c r="V277" s="216"/>
      <c r="W277" s="249"/>
      <c r="X277" s="249"/>
      <c r="Y277" s="249"/>
      <c r="Z277" s="249"/>
      <c r="AA277" s="249"/>
      <c r="AB277" s="249"/>
      <c r="AC277" s="249"/>
      <c r="AD277" s="249"/>
      <c r="AE277" s="249"/>
      <c r="AF277" s="249"/>
      <c r="AG277" s="249"/>
      <c r="AH277" s="249"/>
      <c r="AI277" s="249"/>
      <c r="AJ277" s="249"/>
      <c r="AK277" s="74"/>
      <c r="AL277" s="74"/>
      <c r="AM277" s="74"/>
      <c r="AN277" s="74"/>
      <c r="AO277" s="74"/>
      <c r="AP277" s="74"/>
      <c r="AQ277" s="74"/>
      <c r="AR277" s="74"/>
      <c r="AS277" s="74"/>
      <c r="AT277" s="74"/>
      <c r="AU277" s="39"/>
      <c r="AV277" s="39"/>
      <c r="AW277" s="39"/>
      <c r="AX277" s="39"/>
      <c r="AY277" s="39"/>
      <c r="AZ277" s="39"/>
      <c r="BA277" s="39"/>
      <c r="BB277" s="39"/>
      <c r="BC277" s="39"/>
      <c r="BD277" s="39"/>
      <c r="BE277" s="39"/>
      <c r="BF277" s="39"/>
      <c r="BG277" s="39"/>
      <c r="BH277" s="39"/>
      <c r="BI277" s="39"/>
      <c r="BJ277" s="39"/>
      <c r="BK277" s="39"/>
      <c r="BL277" s="39"/>
      <c r="BM277" s="39"/>
    </row>
    <row r="278" spans="1:65" customFormat="1" ht="50.25" hidden="1" customHeight="1">
      <c r="A278" s="224" t="s">
        <v>248</v>
      </c>
      <c r="B278" s="224" t="s">
        <v>745</v>
      </c>
      <c r="C278" s="215" t="s">
        <v>746</v>
      </c>
      <c r="D278" s="216" t="s">
        <v>113</v>
      </c>
      <c r="E278" s="230">
        <v>46112</v>
      </c>
      <c r="F278" s="230">
        <v>46108</v>
      </c>
      <c r="G278" s="224">
        <v>16</v>
      </c>
      <c r="H278" s="256">
        <v>8</v>
      </c>
      <c r="I278" s="237">
        <f>SUM(N278:AB278)</f>
        <v>0</v>
      </c>
      <c r="J278" s="221">
        <f t="shared" si="13"/>
        <v>-0.5</v>
      </c>
      <c r="K278" s="216">
        <v>0</v>
      </c>
      <c r="L278" s="221" t="str">
        <f t="shared" si="14"/>
        <v>Normal</v>
      </c>
      <c r="M278" s="224"/>
      <c r="N278" s="216"/>
      <c r="O278" s="216"/>
      <c r="P278" s="224"/>
      <c r="Q278" s="216"/>
      <c r="R278" s="216"/>
      <c r="S278" s="216"/>
      <c r="T278" s="216"/>
      <c r="U278" s="216"/>
      <c r="V278" s="216"/>
      <c r="W278" s="249"/>
      <c r="X278" s="249"/>
      <c r="Y278" s="249"/>
      <c r="Z278" s="249"/>
      <c r="AA278" s="249"/>
      <c r="AB278" s="249"/>
      <c r="AC278" s="249"/>
      <c r="AD278" s="249"/>
      <c r="AE278" s="249"/>
      <c r="AF278" s="249"/>
      <c r="AG278" s="249"/>
      <c r="AH278" s="249"/>
      <c r="AI278" s="249"/>
      <c r="AJ278" s="249"/>
      <c r="AK278" s="74"/>
      <c r="AL278" s="74"/>
      <c r="AM278" s="74"/>
      <c r="AN278" s="74"/>
      <c r="AO278" s="74"/>
      <c r="AP278" s="74"/>
      <c r="AQ278" s="74"/>
      <c r="AR278" s="74"/>
      <c r="AS278" s="74"/>
      <c r="AT278" s="74"/>
      <c r="AU278" s="39"/>
      <c r="AV278" s="39"/>
      <c r="AW278" s="39"/>
      <c r="AX278" s="39"/>
      <c r="AY278" s="39"/>
      <c r="AZ278" s="39"/>
      <c r="BA278" s="39"/>
      <c r="BB278" s="39"/>
      <c r="BC278" s="39"/>
      <c r="BD278" s="39"/>
      <c r="BE278" s="39"/>
      <c r="BF278" s="39"/>
      <c r="BG278" s="39"/>
      <c r="BH278" s="39"/>
      <c r="BI278" s="39"/>
      <c r="BJ278" s="39"/>
      <c r="BK278" s="39"/>
      <c r="BL278" s="39"/>
      <c r="BM278" s="39"/>
    </row>
    <row r="279" spans="1:65" customFormat="1" ht="50.25" hidden="1" customHeight="1">
      <c r="A279" s="224" t="s">
        <v>248</v>
      </c>
      <c r="B279" s="224" t="s">
        <v>747</v>
      </c>
      <c r="C279" s="215" t="s">
        <v>748</v>
      </c>
      <c r="D279" s="216" t="s">
        <v>244</v>
      </c>
      <c r="E279" s="230">
        <v>46154</v>
      </c>
      <c r="F279" s="230">
        <v>46121</v>
      </c>
      <c r="G279" s="224">
        <v>40</v>
      </c>
      <c r="H279" s="256">
        <v>16</v>
      </c>
      <c r="I279" s="237">
        <f>SUM(N279:AB279)</f>
        <v>0</v>
      </c>
      <c r="J279" s="221">
        <f t="shared" si="13"/>
        <v>-0.6</v>
      </c>
      <c r="K279" s="216">
        <v>0</v>
      </c>
      <c r="L279" s="221" t="str">
        <f t="shared" si="14"/>
        <v>Normal</v>
      </c>
      <c r="M279" s="224"/>
      <c r="N279" s="216"/>
      <c r="O279" s="216"/>
      <c r="P279" s="224"/>
      <c r="Q279" s="216"/>
      <c r="R279" s="216"/>
      <c r="S279" s="216"/>
      <c r="T279" s="216"/>
      <c r="U279" s="216"/>
      <c r="V279" s="216"/>
      <c r="W279" s="249"/>
      <c r="X279" s="249"/>
      <c r="Y279" s="249"/>
      <c r="Z279" s="249"/>
      <c r="AA279" s="249"/>
      <c r="AB279" s="249"/>
      <c r="AC279" s="249"/>
      <c r="AD279" s="249"/>
      <c r="AE279" s="249"/>
      <c r="AF279" s="249"/>
      <c r="AG279" s="249"/>
      <c r="AH279" s="249"/>
      <c r="AI279" s="249"/>
      <c r="AJ279" s="249"/>
      <c r="AK279" s="74"/>
      <c r="AL279" s="74"/>
      <c r="AM279" s="74"/>
      <c r="AN279" s="74"/>
      <c r="AO279" s="74"/>
      <c r="AP279" s="74"/>
      <c r="AQ279" s="74"/>
      <c r="AR279" s="74"/>
      <c r="AS279" s="74"/>
      <c r="AT279" s="74"/>
      <c r="AU279" s="39"/>
      <c r="AV279" s="39"/>
      <c r="AW279" s="39"/>
      <c r="AX279" s="39"/>
      <c r="AY279" s="39"/>
      <c r="AZ279" s="39"/>
      <c r="BA279" s="39"/>
      <c r="BB279" s="39"/>
      <c r="BC279" s="39"/>
      <c r="BD279" s="39"/>
      <c r="BE279" s="39"/>
      <c r="BF279" s="39"/>
      <c r="BG279" s="39"/>
      <c r="BH279" s="39"/>
      <c r="BI279" s="39"/>
      <c r="BJ279" s="39"/>
      <c r="BK279" s="39"/>
      <c r="BL279" s="39"/>
      <c r="BM279" s="39"/>
    </row>
    <row r="280" spans="1:65" customFormat="1" ht="50.25" hidden="1" customHeight="1">
      <c r="A280" s="224" t="s">
        <v>248</v>
      </c>
      <c r="B280" s="224" t="s">
        <v>749</v>
      </c>
      <c r="C280" s="215" t="s">
        <v>750</v>
      </c>
      <c r="D280" s="216" t="s">
        <v>113</v>
      </c>
      <c r="E280" s="230">
        <v>46112</v>
      </c>
      <c r="F280" s="230">
        <v>46093</v>
      </c>
      <c r="G280" s="224">
        <v>8</v>
      </c>
      <c r="H280" s="256">
        <v>1</v>
      </c>
      <c r="I280" s="237">
        <f>SUM(N280:AB280)</f>
        <v>0</v>
      </c>
      <c r="J280" s="221">
        <f t="shared" si="13"/>
        <v>-0.875</v>
      </c>
      <c r="K280" s="216">
        <v>0</v>
      </c>
      <c r="L280" s="221" t="str">
        <f t="shared" si="14"/>
        <v>Normal</v>
      </c>
      <c r="M280" s="224"/>
      <c r="N280" s="216"/>
      <c r="O280" s="216"/>
      <c r="P280" s="224"/>
      <c r="Q280" s="216"/>
      <c r="R280" s="216"/>
      <c r="S280" s="216"/>
      <c r="T280" s="216"/>
      <c r="U280" s="216"/>
      <c r="V280" s="216"/>
      <c r="W280" s="249"/>
      <c r="X280" s="249"/>
      <c r="Y280" s="249"/>
      <c r="Z280" s="249"/>
      <c r="AA280" s="249"/>
      <c r="AB280" s="249"/>
      <c r="AC280" s="249"/>
      <c r="AD280" s="249"/>
      <c r="AE280" s="249"/>
      <c r="AF280" s="249"/>
      <c r="AG280" s="249"/>
      <c r="AH280" s="249"/>
      <c r="AI280" s="249"/>
      <c r="AJ280" s="249"/>
      <c r="AK280" s="74"/>
      <c r="AL280" s="74"/>
      <c r="AM280" s="74"/>
      <c r="AN280" s="74"/>
      <c r="AO280" s="74"/>
      <c r="AP280" s="74"/>
      <c r="AQ280" s="74"/>
      <c r="AR280" s="74"/>
      <c r="AS280" s="74"/>
      <c r="AT280" s="74"/>
      <c r="AU280" s="39"/>
      <c r="AV280" s="39"/>
      <c r="AW280" s="39"/>
      <c r="AX280" s="39"/>
      <c r="AY280" s="39"/>
      <c r="AZ280" s="39"/>
      <c r="BA280" s="39"/>
      <c r="BB280" s="39"/>
      <c r="BC280" s="39"/>
      <c r="BD280" s="39"/>
      <c r="BE280" s="39"/>
      <c r="BF280" s="39"/>
      <c r="BG280" s="39"/>
      <c r="BH280" s="39"/>
      <c r="BI280" s="39"/>
      <c r="BJ280" s="39"/>
      <c r="BK280" s="39"/>
      <c r="BL280" s="39"/>
      <c r="BM280" s="39"/>
    </row>
    <row r="281" spans="1:65" customFormat="1" ht="50.25" hidden="1" customHeight="1">
      <c r="A281" s="224" t="s">
        <v>248</v>
      </c>
      <c r="B281" s="224" t="s">
        <v>751</v>
      </c>
      <c r="C281" s="215" t="s">
        <v>752</v>
      </c>
      <c r="D281" s="216" t="s">
        <v>106</v>
      </c>
      <c r="E281" s="230">
        <v>46112</v>
      </c>
      <c r="F281" s="230">
        <v>46112</v>
      </c>
      <c r="G281" s="224">
        <v>48</v>
      </c>
      <c r="H281" s="256">
        <v>43</v>
      </c>
      <c r="I281" s="237">
        <f>SUM(N281:AB281)</f>
        <v>0</v>
      </c>
      <c r="J281" s="221">
        <f t="shared" si="13"/>
        <v>-0.10416666666666667</v>
      </c>
      <c r="K281" s="216">
        <v>0</v>
      </c>
      <c r="L281" s="221" t="str">
        <f t="shared" si="14"/>
        <v>Normal</v>
      </c>
      <c r="M281" s="224"/>
      <c r="N281" s="216"/>
      <c r="O281" s="216"/>
      <c r="P281" s="224"/>
      <c r="Q281" s="216"/>
      <c r="R281" s="216"/>
      <c r="S281" s="216"/>
      <c r="T281" s="216"/>
      <c r="U281" s="216"/>
      <c r="V281" s="216"/>
      <c r="W281" s="249"/>
      <c r="X281" s="249"/>
      <c r="Y281" s="249"/>
      <c r="Z281" s="249"/>
      <c r="AA281" s="249"/>
      <c r="AB281" s="249"/>
      <c r="AC281" s="249"/>
      <c r="AD281" s="249"/>
      <c r="AE281" s="249"/>
      <c r="AF281" s="249"/>
      <c r="AG281" s="249"/>
      <c r="AH281" s="249"/>
      <c r="AI281" s="249"/>
      <c r="AJ281" s="249"/>
      <c r="AK281" s="74"/>
      <c r="AL281" s="74"/>
      <c r="AM281" s="74"/>
      <c r="AN281" s="74"/>
      <c r="AO281" s="74"/>
      <c r="AP281" s="74"/>
      <c r="AQ281" s="74"/>
      <c r="AR281" s="74"/>
      <c r="AS281" s="74"/>
      <c r="AT281" s="74"/>
      <c r="AU281" s="39"/>
      <c r="AV281" s="39"/>
      <c r="AW281" s="39"/>
      <c r="AX281" s="39"/>
      <c r="AY281" s="39"/>
      <c r="AZ281" s="39"/>
      <c r="BA281" s="39"/>
      <c r="BB281" s="39"/>
      <c r="BC281" s="39"/>
      <c r="BD281" s="39"/>
      <c r="BE281" s="39"/>
      <c r="BF281" s="39"/>
      <c r="BG281" s="39"/>
      <c r="BH281" s="39"/>
      <c r="BI281" s="39"/>
      <c r="BJ281" s="39"/>
      <c r="BK281" s="39"/>
      <c r="BL281" s="39"/>
      <c r="BM281" s="39"/>
    </row>
    <row r="282" spans="1:65" customFormat="1" ht="50.25" hidden="1" customHeight="1">
      <c r="A282" s="224" t="s">
        <v>248</v>
      </c>
      <c r="B282" s="224" t="s">
        <v>753</v>
      </c>
      <c r="C282" s="215" t="s">
        <v>754</v>
      </c>
      <c r="D282" s="216" t="s">
        <v>113</v>
      </c>
      <c r="E282" s="230">
        <v>46111</v>
      </c>
      <c r="F282" s="230">
        <v>46108</v>
      </c>
      <c r="G282" s="224">
        <v>16</v>
      </c>
      <c r="H282" s="256">
        <v>8</v>
      </c>
      <c r="I282" s="237">
        <f>SUM(N282:AB282)</f>
        <v>0</v>
      </c>
      <c r="J282" s="221">
        <f t="shared" si="13"/>
        <v>-0.5</v>
      </c>
      <c r="K282" s="216">
        <v>0</v>
      </c>
      <c r="L282" s="221" t="str">
        <f t="shared" si="14"/>
        <v>Normal</v>
      </c>
      <c r="M282" s="224"/>
      <c r="N282" s="216"/>
      <c r="O282" s="216"/>
      <c r="P282" s="224"/>
      <c r="Q282" s="216"/>
      <c r="R282" s="216"/>
      <c r="S282" s="216"/>
      <c r="T282" s="216"/>
      <c r="U282" s="216"/>
      <c r="V282" s="216"/>
      <c r="W282" s="249"/>
      <c r="X282" s="249"/>
      <c r="Y282" s="249"/>
      <c r="Z282" s="249"/>
      <c r="AA282" s="249"/>
      <c r="AB282" s="249"/>
      <c r="AC282" s="249"/>
      <c r="AD282" s="249"/>
      <c r="AE282" s="249"/>
      <c r="AF282" s="249"/>
      <c r="AG282" s="249"/>
      <c r="AH282" s="249"/>
      <c r="AI282" s="249"/>
      <c r="AJ282" s="249"/>
      <c r="AK282" s="74"/>
      <c r="AL282" s="74"/>
      <c r="AM282" s="74"/>
      <c r="AN282" s="74"/>
      <c r="AO282" s="74"/>
      <c r="AP282" s="74"/>
      <c r="AQ282" s="74"/>
      <c r="AR282" s="74"/>
      <c r="AS282" s="74"/>
      <c r="AT282" s="74"/>
      <c r="AU282" s="39"/>
      <c r="AV282" s="39"/>
      <c r="AW282" s="39"/>
      <c r="AX282" s="39"/>
      <c r="AY282" s="39"/>
      <c r="AZ282" s="39"/>
      <c r="BA282" s="39"/>
      <c r="BB282" s="39"/>
      <c r="BC282" s="39"/>
      <c r="BD282" s="39"/>
      <c r="BE282" s="39"/>
      <c r="BF282" s="39"/>
      <c r="BG282" s="39"/>
      <c r="BH282" s="39"/>
      <c r="BI282" s="39"/>
      <c r="BJ282" s="39"/>
      <c r="BK282" s="39"/>
      <c r="BL282" s="39"/>
      <c r="BM282" s="39"/>
    </row>
    <row r="283" spans="1:65" customFormat="1" ht="50.25" hidden="1" customHeight="1">
      <c r="A283" s="224" t="s">
        <v>248</v>
      </c>
      <c r="B283" s="224" t="s">
        <v>755</v>
      </c>
      <c r="C283" s="215" t="s">
        <v>756</v>
      </c>
      <c r="D283" s="216" t="s">
        <v>106</v>
      </c>
      <c r="E283" s="230">
        <v>46111</v>
      </c>
      <c r="F283" s="230">
        <v>46108</v>
      </c>
      <c r="G283" s="224">
        <v>16</v>
      </c>
      <c r="H283" s="256">
        <v>10</v>
      </c>
      <c r="I283" s="237">
        <f>SUM(N283:AB283)</f>
        <v>0</v>
      </c>
      <c r="J283" s="221">
        <f t="shared" si="13"/>
        <v>-0.375</v>
      </c>
      <c r="K283" s="216">
        <v>0</v>
      </c>
      <c r="L283" s="221" t="str">
        <f t="shared" si="14"/>
        <v>Normal</v>
      </c>
      <c r="M283" s="224"/>
      <c r="N283" s="216"/>
      <c r="O283" s="216"/>
      <c r="P283" s="224"/>
      <c r="Q283" s="216"/>
      <c r="R283" s="216"/>
      <c r="S283" s="216"/>
      <c r="T283" s="216"/>
      <c r="U283" s="216"/>
      <c r="V283" s="216"/>
      <c r="W283" s="249"/>
      <c r="X283" s="249"/>
      <c r="Y283" s="249"/>
      <c r="Z283" s="249"/>
      <c r="AA283" s="249"/>
      <c r="AB283" s="249"/>
      <c r="AC283" s="249"/>
      <c r="AD283" s="249"/>
      <c r="AE283" s="249"/>
      <c r="AF283" s="249"/>
      <c r="AG283" s="249"/>
      <c r="AH283" s="249"/>
      <c r="AI283" s="249"/>
      <c r="AJ283" s="249"/>
      <c r="AK283" s="74"/>
      <c r="AL283" s="74"/>
      <c r="AM283" s="74"/>
      <c r="AN283" s="74"/>
      <c r="AO283" s="74"/>
      <c r="AP283" s="74"/>
      <c r="AQ283" s="74"/>
      <c r="AR283" s="74"/>
      <c r="AS283" s="74"/>
      <c r="AT283" s="74"/>
      <c r="AU283" s="39"/>
      <c r="AV283" s="39"/>
      <c r="AW283" s="39"/>
      <c r="AX283" s="39"/>
      <c r="AY283" s="39"/>
      <c r="AZ283" s="39"/>
      <c r="BA283" s="39"/>
      <c r="BB283" s="39"/>
      <c r="BC283" s="39"/>
      <c r="BD283" s="39"/>
      <c r="BE283" s="39"/>
      <c r="BF283" s="39"/>
      <c r="BG283" s="39"/>
      <c r="BH283" s="39"/>
      <c r="BI283" s="39"/>
      <c r="BJ283" s="39"/>
      <c r="BK283" s="39"/>
      <c r="BL283" s="39"/>
      <c r="BM283" s="39"/>
    </row>
    <row r="284" spans="1:65" customFormat="1" ht="50.25" hidden="1" customHeight="1">
      <c r="A284" s="224" t="s">
        <v>248</v>
      </c>
      <c r="B284" s="224" t="s">
        <v>747</v>
      </c>
      <c r="C284" s="215" t="s">
        <v>748</v>
      </c>
      <c r="D284" s="216" t="s">
        <v>244</v>
      </c>
      <c r="E284" s="230">
        <v>46121</v>
      </c>
      <c r="F284" s="230">
        <v>46121</v>
      </c>
      <c r="G284" s="224">
        <v>32</v>
      </c>
      <c r="H284" s="256">
        <v>28</v>
      </c>
      <c r="I284" s="237">
        <f>SUM(N284:AB284)</f>
        <v>0</v>
      </c>
      <c r="J284" s="221">
        <f t="shared" si="13"/>
        <v>-0.125</v>
      </c>
      <c r="K284" s="216">
        <v>0</v>
      </c>
      <c r="L284" s="221" t="str">
        <f t="shared" si="14"/>
        <v>Normal</v>
      </c>
      <c r="M284" s="224"/>
      <c r="N284" s="216"/>
      <c r="O284" s="216"/>
      <c r="P284" s="224"/>
      <c r="Q284" s="216"/>
      <c r="R284" s="216"/>
      <c r="S284" s="216"/>
      <c r="T284" s="216"/>
      <c r="U284" s="216"/>
      <c r="V284" s="216"/>
      <c r="W284" s="249"/>
      <c r="X284" s="249"/>
      <c r="Y284" s="249"/>
      <c r="Z284" s="249"/>
      <c r="AA284" s="249"/>
      <c r="AB284" s="249"/>
      <c r="AC284" s="249"/>
      <c r="AD284" s="249"/>
      <c r="AE284" s="249"/>
      <c r="AF284" s="249"/>
      <c r="AG284" s="249"/>
      <c r="AH284" s="249"/>
      <c r="AI284" s="249"/>
      <c r="AJ284" s="249"/>
      <c r="AK284" s="74"/>
      <c r="AL284" s="74"/>
      <c r="AM284" s="74"/>
      <c r="AN284" s="74"/>
      <c r="AO284" s="74"/>
      <c r="AP284" s="74"/>
      <c r="AQ284" s="74"/>
      <c r="AR284" s="74"/>
      <c r="AS284" s="74"/>
      <c r="AT284" s="74"/>
      <c r="AU284" s="39"/>
      <c r="AV284" s="39"/>
      <c r="AW284" s="39"/>
      <c r="AX284" s="39"/>
      <c r="AY284" s="39"/>
      <c r="AZ284" s="39"/>
      <c r="BA284" s="39"/>
      <c r="BB284" s="39"/>
      <c r="BC284" s="39"/>
      <c r="BD284" s="39"/>
      <c r="BE284" s="39"/>
      <c r="BF284" s="39"/>
      <c r="BG284" s="39"/>
      <c r="BH284" s="39"/>
      <c r="BI284" s="39"/>
      <c r="BJ284" s="39"/>
      <c r="BK284" s="39"/>
      <c r="BL284" s="39"/>
      <c r="BM284" s="39"/>
    </row>
    <row r="285" spans="1:65" customFormat="1" ht="50.25" hidden="1" customHeight="1">
      <c r="A285" s="224" t="s">
        <v>248</v>
      </c>
      <c r="B285" s="224" t="s">
        <v>757</v>
      </c>
      <c r="C285" s="215" t="s">
        <v>758</v>
      </c>
      <c r="D285" s="216" t="s">
        <v>298</v>
      </c>
      <c r="E285" s="230">
        <v>46142</v>
      </c>
      <c r="F285" s="230">
        <v>46142</v>
      </c>
      <c r="G285" s="224">
        <v>10</v>
      </c>
      <c r="H285" s="256">
        <v>0</v>
      </c>
      <c r="I285" s="237">
        <f>SUM(N285:AB285)</f>
        <v>0</v>
      </c>
      <c r="J285" s="221">
        <f t="shared" si="13"/>
        <v>-1</v>
      </c>
      <c r="K285" s="216">
        <v>0</v>
      </c>
      <c r="L285" s="221" t="str">
        <f t="shared" si="14"/>
        <v>Normal</v>
      </c>
      <c r="M285" s="224"/>
      <c r="N285" s="216"/>
      <c r="O285" s="216"/>
      <c r="P285" s="216"/>
      <c r="Q285" s="216"/>
      <c r="R285" s="216"/>
      <c r="S285" s="216"/>
      <c r="T285" s="216"/>
      <c r="U285" s="216"/>
      <c r="V285" s="216"/>
      <c r="W285" s="249"/>
      <c r="X285" s="249"/>
      <c r="Y285" s="249"/>
      <c r="Z285" s="249"/>
      <c r="AA285" s="249"/>
      <c r="AB285" s="249"/>
      <c r="AC285" s="249"/>
      <c r="AD285" s="249"/>
      <c r="AE285" s="249"/>
      <c r="AF285" s="249"/>
      <c r="AG285" s="249"/>
      <c r="AH285" s="249"/>
      <c r="AI285" s="249"/>
      <c r="AJ285" s="249"/>
      <c r="AK285" s="74"/>
      <c r="AL285" s="74"/>
      <c r="AM285" s="74"/>
      <c r="AN285" s="74"/>
      <c r="AO285" s="74"/>
      <c r="AP285" s="74"/>
      <c r="AQ285" s="74"/>
      <c r="AR285" s="74"/>
      <c r="AS285" s="74"/>
      <c r="AT285" s="74"/>
      <c r="AU285" s="39"/>
      <c r="AV285" s="39"/>
      <c r="AW285" s="39"/>
      <c r="AX285" s="39"/>
      <c r="AY285" s="39"/>
      <c r="AZ285" s="39"/>
      <c r="BA285" s="39"/>
      <c r="BB285" s="39"/>
      <c r="BC285" s="39"/>
      <c r="BD285" s="39"/>
      <c r="BE285" s="39"/>
      <c r="BF285" s="39"/>
      <c r="BG285" s="39"/>
      <c r="BH285" s="39"/>
      <c r="BI285" s="39"/>
      <c r="BJ285" s="39"/>
      <c r="BK285" s="39"/>
      <c r="BL285" s="39"/>
      <c r="BM285" s="39"/>
    </row>
    <row r="286" spans="1:65" customFormat="1" ht="50.25" hidden="1" customHeight="1">
      <c r="A286" s="234" t="s">
        <v>248</v>
      </c>
      <c r="B286" s="224" t="s">
        <v>759</v>
      </c>
      <c r="C286" s="215" t="s">
        <v>760</v>
      </c>
      <c r="D286" s="216" t="s">
        <v>244</v>
      </c>
      <c r="E286" s="230">
        <v>46129</v>
      </c>
      <c r="F286" s="230">
        <v>46127</v>
      </c>
      <c r="G286" s="224">
        <v>32</v>
      </c>
      <c r="H286" s="256">
        <v>38</v>
      </c>
      <c r="I286" s="237">
        <f>SUM(N286:AB286)</f>
        <v>0</v>
      </c>
      <c r="J286" s="221">
        <f t="shared" si="13"/>
        <v>0.1875</v>
      </c>
      <c r="K286" s="216">
        <v>0</v>
      </c>
      <c r="L286" s="221" t="str">
        <f t="shared" si="14"/>
        <v>Normal</v>
      </c>
      <c r="M286" s="224"/>
      <c r="N286" s="216"/>
      <c r="O286" s="216"/>
      <c r="P286" s="216"/>
      <c r="Q286" s="216"/>
      <c r="R286" s="216"/>
      <c r="S286" s="216"/>
      <c r="T286" s="216"/>
      <c r="U286" s="216"/>
      <c r="V286" s="216"/>
      <c r="W286" s="249"/>
      <c r="X286" s="249"/>
      <c r="Y286" s="249"/>
      <c r="Z286" s="249"/>
      <c r="AA286" s="249"/>
      <c r="AB286" s="249"/>
      <c r="AC286" s="249"/>
      <c r="AD286" s="249"/>
      <c r="AE286" s="249"/>
      <c r="AF286" s="249"/>
      <c r="AG286" s="249"/>
      <c r="AH286" s="249"/>
      <c r="AI286" s="249"/>
      <c r="AJ286" s="249"/>
      <c r="AK286" s="74"/>
      <c r="AL286" s="74"/>
      <c r="AM286" s="74"/>
      <c r="AN286" s="74"/>
      <c r="AO286" s="74"/>
      <c r="AP286" s="74"/>
      <c r="AQ286" s="74"/>
      <c r="AR286" s="74"/>
      <c r="AS286" s="74"/>
      <c r="AT286" s="74"/>
      <c r="AU286" s="39"/>
      <c r="AV286" s="39"/>
      <c r="AW286" s="39"/>
      <c r="AX286" s="39"/>
      <c r="AY286" s="39"/>
      <c r="AZ286" s="39"/>
      <c r="BA286" s="39"/>
      <c r="BB286" s="39"/>
      <c r="BC286" s="39"/>
      <c r="BD286" s="39"/>
      <c r="BE286" s="39"/>
      <c r="BF286" s="39"/>
      <c r="BG286" s="39"/>
      <c r="BH286" s="39"/>
      <c r="BI286" s="39"/>
      <c r="BJ286" s="39"/>
      <c r="BK286" s="39"/>
      <c r="BL286" s="39"/>
      <c r="BM286" s="39"/>
    </row>
    <row r="287" spans="1:65" customFormat="1" ht="50.25" hidden="1" customHeight="1">
      <c r="A287" s="234" t="s">
        <v>248</v>
      </c>
      <c r="B287" s="224" t="s">
        <v>761</v>
      </c>
      <c r="C287" s="215" t="s">
        <v>762</v>
      </c>
      <c r="D287" s="216" t="s">
        <v>298</v>
      </c>
      <c r="E287" s="230">
        <v>46134</v>
      </c>
      <c r="F287" s="230">
        <v>46139</v>
      </c>
      <c r="G287" s="224">
        <v>40</v>
      </c>
      <c r="H287" s="256">
        <v>51</v>
      </c>
      <c r="I287" s="237">
        <f>SUM(N287:AB287)</f>
        <v>0</v>
      </c>
      <c r="J287" s="221">
        <f t="shared" si="13"/>
        <v>0.27500000000000002</v>
      </c>
      <c r="K287" s="216">
        <v>0</v>
      </c>
      <c r="L287" s="221" t="str">
        <f t="shared" si="14"/>
        <v>Normal</v>
      </c>
      <c r="M287" s="224"/>
      <c r="N287" s="216"/>
      <c r="O287" s="216"/>
      <c r="P287" s="224"/>
      <c r="Q287" s="216"/>
      <c r="R287" s="216"/>
      <c r="S287" s="216"/>
      <c r="T287" s="216"/>
      <c r="U287" s="216"/>
      <c r="V287" s="216"/>
      <c r="W287" s="249"/>
      <c r="X287" s="249"/>
      <c r="Y287" s="249"/>
      <c r="Z287" s="249"/>
      <c r="AA287" s="249"/>
      <c r="AB287" s="249"/>
      <c r="AC287" s="249"/>
      <c r="AD287" s="249"/>
      <c r="AE287" s="249"/>
      <c r="AF287" s="249"/>
      <c r="AG287" s="249"/>
      <c r="AH287" s="249"/>
      <c r="AI287" s="249"/>
      <c r="AJ287" s="249"/>
      <c r="AK287" s="74"/>
      <c r="AL287" s="74"/>
      <c r="AM287" s="74"/>
      <c r="AN287" s="74"/>
      <c r="AO287" s="74"/>
      <c r="AP287" s="74"/>
      <c r="AQ287" s="74"/>
      <c r="AR287" s="74"/>
      <c r="AS287" s="74"/>
      <c r="AT287" s="74"/>
      <c r="AU287" s="39"/>
      <c r="AV287" s="39"/>
      <c r="AW287" s="39"/>
      <c r="AX287" s="39"/>
      <c r="AY287" s="39"/>
      <c r="AZ287" s="39"/>
      <c r="BA287" s="39"/>
      <c r="BB287" s="39"/>
      <c r="BC287" s="39"/>
      <c r="BD287" s="39"/>
      <c r="BE287" s="39"/>
      <c r="BF287" s="39"/>
      <c r="BG287" s="39"/>
      <c r="BH287" s="39"/>
      <c r="BI287" s="39"/>
      <c r="BJ287" s="39"/>
      <c r="BK287" s="39"/>
      <c r="BL287" s="39"/>
      <c r="BM287" s="39"/>
    </row>
    <row r="288" spans="1:65" customFormat="1" ht="50.25" hidden="1" customHeight="1">
      <c r="A288" s="234" t="s">
        <v>248</v>
      </c>
      <c r="B288" s="224" t="s">
        <v>763</v>
      </c>
      <c r="C288" s="215" t="s">
        <v>764</v>
      </c>
      <c r="D288" s="216" t="s">
        <v>307</v>
      </c>
      <c r="E288" s="230">
        <v>46148</v>
      </c>
      <c r="F288" s="230">
        <v>46148</v>
      </c>
      <c r="G288" s="224">
        <v>24</v>
      </c>
      <c r="H288" s="256">
        <v>25</v>
      </c>
      <c r="I288" s="237">
        <f>SUM(N288:AB288)</f>
        <v>0</v>
      </c>
      <c r="J288" s="221">
        <f t="shared" si="13"/>
        <v>4.1666666666666664E-2</v>
      </c>
      <c r="K288" s="216">
        <v>0</v>
      </c>
      <c r="L288" s="221" t="str">
        <f t="shared" si="14"/>
        <v>Normal</v>
      </c>
      <c r="M288" s="224"/>
      <c r="N288" s="216"/>
      <c r="O288" s="216"/>
      <c r="P288" s="216"/>
      <c r="Q288" s="216"/>
      <c r="R288" s="216"/>
      <c r="S288" s="216"/>
      <c r="T288" s="216"/>
      <c r="U288" s="216"/>
      <c r="V288" s="216"/>
      <c r="W288" s="249"/>
      <c r="X288" s="249"/>
      <c r="Y288" s="249"/>
      <c r="Z288" s="249"/>
      <c r="AA288" s="249"/>
      <c r="AB288" s="249"/>
      <c r="AC288" s="249"/>
      <c r="AD288" s="249"/>
      <c r="AE288" s="249"/>
      <c r="AF288" s="249"/>
      <c r="AG288" s="249"/>
      <c r="AH288" s="249"/>
      <c r="AI288" s="249"/>
      <c r="AJ288" s="249"/>
      <c r="AK288" s="74"/>
      <c r="AL288" s="74"/>
      <c r="AM288" s="74"/>
      <c r="AN288" s="74"/>
      <c r="AO288" s="74"/>
      <c r="AP288" s="74"/>
      <c r="AQ288" s="74"/>
      <c r="AR288" s="74"/>
      <c r="AS288" s="74"/>
      <c r="AT288" s="74"/>
      <c r="AU288" s="39"/>
      <c r="AV288" s="39"/>
      <c r="AW288" s="39"/>
      <c r="AX288" s="39"/>
      <c r="AY288" s="39"/>
      <c r="AZ288" s="39"/>
      <c r="BA288" s="39"/>
      <c r="BB288" s="39"/>
      <c r="BC288" s="39"/>
      <c r="BD288" s="39"/>
      <c r="BE288" s="39"/>
      <c r="BF288" s="39"/>
      <c r="BG288" s="39"/>
      <c r="BH288" s="39"/>
      <c r="BI288" s="39"/>
      <c r="BJ288" s="39"/>
      <c r="BK288" s="39"/>
      <c r="BL288" s="39"/>
      <c r="BM288" s="39"/>
    </row>
    <row r="289" spans="1:65" customFormat="1" ht="50.25" hidden="1" customHeight="1">
      <c r="A289" s="234" t="s">
        <v>248</v>
      </c>
      <c r="B289" s="224" t="s">
        <v>765</v>
      </c>
      <c r="C289" s="215" t="s">
        <v>766</v>
      </c>
      <c r="D289" s="216" t="s">
        <v>113</v>
      </c>
      <c r="E289" s="230">
        <v>46141</v>
      </c>
      <c r="F289" s="230">
        <v>46141</v>
      </c>
      <c r="G289" s="224">
        <v>6</v>
      </c>
      <c r="H289" s="256">
        <v>6</v>
      </c>
      <c r="I289" s="237">
        <f>SUM(N289:AB289)</f>
        <v>0</v>
      </c>
      <c r="J289" s="221">
        <f t="shared" si="13"/>
        <v>0</v>
      </c>
      <c r="K289" s="216">
        <v>0</v>
      </c>
      <c r="L289" s="221" t="str">
        <f t="shared" si="14"/>
        <v>Normal</v>
      </c>
      <c r="M289" s="224"/>
      <c r="N289" s="216"/>
      <c r="O289" s="216"/>
      <c r="P289" s="216"/>
      <c r="Q289" s="216"/>
      <c r="R289" s="216"/>
      <c r="S289" s="216"/>
      <c r="T289" s="216"/>
      <c r="U289" s="216"/>
      <c r="V289" s="216"/>
      <c r="W289" s="249"/>
      <c r="X289" s="249"/>
      <c r="Y289" s="249"/>
      <c r="Z289" s="249"/>
      <c r="AA289" s="249"/>
      <c r="AB289" s="249"/>
      <c r="AC289" s="249"/>
      <c r="AD289" s="249"/>
      <c r="AE289" s="249"/>
      <c r="AF289" s="249"/>
      <c r="AG289" s="249"/>
      <c r="AH289" s="249"/>
      <c r="AI289" s="249"/>
      <c r="AJ289" s="249"/>
      <c r="AK289" s="74"/>
      <c r="AL289" s="74"/>
      <c r="AM289" s="74"/>
      <c r="AN289" s="74"/>
      <c r="AO289" s="74"/>
      <c r="AP289" s="74"/>
      <c r="AQ289" s="74"/>
      <c r="AR289" s="74"/>
      <c r="AS289" s="74"/>
      <c r="AT289" s="74"/>
      <c r="AU289" s="39"/>
      <c r="AV289" s="39"/>
      <c r="AW289" s="39"/>
      <c r="AX289" s="39"/>
      <c r="AY289" s="39"/>
      <c r="AZ289" s="39"/>
      <c r="BA289" s="39"/>
      <c r="BB289" s="39"/>
      <c r="BC289" s="39"/>
      <c r="BD289" s="39"/>
      <c r="BE289" s="39"/>
      <c r="BF289" s="39"/>
      <c r="BG289" s="39"/>
      <c r="BH289" s="39"/>
      <c r="BI289" s="39"/>
      <c r="BJ289" s="39"/>
      <c r="BK289" s="39"/>
      <c r="BL289" s="39"/>
      <c r="BM289" s="39"/>
    </row>
    <row r="290" spans="1:65" customFormat="1" ht="50.25" hidden="1" customHeight="1">
      <c r="A290" s="234" t="s">
        <v>248</v>
      </c>
      <c r="B290" s="224" t="s">
        <v>767</v>
      </c>
      <c r="C290" s="215" t="s">
        <v>768</v>
      </c>
      <c r="D290" s="216" t="s">
        <v>298</v>
      </c>
      <c r="E290" s="230">
        <v>46149</v>
      </c>
      <c r="F290" s="230">
        <v>46146</v>
      </c>
      <c r="G290" s="224">
        <v>32</v>
      </c>
      <c r="H290" s="256">
        <v>8</v>
      </c>
      <c r="I290" s="237">
        <f>SUM(N290:AB290)</f>
        <v>0</v>
      </c>
      <c r="J290" s="221">
        <f t="shared" si="13"/>
        <v>-0.75</v>
      </c>
      <c r="K290" s="216">
        <v>0</v>
      </c>
      <c r="L290" s="221" t="str">
        <f t="shared" si="14"/>
        <v>Normal</v>
      </c>
      <c r="M290" s="224"/>
      <c r="N290" s="216"/>
      <c r="O290" s="216"/>
      <c r="P290" s="216"/>
      <c r="Q290" s="216"/>
      <c r="R290" s="216"/>
      <c r="S290" s="216"/>
      <c r="T290" s="216"/>
      <c r="U290" s="216"/>
      <c r="V290" s="216"/>
      <c r="W290" s="249"/>
      <c r="X290" s="249"/>
      <c r="Y290" s="249"/>
      <c r="Z290" s="249"/>
      <c r="AA290" s="249"/>
      <c r="AB290" s="249"/>
      <c r="AC290" s="249"/>
      <c r="AD290" s="249"/>
      <c r="AE290" s="249"/>
      <c r="AF290" s="249"/>
      <c r="AG290" s="249"/>
      <c r="AH290" s="249"/>
      <c r="AI290" s="249"/>
      <c r="AJ290" s="249"/>
      <c r="AK290" s="74"/>
      <c r="AL290" s="74"/>
      <c r="AM290" s="74"/>
      <c r="AN290" s="74"/>
      <c r="AO290" s="74"/>
      <c r="AP290" s="74"/>
      <c r="AQ290" s="74"/>
      <c r="AR290" s="74"/>
      <c r="AS290" s="74"/>
      <c r="AT290" s="74"/>
      <c r="AU290" s="39"/>
      <c r="AV290" s="39"/>
      <c r="AW290" s="39"/>
      <c r="AX290" s="39"/>
      <c r="AY290" s="39"/>
      <c r="AZ290" s="39"/>
      <c r="BA290" s="39"/>
      <c r="BB290" s="39"/>
      <c r="BC290" s="39"/>
      <c r="BD290" s="39"/>
      <c r="BE290" s="39"/>
      <c r="BF290" s="39"/>
      <c r="BG290" s="39"/>
      <c r="BH290" s="39"/>
      <c r="BI290" s="39"/>
      <c r="BJ290" s="39"/>
      <c r="BK290" s="39"/>
      <c r="BL290" s="39"/>
      <c r="BM290" s="39"/>
    </row>
    <row r="291" spans="1:65" customFormat="1" ht="50.25" hidden="1" customHeight="1">
      <c r="A291" s="234" t="s">
        <v>248</v>
      </c>
      <c r="B291" s="224" t="s">
        <v>769</v>
      </c>
      <c r="C291" s="215" t="s">
        <v>770</v>
      </c>
      <c r="D291" s="216" t="s">
        <v>113</v>
      </c>
      <c r="E291" s="230">
        <v>46150</v>
      </c>
      <c r="F291" s="230">
        <v>46148</v>
      </c>
      <c r="G291" s="224">
        <v>32</v>
      </c>
      <c r="H291" s="256">
        <v>21</v>
      </c>
      <c r="I291" s="237">
        <f>SUM(N291:AB291)</f>
        <v>0</v>
      </c>
      <c r="J291" s="221">
        <f t="shared" si="13"/>
        <v>-0.34375</v>
      </c>
      <c r="K291" s="216">
        <v>0</v>
      </c>
      <c r="L291" s="221" t="str">
        <f t="shared" si="14"/>
        <v>Normal</v>
      </c>
      <c r="M291" s="224"/>
      <c r="N291" s="216"/>
      <c r="O291" s="216"/>
      <c r="P291" s="216"/>
      <c r="Q291" s="216"/>
      <c r="R291" s="216"/>
      <c r="S291" s="216"/>
      <c r="T291" s="216"/>
      <c r="U291" s="216"/>
      <c r="V291" s="216"/>
      <c r="W291" s="249"/>
      <c r="X291" s="249"/>
      <c r="Y291" s="249"/>
      <c r="Z291" s="249"/>
      <c r="AA291" s="249"/>
      <c r="AB291" s="249"/>
      <c r="AC291" s="249"/>
      <c r="AD291" s="249"/>
      <c r="AE291" s="249"/>
      <c r="AF291" s="249"/>
      <c r="AG291" s="249"/>
      <c r="AH291" s="249"/>
      <c r="AI291" s="249"/>
      <c r="AJ291" s="249"/>
      <c r="AK291" s="74"/>
      <c r="AL291" s="74"/>
      <c r="AM291" s="74"/>
      <c r="AN291" s="74"/>
      <c r="AO291" s="74"/>
      <c r="AP291" s="74"/>
      <c r="AQ291" s="74"/>
      <c r="AR291" s="74"/>
      <c r="AS291" s="74"/>
      <c r="AT291" s="74"/>
      <c r="AU291" s="39"/>
      <c r="AV291" s="39"/>
      <c r="AW291" s="39"/>
      <c r="AX291" s="39"/>
      <c r="AY291" s="39"/>
      <c r="AZ291" s="39"/>
      <c r="BA291" s="39"/>
      <c r="BB291" s="39"/>
      <c r="BC291" s="39"/>
      <c r="BD291" s="39"/>
      <c r="BE291" s="39"/>
      <c r="BF291" s="39"/>
      <c r="BG291" s="39"/>
      <c r="BH291" s="39"/>
      <c r="BI291" s="39"/>
      <c r="BJ291" s="39"/>
      <c r="BK291" s="39"/>
      <c r="BL291" s="39"/>
      <c r="BM291" s="39"/>
    </row>
    <row r="292" spans="1:65" customFormat="1" ht="50.25" hidden="1" customHeight="1">
      <c r="A292" s="234" t="s">
        <v>248</v>
      </c>
      <c r="B292" s="224" t="s">
        <v>771</v>
      </c>
      <c r="C292" s="215" t="s">
        <v>772</v>
      </c>
      <c r="D292" s="216" t="s">
        <v>298</v>
      </c>
      <c r="E292" s="230">
        <v>46171</v>
      </c>
      <c r="F292" s="230">
        <v>46171</v>
      </c>
      <c r="G292" s="224">
        <v>9.5</v>
      </c>
      <c r="H292" s="256">
        <v>0</v>
      </c>
      <c r="I292" s="237">
        <f>SUM(N292:AB292)</f>
        <v>0</v>
      </c>
      <c r="J292" s="221">
        <f t="shared" si="13"/>
        <v>-1</v>
      </c>
      <c r="K292" s="216">
        <v>0</v>
      </c>
      <c r="L292" s="221" t="str">
        <f t="shared" si="14"/>
        <v>Normal</v>
      </c>
      <c r="M292" s="224"/>
      <c r="N292" s="216"/>
      <c r="O292" s="216"/>
      <c r="P292" s="216"/>
      <c r="Q292" s="216"/>
      <c r="R292" s="216"/>
      <c r="S292" s="216"/>
      <c r="T292" s="216"/>
      <c r="U292" s="216"/>
      <c r="V292" s="216"/>
      <c r="W292" s="249"/>
      <c r="X292" s="249"/>
      <c r="Y292" s="249"/>
      <c r="Z292" s="249"/>
      <c r="AA292" s="249"/>
      <c r="AB292" s="249"/>
      <c r="AC292" s="249"/>
      <c r="AD292" s="249"/>
      <c r="AE292" s="249"/>
      <c r="AF292" s="249"/>
      <c r="AG292" s="249"/>
      <c r="AH292" s="249"/>
      <c r="AI292" s="249"/>
      <c r="AJ292" s="249"/>
      <c r="AK292" s="74"/>
      <c r="AL292" s="74"/>
      <c r="AM292" s="74"/>
      <c r="AN292" s="74"/>
      <c r="AO292" s="74"/>
      <c r="AP292" s="74"/>
      <c r="AQ292" s="74"/>
      <c r="AR292" s="74"/>
      <c r="AS292" s="74"/>
      <c r="AT292" s="74"/>
      <c r="AU292" s="39"/>
      <c r="AV292" s="39"/>
      <c r="AW292" s="39"/>
      <c r="AX292" s="39"/>
      <c r="AY292" s="39"/>
      <c r="AZ292" s="39"/>
      <c r="BA292" s="39"/>
      <c r="BB292" s="39"/>
      <c r="BC292" s="39"/>
      <c r="BD292" s="39"/>
      <c r="BE292" s="39"/>
      <c r="BF292" s="39"/>
      <c r="BG292" s="39"/>
      <c r="BH292" s="39"/>
      <c r="BI292" s="39"/>
      <c r="BJ292" s="39"/>
      <c r="BK292" s="39"/>
      <c r="BL292" s="39"/>
      <c r="BM292" s="39"/>
    </row>
    <row r="293" spans="1:65" customFormat="1" ht="50.25" hidden="1" customHeight="1">
      <c r="A293" s="234" t="s">
        <v>248</v>
      </c>
      <c r="B293" s="224" t="s">
        <v>773</v>
      </c>
      <c r="C293" s="215" t="s">
        <v>774</v>
      </c>
      <c r="D293" s="216" t="s">
        <v>113</v>
      </c>
      <c r="E293" s="230">
        <v>46150</v>
      </c>
      <c r="F293" s="230">
        <v>46150</v>
      </c>
      <c r="G293" s="224">
        <v>8</v>
      </c>
      <c r="H293" s="256">
        <v>6</v>
      </c>
      <c r="I293" s="237">
        <f>SUM(N293:AB293)</f>
        <v>0</v>
      </c>
      <c r="J293" s="221">
        <f t="shared" si="13"/>
        <v>-0.25</v>
      </c>
      <c r="K293" s="216">
        <v>0</v>
      </c>
      <c r="L293" s="221" t="str">
        <f t="shared" si="14"/>
        <v>Normal</v>
      </c>
      <c r="M293" s="224"/>
      <c r="N293" s="216"/>
      <c r="O293" s="216"/>
      <c r="P293" s="216"/>
      <c r="Q293" s="216"/>
      <c r="R293" s="216"/>
      <c r="S293" s="216"/>
      <c r="T293" s="216"/>
      <c r="U293" s="216"/>
      <c r="V293" s="216"/>
      <c r="W293" s="249"/>
      <c r="X293" s="249"/>
      <c r="Y293" s="249"/>
      <c r="Z293" s="249"/>
      <c r="AA293" s="249"/>
      <c r="AB293" s="249"/>
      <c r="AC293" s="249"/>
      <c r="AD293" s="249"/>
      <c r="AE293" s="249"/>
      <c r="AF293" s="249"/>
      <c r="AG293" s="249"/>
      <c r="AH293" s="249"/>
      <c r="AI293" s="249"/>
      <c r="AJ293" s="249"/>
      <c r="AK293" s="74"/>
      <c r="AL293" s="74"/>
      <c r="AM293" s="74"/>
      <c r="AN293" s="74"/>
      <c r="AO293" s="74"/>
      <c r="AP293" s="74"/>
      <c r="AQ293" s="74"/>
      <c r="AR293" s="74"/>
      <c r="AS293" s="74"/>
      <c r="AT293" s="74"/>
      <c r="AU293" s="39"/>
      <c r="AV293" s="39"/>
      <c r="AW293" s="39"/>
      <c r="AX293" s="39"/>
      <c r="AY293" s="39"/>
      <c r="AZ293" s="39"/>
      <c r="BA293" s="39"/>
      <c r="BB293" s="39"/>
      <c r="BC293" s="39"/>
      <c r="BD293" s="39"/>
      <c r="BE293" s="39"/>
      <c r="BF293" s="39"/>
      <c r="BG293" s="39"/>
      <c r="BH293" s="39"/>
      <c r="BI293" s="39"/>
      <c r="BJ293" s="39"/>
      <c r="BK293" s="39"/>
      <c r="BL293" s="39"/>
      <c r="BM293" s="39"/>
    </row>
    <row r="294" spans="1:65" customFormat="1" ht="50.25" hidden="1" customHeight="1">
      <c r="A294" s="234" t="s">
        <v>248</v>
      </c>
      <c r="B294" s="224" t="s">
        <v>775</v>
      </c>
      <c r="C294" s="215" t="s">
        <v>776</v>
      </c>
      <c r="D294" s="216" t="s">
        <v>113</v>
      </c>
      <c r="E294" s="230">
        <v>46150</v>
      </c>
      <c r="F294" s="230">
        <v>46150</v>
      </c>
      <c r="G294" s="224">
        <v>16</v>
      </c>
      <c r="H294" s="256">
        <v>4</v>
      </c>
      <c r="I294" s="237">
        <f>SUM(N294:AB294)</f>
        <v>0</v>
      </c>
      <c r="J294" s="221">
        <f t="shared" si="13"/>
        <v>-0.75</v>
      </c>
      <c r="K294" s="216">
        <v>0</v>
      </c>
      <c r="L294" s="221" t="str">
        <f t="shared" si="14"/>
        <v>Normal</v>
      </c>
      <c r="M294" s="224"/>
      <c r="N294" s="216"/>
      <c r="O294" s="216"/>
      <c r="P294" s="216"/>
      <c r="Q294" s="216"/>
      <c r="R294" s="216"/>
      <c r="S294" s="216"/>
      <c r="T294" s="216"/>
      <c r="U294" s="216"/>
      <c r="V294" s="216"/>
      <c r="W294" s="249"/>
      <c r="X294" s="249"/>
      <c r="Y294" s="249"/>
      <c r="Z294" s="249"/>
      <c r="AA294" s="249"/>
      <c r="AB294" s="249"/>
      <c r="AC294" s="249"/>
      <c r="AD294" s="249"/>
      <c r="AE294" s="249"/>
      <c r="AF294" s="249"/>
      <c r="AG294" s="249"/>
      <c r="AH294" s="249"/>
      <c r="AI294" s="249"/>
      <c r="AJ294" s="249"/>
      <c r="AK294" s="74"/>
      <c r="AL294" s="74"/>
      <c r="AM294" s="74"/>
      <c r="AN294" s="74"/>
      <c r="AO294" s="74"/>
      <c r="AP294" s="74"/>
      <c r="AQ294" s="74"/>
      <c r="AR294" s="74"/>
      <c r="AS294" s="74"/>
      <c r="AT294" s="74"/>
      <c r="AU294" s="39"/>
      <c r="AV294" s="39"/>
      <c r="AW294" s="39"/>
      <c r="AX294" s="39"/>
      <c r="AY294" s="39"/>
      <c r="AZ294" s="39"/>
      <c r="BA294" s="39"/>
      <c r="BB294" s="39"/>
      <c r="BC294" s="39"/>
      <c r="BD294" s="39"/>
      <c r="BE294" s="39"/>
      <c r="BF294" s="39"/>
      <c r="BG294" s="39"/>
      <c r="BH294" s="39"/>
      <c r="BI294" s="39"/>
      <c r="BJ294" s="39"/>
      <c r="BK294" s="39"/>
      <c r="BL294" s="39"/>
      <c r="BM294" s="39"/>
    </row>
    <row r="295" spans="1:65" customFormat="1" ht="50.25" hidden="1" customHeight="1">
      <c r="A295" s="234" t="s">
        <v>248</v>
      </c>
      <c r="B295" s="224" t="s">
        <v>777</v>
      </c>
      <c r="C295" s="215" t="s">
        <v>778</v>
      </c>
      <c r="D295" s="216" t="s">
        <v>298</v>
      </c>
      <c r="E295" s="230">
        <v>46161</v>
      </c>
      <c r="F295" s="230">
        <v>46157</v>
      </c>
      <c r="G295" s="224">
        <v>8</v>
      </c>
      <c r="H295" s="256">
        <v>8</v>
      </c>
      <c r="I295" s="237">
        <f>SUM(N295:AB295)</f>
        <v>0</v>
      </c>
      <c r="J295" s="221">
        <f t="shared" si="13"/>
        <v>0</v>
      </c>
      <c r="K295" s="216">
        <v>0</v>
      </c>
      <c r="L295" s="221" t="str">
        <f t="shared" si="14"/>
        <v>Normal</v>
      </c>
      <c r="M295" s="224"/>
      <c r="N295" s="216"/>
      <c r="O295" s="216"/>
      <c r="P295" s="216"/>
      <c r="Q295" s="216"/>
      <c r="R295" s="216"/>
      <c r="S295" s="216"/>
      <c r="T295" s="216"/>
      <c r="U295" s="216"/>
      <c r="V295" s="216"/>
      <c r="W295" s="249"/>
      <c r="X295" s="249"/>
      <c r="Y295" s="249"/>
      <c r="Z295" s="249"/>
      <c r="AA295" s="249"/>
      <c r="AB295" s="249"/>
      <c r="AC295" s="249"/>
      <c r="AD295" s="249"/>
      <c r="AE295" s="249"/>
      <c r="AF295" s="249"/>
      <c r="AG295" s="249"/>
      <c r="AH295" s="249"/>
      <c r="AI295" s="249"/>
      <c r="AJ295" s="249"/>
      <c r="AK295" s="74"/>
      <c r="AL295" s="74"/>
      <c r="AM295" s="74"/>
      <c r="AN295" s="74"/>
      <c r="AO295" s="74"/>
      <c r="AP295" s="74"/>
      <c r="AQ295" s="74"/>
      <c r="AR295" s="74"/>
      <c r="AS295" s="74"/>
      <c r="AT295" s="74"/>
      <c r="AU295" s="39"/>
      <c r="AV295" s="39"/>
      <c r="AW295" s="39"/>
      <c r="AX295" s="39"/>
      <c r="AY295" s="39"/>
      <c r="AZ295" s="39"/>
      <c r="BA295" s="39"/>
      <c r="BB295" s="39"/>
      <c r="BC295" s="39"/>
      <c r="BD295" s="39"/>
      <c r="BE295" s="39"/>
      <c r="BF295" s="39"/>
      <c r="BG295" s="39"/>
      <c r="BH295" s="39"/>
      <c r="BI295" s="39"/>
      <c r="BJ295" s="39"/>
      <c r="BK295" s="39"/>
      <c r="BL295" s="39"/>
      <c r="BM295" s="39"/>
    </row>
    <row r="296" spans="1:65" customFormat="1" ht="50.25" hidden="1" customHeight="1">
      <c r="A296" s="234" t="s">
        <v>248</v>
      </c>
      <c r="B296" s="224" t="s">
        <v>779</v>
      </c>
      <c r="C296" s="215" t="s">
        <v>780</v>
      </c>
      <c r="D296" s="216" t="s">
        <v>113</v>
      </c>
      <c r="E296" s="230">
        <v>46162</v>
      </c>
      <c r="F296" s="230">
        <v>46162</v>
      </c>
      <c r="G296" s="224">
        <v>16</v>
      </c>
      <c r="H296" s="256">
        <v>16</v>
      </c>
      <c r="I296" s="237">
        <f>SUM(N296:AB296)</f>
        <v>0</v>
      </c>
      <c r="J296" s="221">
        <f t="shared" si="13"/>
        <v>0</v>
      </c>
      <c r="K296" s="216">
        <v>0</v>
      </c>
      <c r="L296" s="221" t="str">
        <f t="shared" si="14"/>
        <v>Normal</v>
      </c>
      <c r="M296" s="224"/>
      <c r="N296" s="216"/>
      <c r="O296" s="216"/>
      <c r="P296" s="216"/>
      <c r="Q296" s="216"/>
      <c r="R296" s="216"/>
      <c r="S296" s="216"/>
      <c r="T296" s="216"/>
      <c r="U296" s="216"/>
      <c r="V296" s="216"/>
      <c r="W296" s="249"/>
      <c r="X296" s="249"/>
      <c r="Y296" s="249"/>
      <c r="Z296" s="249"/>
      <c r="AA296" s="249"/>
      <c r="AB296" s="249"/>
      <c r="AC296" s="249"/>
      <c r="AD296" s="249"/>
      <c r="AE296" s="249"/>
      <c r="AF296" s="249"/>
      <c r="AG296" s="249"/>
      <c r="AH296" s="249"/>
      <c r="AI296" s="249"/>
      <c r="AJ296" s="249"/>
      <c r="AK296" s="74"/>
      <c r="AL296" s="74"/>
      <c r="AM296" s="74"/>
      <c r="AN296" s="74"/>
      <c r="AO296" s="74"/>
      <c r="AP296" s="74"/>
      <c r="AQ296" s="74"/>
      <c r="AR296" s="74"/>
      <c r="AS296" s="74"/>
      <c r="AT296" s="74"/>
      <c r="AU296" s="39"/>
      <c r="AV296" s="39"/>
      <c r="AW296" s="39"/>
      <c r="AX296" s="39"/>
      <c r="AY296" s="39"/>
      <c r="AZ296" s="39"/>
      <c r="BA296" s="39"/>
      <c r="BB296" s="39"/>
      <c r="BC296" s="39"/>
      <c r="BD296" s="39"/>
      <c r="BE296" s="39"/>
      <c r="BF296" s="39"/>
      <c r="BG296" s="39"/>
      <c r="BH296" s="39"/>
      <c r="BI296" s="39"/>
      <c r="BJ296" s="39"/>
      <c r="BK296" s="39"/>
      <c r="BL296" s="39"/>
      <c r="BM296" s="39"/>
    </row>
    <row r="297" spans="1:65" customFormat="1" ht="50.25" hidden="1" customHeight="1">
      <c r="A297" s="234" t="s">
        <v>248</v>
      </c>
      <c r="B297" s="224" t="s">
        <v>781</v>
      </c>
      <c r="C297" s="215" t="s">
        <v>780</v>
      </c>
      <c r="D297" s="216" t="s">
        <v>113</v>
      </c>
      <c r="E297" s="230">
        <v>46174</v>
      </c>
      <c r="F297" s="230">
        <v>46162</v>
      </c>
      <c r="G297" s="224">
        <v>24</v>
      </c>
      <c r="H297" s="256">
        <v>24</v>
      </c>
      <c r="I297" s="237">
        <f>SUM(N297:AB297)</f>
        <v>0</v>
      </c>
      <c r="J297" s="221">
        <f t="shared" si="13"/>
        <v>0</v>
      </c>
      <c r="K297" s="216">
        <v>0</v>
      </c>
      <c r="L297" s="221" t="str">
        <f t="shared" si="14"/>
        <v>Normal</v>
      </c>
      <c r="M297" s="224"/>
      <c r="N297" s="216"/>
      <c r="O297" s="216"/>
      <c r="P297" s="216"/>
      <c r="Q297" s="216"/>
      <c r="R297" s="216"/>
      <c r="S297" s="216"/>
      <c r="T297" s="216"/>
      <c r="U297" s="216"/>
      <c r="V297" s="216"/>
      <c r="W297" s="249"/>
      <c r="X297" s="249"/>
      <c r="Y297" s="249"/>
      <c r="Z297" s="249"/>
      <c r="AA297" s="249"/>
      <c r="AB297" s="249"/>
      <c r="AC297" s="249"/>
      <c r="AD297" s="249"/>
      <c r="AE297" s="249"/>
      <c r="AF297" s="249"/>
      <c r="AG297" s="249"/>
      <c r="AH297" s="249"/>
      <c r="AI297" s="249"/>
      <c r="AJ297" s="249"/>
      <c r="AK297" s="74"/>
      <c r="AL297" s="74"/>
      <c r="AM297" s="74"/>
      <c r="AN297" s="74"/>
      <c r="AO297" s="74"/>
      <c r="AP297" s="74"/>
      <c r="AQ297" s="74"/>
      <c r="AR297" s="74"/>
      <c r="AS297" s="74"/>
      <c r="AT297" s="74"/>
      <c r="AU297" s="39"/>
      <c r="AV297" s="39"/>
      <c r="AW297" s="39"/>
      <c r="AX297" s="39"/>
      <c r="AY297" s="39"/>
      <c r="AZ297" s="39"/>
      <c r="BA297" s="39"/>
      <c r="BB297" s="39"/>
      <c r="BC297" s="39"/>
      <c r="BD297" s="39"/>
      <c r="BE297" s="39"/>
      <c r="BF297" s="39"/>
      <c r="BG297" s="39"/>
      <c r="BH297" s="39"/>
      <c r="BI297" s="39"/>
      <c r="BJ297" s="39"/>
      <c r="BK297" s="39"/>
      <c r="BL297" s="39"/>
      <c r="BM297" s="39"/>
    </row>
    <row r="298" spans="1:65" customFormat="1" ht="50.25" hidden="1" customHeight="1">
      <c r="A298" s="234" t="s">
        <v>248</v>
      </c>
      <c r="B298" s="224" t="s">
        <v>782</v>
      </c>
      <c r="C298" s="215" t="s">
        <v>783</v>
      </c>
      <c r="D298" s="216" t="s">
        <v>113</v>
      </c>
      <c r="E298" s="230">
        <v>46175</v>
      </c>
      <c r="F298" s="230"/>
      <c r="G298" s="224">
        <v>24</v>
      </c>
      <c r="H298" s="256">
        <v>22</v>
      </c>
      <c r="I298" s="237">
        <f>SUM(N298:AB298)</f>
        <v>0</v>
      </c>
      <c r="J298" s="221">
        <f t="shared" si="13"/>
        <v>-8.3333333333333329E-2</v>
      </c>
      <c r="K298" s="216">
        <v>0</v>
      </c>
      <c r="L298" s="221" t="str">
        <f t="shared" si="14"/>
        <v>Normal</v>
      </c>
      <c r="M298" s="224"/>
      <c r="N298" s="216"/>
      <c r="O298" s="216"/>
      <c r="P298" s="216"/>
      <c r="Q298" s="216"/>
      <c r="R298" s="216"/>
      <c r="S298" s="216"/>
      <c r="T298" s="216"/>
      <c r="U298" s="216"/>
      <c r="V298" s="216"/>
      <c r="W298" s="249"/>
      <c r="X298" s="249"/>
      <c r="Y298" s="249"/>
      <c r="Z298" s="249"/>
      <c r="AA298" s="249"/>
      <c r="AB298" s="249"/>
      <c r="AC298" s="249"/>
      <c r="AD298" s="249"/>
      <c r="AE298" s="249"/>
      <c r="AF298" s="249"/>
      <c r="AG298" s="249"/>
      <c r="AH298" s="249"/>
      <c r="AI298" s="249"/>
      <c r="AJ298" s="249"/>
      <c r="AK298" s="74"/>
      <c r="AL298" s="74"/>
      <c r="AM298" s="74"/>
      <c r="AN298" s="74"/>
      <c r="AO298" s="74"/>
      <c r="AP298" s="74"/>
      <c r="AQ298" s="74"/>
      <c r="AR298" s="74"/>
      <c r="AS298" s="74"/>
      <c r="AT298" s="74"/>
      <c r="AU298" s="39"/>
      <c r="AV298" s="39"/>
      <c r="AW298" s="39"/>
      <c r="AX298" s="39"/>
      <c r="AY298" s="39"/>
      <c r="AZ298" s="39"/>
      <c r="BA298" s="39"/>
      <c r="BB298" s="39"/>
      <c r="BC298" s="39"/>
      <c r="BD298" s="39"/>
      <c r="BE298" s="39"/>
      <c r="BF298" s="39"/>
      <c r="BG298" s="39"/>
      <c r="BH298" s="39"/>
      <c r="BI298" s="39"/>
      <c r="BJ298" s="39"/>
      <c r="BK298" s="39"/>
      <c r="BL298" s="39"/>
      <c r="BM298" s="39"/>
    </row>
    <row r="299" spans="1:65" customFormat="1" ht="50.25" hidden="1" customHeight="1">
      <c r="A299" s="234" t="s">
        <v>248</v>
      </c>
      <c r="B299" s="224" t="s">
        <v>784</v>
      </c>
      <c r="C299" s="215" t="s">
        <v>785</v>
      </c>
      <c r="D299" s="216" t="s">
        <v>113</v>
      </c>
      <c r="E299" s="230">
        <v>46178</v>
      </c>
      <c r="F299" s="230">
        <v>46178</v>
      </c>
      <c r="G299" s="224">
        <v>24</v>
      </c>
      <c r="H299" s="256">
        <v>28</v>
      </c>
      <c r="I299" s="237">
        <f>SUM(N299:AB299)</f>
        <v>0</v>
      </c>
      <c r="J299" s="221">
        <f t="shared" si="13"/>
        <v>0.16666666666666666</v>
      </c>
      <c r="K299" s="216">
        <v>0</v>
      </c>
      <c r="L299" s="221" t="str">
        <f t="shared" si="14"/>
        <v>Normal</v>
      </c>
      <c r="M299" s="224"/>
      <c r="N299" s="216"/>
      <c r="O299" s="216"/>
      <c r="P299" s="216"/>
      <c r="Q299" s="216"/>
      <c r="R299" s="216"/>
      <c r="S299" s="216"/>
      <c r="T299" s="216"/>
      <c r="U299" s="216"/>
      <c r="V299" s="216"/>
      <c r="W299" s="216"/>
      <c r="X299" s="216"/>
      <c r="Y299" s="216"/>
      <c r="Z299" s="249"/>
      <c r="AA299" s="249"/>
      <c r="AB299" s="249"/>
      <c r="AC299" s="249"/>
      <c r="AD299" s="249"/>
      <c r="AE299" s="249"/>
      <c r="AF299" s="249"/>
      <c r="AG299" s="249"/>
      <c r="AH299" s="249"/>
      <c r="AI299" s="249"/>
      <c r="AJ299" s="249"/>
      <c r="AK299" s="74"/>
      <c r="AL299" s="74"/>
      <c r="AM299" s="74"/>
      <c r="AN299" s="74"/>
      <c r="AO299" s="74"/>
      <c r="AP299" s="74"/>
      <c r="AQ299" s="74"/>
      <c r="AR299" s="74"/>
      <c r="AS299" s="74"/>
      <c r="AT299" s="74"/>
      <c r="AU299" s="39"/>
      <c r="AV299" s="39"/>
      <c r="AW299" s="39"/>
      <c r="AX299" s="39"/>
      <c r="AY299" s="39"/>
      <c r="AZ299" s="39"/>
      <c r="BA299" s="39"/>
      <c r="BB299" s="39"/>
      <c r="BC299" s="39"/>
      <c r="BD299" s="39"/>
      <c r="BE299" s="39"/>
      <c r="BF299" s="39"/>
      <c r="BG299" s="39"/>
      <c r="BH299" s="39"/>
      <c r="BI299" s="39"/>
      <c r="BJ299" s="39"/>
      <c r="BK299" s="39"/>
      <c r="BL299" s="39"/>
      <c r="BM299" s="39"/>
    </row>
    <row r="300" spans="1:65" customFormat="1" ht="50.25" hidden="1" customHeight="1">
      <c r="A300" s="234" t="s">
        <v>248</v>
      </c>
      <c r="B300" s="224" t="s">
        <v>786</v>
      </c>
      <c r="C300" s="215" t="s">
        <v>787</v>
      </c>
      <c r="D300" s="216" t="s">
        <v>307</v>
      </c>
      <c r="E300" s="230">
        <v>46203</v>
      </c>
      <c r="F300" s="230"/>
      <c r="G300" s="224">
        <v>9.5</v>
      </c>
      <c r="H300" s="256">
        <v>9</v>
      </c>
      <c r="I300" s="237">
        <f>SUM(N300:AB300)</f>
        <v>0</v>
      </c>
      <c r="J300" s="221">
        <f t="shared" si="13"/>
        <v>-5.2631578947368418E-2</v>
      </c>
      <c r="K300" s="216">
        <v>0</v>
      </c>
      <c r="L300" s="221" t="str">
        <f t="shared" si="14"/>
        <v>Normal</v>
      </c>
      <c r="M300" s="224"/>
      <c r="N300" s="216"/>
      <c r="O300" s="216"/>
      <c r="P300" s="216"/>
      <c r="Q300" s="216"/>
      <c r="R300" s="216"/>
      <c r="S300" s="216"/>
      <c r="T300" s="216"/>
      <c r="U300" s="216"/>
      <c r="V300" s="216"/>
      <c r="W300" s="216"/>
      <c r="X300" s="216"/>
      <c r="Y300" s="216"/>
      <c r="Z300" s="249"/>
      <c r="AA300" s="249"/>
      <c r="AB300" s="249"/>
      <c r="AC300" s="249"/>
      <c r="AD300" s="249"/>
      <c r="AE300" s="249"/>
      <c r="AF300" s="249"/>
      <c r="AG300" s="249"/>
      <c r="AH300" s="249"/>
      <c r="AI300" s="249"/>
      <c r="AJ300" s="249"/>
      <c r="AK300" s="74"/>
      <c r="AL300" s="74"/>
      <c r="AM300" s="74"/>
      <c r="AN300" s="74"/>
      <c r="AO300" s="74"/>
      <c r="AP300" s="74"/>
      <c r="AQ300" s="74"/>
      <c r="AR300" s="74"/>
      <c r="AS300" s="74"/>
      <c r="AT300" s="74"/>
      <c r="AU300" s="39"/>
      <c r="AV300" s="39"/>
      <c r="AW300" s="39"/>
      <c r="AX300" s="39"/>
      <c r="AY300" s="39"/>
      <c r="AZ300" s="39"/>
      <c r="BA300" s="39"/>
      <c r="BB300" s="39"/>
      <c r="BC300" s="39"/>
      <c r="BD300" s="39"/>
      <c r="BE300" s="39"/>
      <c r="BF300" s="39"/>
      <c r="BG300" s="39"/>
      <c r="BH300" s="39"/>
      <c r="BI300" s="39"/>
      <c r="BJ300" s="39"/>
      <c r="BK300" s="39"/>
      <c r="BL300" s="39"/>
      <c r="BM300" s="39"/>
    </row>
    <row r="301" spans="1:65" customFormat="1" ht="50.25" hidden="1" customHeight="1">
      <c r="A301" s="234" t="s">
        <v>248</v>
      </c>
      <c r="B301" s="224" t="s">
        <v>788</v>
      </c>
      <c r="C301" s="215" t="s">
        <v>789</v>
      </c>
      <c r="D301" s="216" t="s">
        <v>113</v>
      </c>
      <c r="E301" s="230">
        <v>46182</v>
      </c>
      <c r="F301" s="230">
        <v>46185</v>
      </c>
      <c r="G301" s="224">
        <v>24</v>
      </c>
      <c r="H301" s="256">
        <v>20</v>
      </c>
      <c r="I301" s="237">
        <f>SUM(N301:AB301)</f>
        <v>0</v>
      </c>
      <c r="J301" s="221">
        <f t="shared" si="13"/>
        <v>-0.16666666666666666</v>
      </c>
      <c r="K301" s="216">
        <v>0</v>
      </c>
      <c r="L301" s="221" t="str">
        <f t="shared" si="14"/>
        <v>Normal</v>
      </c>
      <c r="M301" s="224"/>
      <c r="N301" s="216"/>
      <c r="O301" s="216"/>
      <c r="P301" s="216"/>
      <c r="Q301" s="216"/>
      <c r="R301" s="216"/>
      <c r="S301" s="216"/>
      <c r="T301" s="216"/>
      <c r="U301" s="216"/>
      <c r="V301" s="216"/>
      <c r="W301" s="216"/>
      <c r="X301" s="216"/>
      <c r="Y301" s="216"/>
      <c r="Z301" s="249"/>
      <c r="AA301" s="249"/>
      <c r="AB301" s="249"/>
      <c r="AC301" s="249"/>
      <c r="AD301" s="249"/>
      <c r="AE301" s="249"/>
      <c r="AF301" s="249"/>
      <c r="AG301" s="249"/>
      <c r="AH301" s="249"/>
      <c r="AI301" s="249"/>
      <c r="AJ301" s="249"/>
      <c r="AK301" s="74"/>
      <c r="AL301" s="74"/>
      <c r="AM301" s="74"/>
      <c r="AN301" s="74"/>
      <c r="AO301" s="74"/>
      <c r="AP301" s="74"/>
      <c r="AQ301" s="74"/>
      <c r="AR301" s="74"/>
      <c r="AS301" s="74"/>
      <c r="AT301" s="74"/>
      <c r="AU301" s="39"/>
      <c r="AV301" s="39"/>
      <c r="AW301" s="39"/>
      <c r="AX301" s="39"/>
      <c r="AY301" s="39"/>
      <c r="AZ301" s="39"/>
      <c r="BA301" s="39"/>
      <c r="BB301" s="39"/>
      <c r="BC301" s="39"/>
      <c r="BD301" s="39"/>
      <c r="BE301" s="39"/>
      <c r="BF301" s="39"/>
      <c r="BG301" s="39"/>
      <c r="BH301" s="39"/>
      <c r="BI301" s="39"/>
      <c r="BJ301" s="39"/>
      <c r="BK301" s="39"/>
      <c r="BL301" s="39"/>
      <c r="BM301" s="39"/>
    </row>
    <row r="302" spans="1:65" customFormat="1" ht="50.25" hidden="1" customHeight="1">
      <c r="A302" s="234" t="s">
        <v>248</v>
      </c>
      <c r="B302" s="224" t="s">
        <v>790</v>
      </c>
      <c r="C302" s="215" t="s">
        <v>791</v>
      </c>
      <c r="D302" s="216" t="s">
        <v>113</v>
      </c>
      <c r="E302" s="230">
        <v>46185</v>
      </c>
      <c r="F302" s="230">
        <v>46185</v>
      </c>
      <c r="G302" s="224">
        <v>4</v>
      </c>
      <c r="H302" s="256">
        <v>4</v>
      </c>
      <c r="I302" s="237">
        <f>SUM(N302:AB302)</f>
        <v>0</v>
      </c>
      <c r="J302" s="221">
        <f t="shared" si="13"/>
        <v>0</v>
      </c>
      <c r="K302" s="216">
        <v>0</v>
      </c>
      <c r="L302" s="221" t="str">
        <f t="shared" si="14"/>
        <v>Normal</v>
      </c>
      <c r="M302" s="224"/>
      <c r="N302" s="216"/>
      <c r="O302" s="216"/>
      <c r="P302" s="216"/>
      <c r="Q302" s="216"/>
      <c r="R302" s="216"/>
      <c r="S302" s="216"/>
      <c r="T302" s="216"/>
      <c r="U302" s="216"/>
      <c r="V302" s="216"/>
      <c r="W302" s="216"/>
      <c r="X302" s="216"/>
      <c r="Y302" s="216"/>
      <c r="Z302" s="249"/>
      <c r="AA302" s="249"/>
      <c r="AB302" s="249"/>
      <c r="AC302" s="249"/>
      <c r="AD302" s="249"/>
      <c r="AE302" s="249"/>
      <c r="AF302" s="249"/>
      <c r="AG302" s="249"/>
      <c r="AH302" s="249"/>
      <c r="AI302" s="249"/>
      <c r="AJ302" s="249"/>
      <c r="AK302" s="74"/>
      <c r="AL302" s="74"/>
      <c r="AM302" s="74"/>
      <c r="AN302" s="74"/>
      <c r="AO302" s="74"/>
      <c r="AP302" s="74"/>
      <c r="AQ302" s="74"/>
      <c r="AR302" s="74"/>
      <c r="AS302" s="74"/>
      <c r="AT302" s="74"/>
      <c r="AU302" s="39"/>
      <c r="AV302" s="39"/>
      <c r="AW302" s="39"/>
      <c r="AX302" s="39"/>
      <c r="AY302" s="39"/>
      <c r="AZ302" s="39"/>
      <c r="BA302" s="39"/>
      <c r="BB302" s="39"/>
      <c r="BC302" s="39"/>
      <c r="BD302" s="39"/>
      <c r="BE302" s="39"/>
      <c r="BF302" s="39"/>
      <c r="BG302" s="39"/>
      <c r="BH302" s="39"/>
      <c r="BI302" s="39"/>
      <c r="BJ302" s="39"/>
      <c r="BK302" s="39"/>
      <c r="BL302" s="39"/>
      <c r="BM302" s="39"/>
    </row>
    <row r="303" spans="1:65" customFormat="1" ht="50.25" hidden="1" customHeight="1">
      <c r="A303" s="234" t="s">
        <v>248</v>
      </c>
      <c r="B303" s="224" t="s">
        <v>792</v>
      </c>
      <c r="C303" s="215" t="s">
        <v>793</v>
      </c>
      <c r="D303" s="216" t="s">
        <v>113</v>
      </c>
      <c r="E303" s="230">
        <v>46192</v>
      </c>
      <c r="F303" s="230">
        <v>46192</v>
      </c>
      <c r="G303" s="224">
        <v>24</v>
      </c>
      <c r="H303" s="256">
        <v>24</v>
      </c>
      <c r="I303" s="237">
        <f>SUM(N303:AB303)</f>
        <v>0</v>
      </c>
      <c r="J303" s="221">
        <f t="shared" si="13"/>
        <v>0</v>
      </c>
      <c r="K303" s="216">
        <v>0</v>
      </c>
      <c r="L303" s="221" t="str">
        <f t="shared" si="14"/>
        <v>Normal</v>
      </c>
      <c r="M303" s="224"/>
      <c r="N303" s="216"/>
      <c r="O303" s="216"/>
      <c r="P303" s="216"/>
      <c r="Q303" s="216"/>
      <c r="R303" s="216"/>
      <c r="S303" s="216"/>
      <c r="T303" s="216"/>
      <c r="U303" s="216"/>
      <c r="V303" s="216"/>
      <c r="W303" s="216"/>
      <c r="X303" s="216"/>
      <c r="Y303" s="216"/>
      <c r="Z303" s="249"/>
      <c r="AA303" s="249"/>
      <c r="AB303" s="249"/>
      <c r="AC303" s="249"/>
      <c r="AD303" s="249"/>
      <c r="AE303" s="249"/>
      <c r="AF303" s="249"/>
      <c r="AG303" s="249"/>
      <c r="AH303" s="249"/>
      <c r="AI303" s="249"/>
      <c r="AJ303" s="249"/>
      <c r="AK303" s="74"/>
      <c r="AL303" s="74"/>
      <c r="AM303" s="74"/>
      <c r="AN303" s="74"/>
      <c r="AO303" s="74"/>
      <c r="AP303" s="74"/>
      <c r="AQ303" s="74"/>
      <c r="AR303" s="74"/>
      <c r="AS303" s="74"/>
      <c r="AT303" s="74"/>
      <c r="AU303" s="39"/>
      <c r="AV303" s="39"/>
      <c r="AW303" s="39"/>
      <c r="AX303" s="39"/>
      <c r="AY303" s="39"/>
      <c r="AZ303" s="39"/>
      <c r="BA303" s="39"/>
      <c r="BB303" s="39"/>
      <c r="BC303" s="39"/>
      <c r="BD303" s="39"/>
      <c r="BE303" s="39"/>
      <c r="BF303" s="39"/>
      <c r="BG303" s="39"/>
      <c r="BH303" s="39"/>
      <c r="BI303" s="39"/>
      <c r="BJ303" s="39"/>
      <c r="BK303" s="39"/>
      <c r="BL303" s="39"/>
      <c r="BM303" s="39"/>
    </row>
    <row r="304" spans="1:65" customFormat="1" ht="50.25" hidden="1" customHeight="1">
      <c r="A304" s="234" t="s">
        <v>248</v>
      </c>
      <c r="B304" s="224" t="s">
        <v>794</v>
      </c>
      <c r="C304" s="215" t="s">
        <v>795</v>
      </c>
      <c r="D304" s="216" t="s">
        <v>113</v>
      </c>
      <c r="E304" s="230">
        <v>46199</v>
      </c>
      <c r="F304" s="230">
        <v>46192</v>
      </c>
      <c r="G304" s="224">
        <v>24</v>
      </c>
      <c r="H304" s="256">
        <v>16</v>
      </c>
      <c r="I304" s="237">
        <f>SUM(N304:AB304)</f>
        <v>0</v>
      </c>
      <c r="J304" s="221">
        <f t="shared" si="13"/>
        <v>-0.33333333333333331</v>
      </c>
      <c r="K304" s="216">
        <v>0</v>
      </c>
      <c r="L304" s="221" t="str">
        <f t="shared" si="14"/>
        <v>Normal</v>
      </c>
      <c r="M304" s="224"/>
      <c r="N304" s="216"/>
      <c r="O304" s="216"/>
      <c r="P304" s="216"/>
      <c r="Q304" s="216"/>
      <c r="R304" s="216"/>
      <c r="S304" s="216"/>
      <c r="T304" s="216"/>
      <c r="U304" s="216"/>
      <c r="V304" s="216"/>
      <c r="W304" s="216"/>
      <c r="X304" s="216"/>
      <c r="Y304" s="216"/>
      <c r="Z304" s="249"/>
      <c r="AA304" s="249"/>
      <c r="AB304" s="249"/>
      <c r="AC304" s="249"/>
      <c r="AD304" s="249"/>
      <c r="AE304" s="249"/>
      <c r="AF304" s="249"/>
      <c r="AG304" s="249"/>
      <c r="AH304" s="249"/>
      <c r="AI304" s="249"/>
      <c r="AJ304" s="249"/>
      <c r="AK304" s="74"/>
      <c r="AL304" s="74"/>
      <c r="AM304" s="74"/>
      <c r="AN304" s="74"/>
      <c r="AO304" s="74"/>
      <c r="AP304" s="74"/>
      <c r="AQ304" s="74"/>
      <c r="AR304" s="74"/>
      <c r="AS304" s="74"/>
      <c r="AT304" s="74"/>
      <c r="AU304" s="39"/>
      <c r="AV304" s="39"/>
      <c r="AW304" s="39"/>
      <c r="AX304" s="39"/>
      <c r="AY304" s="39"/>
      <c r="AZ304" s="39"/>
      <c r="BA304" s="39"/>
      <c r="BB304" s="39"/>
      <c r="BC304" s="39"/>
      <c r="BD304" s="39"/>
      <c r="BE304" s="39"/>
      <c r="BF304" s="39"/>
      <c r="BG304" s="39"/>
      <c r="BH304" s="39"/>
      <c r="BI304" s="39"/>
      <c r="BJ304" s="39"/>
      <c r="BK304" s="39"/>
      <c r="BL304" s="39"/>
      <c r="BM304" s="39"/>
    </row>
    <row r="305" spans="1:65" customFormat="1" ht="50.25" hidden="1" customHeight="1">
      <c r="A305" s="234" t="s">
        <v>248</v>
      </c>
      <c r="B305" s="224" t="s">
        <v>796</v>
      </c>
      <c r="C305" s="215" t="s">
        <v>797</v>
      </c>
      <c r="D305" s="216" t="s">
        <v>113</v>
      </c>
      <c r="E305" s="230">
        <v>46199</v>
      </c>
      <c r="F305" s="230">
        <v>46195</v>
      </c>
      <c r="G305" s="224">
        <v>24</v>
      </c>
      <c r="H305" s="256">
        <v>16</v>
      </c>
      <c r="I305" s="237">
        <f>SUM(N305:AB305)</f>
        <v>0</v>
      </c>
      <c r="J305" s="221">
        <f t="shared" si="13"/>
        <v>-0.33333333333333331</v>
      </c>
      <c r="K305" s="216">
        <v>0</v>
      </c>
      <c r="L305" s="221" t="str">
        <f t="shared" si="14"/>
        <v>Normal</v>
      </c>
      <c r="M305" s="224"/>
      <c r="N305" s="216"/>
      <c r="O305" s="216"/>
      <c r="P305" s="216"/>
      <c r="Q305" s="216"/>
      <c r="R305" s="216"/>
      <c r="S305" s="216"/>
      <c r="T305" s="216"/>
      <c r="U305" s="216"/>
      <c r="V305" s="216"/>
      <c r="W305" s="216"/>
      <c r="X305" s="216"/>
      <c r="Y305" s="216"/>
      <c r="Z305" s="249"/>
      <c r="AA305" s="249"/>
      <c r="AB305" s="249"/>
      <c r="AC305" s="249"/>
      <c r="AD305" s="249"/>
      <c r="AE305" s="249"/>
      <c r="AF305" s="249"/>
      <c r="AG305" s="249"/>
      <c r="AH305" s="249"/>
      <c r="AI305" s="249"/>
      <c r="AJ305" s="249"/>
      <c r="AK305" s="74"/>
      <c r="AL305" s="74"/>
      <c r="AM305" s="74"/>
      <c r="AN305" s="74"/>
      <c r="AO305" s="74"/>
      <c r="AP305" s="74"/>
      <c r="AQ305" s="74"/>
      <c r="AR305" s="74"/>
      <c r="AS305" s="74"/>
      <c r="AT305" s="74"/>
      <c r="AU305" s="39"/>
      <c r="AV305" s="39"/>
      <c r="AW305" s="39"/>
      <c r="AX305" s="39"/>
      <c r="AY305" s="39"/>
      <c r="AZ305" s="39"/>
      <c r="BA305" s="39"/>
      <c r="BB305" s="39"/>
      <c r="BC305" s="39"/>
      <c r="BD305" s="39"/>
      <c r="BE305" s="39"/>
      <c r="BF305" s="39"/>
      <c r="BG305" s="39"/>
      <c r="BH305" s="39"/>
      <c r="BI305" s="39"/>
      <c r="BJ305" s="39"/>
      <c r="BK305" s="39"/>
      <c r="BL305" s="39"/>
      <c r="BM305" s="39"/>
    </row>
    <row r="306" spans="1:65" customFormat="1" ht="50.25" hidden="1" customHeight="1">
      <c r="A306" s="234" t="s">
        <v>248</v>
      </c>
      <c r="B306" s="224" t="s">
        <v>798</v>
      </c>
      <c r="C306" s="215" t="s">
        <v>799</v>
      </c>
      <c r="D306" s="216" t="s">
        <v>113</v>
      </c>
      <c r="E306" s="230">
        <v>46185</v>
      </c>
      <c r="F306" s="230">
        <v>46185</v>
      </c>
      <c r="G306" s="224">
        <v>4</v>
      </c>
      <c r="H306" s="256">
        <v>4</v>
      </c>
      <c r="I306" s="237">
        <f>SUM(N306:AB306)</f>
        <v>0</v>
      </c>
      <c r="J306" s="221">
        <f t="shared" si="13"/>
        <v>0</v>
      </c>
      <c r="K306" s="216">
        <v>0</v>
      </c>
      <c r="L306" s="221" t="str">
        <f t="shared" si="14"/>
        <v>Normal</v>
      </c>
      <c r="M306" s="224"/>
      <c r="N306" s="216"/>
      <c r="O306" s="216"/>
      <c r="P306" s="216"/>
      <c r="Q306" s="216"/>
      <c r="R306" s="216"/>
      <c r="S306" s="216"/>
      <c r="T306" s="216"/>
      <c r="U306" s="216"/>
      <c r="V306" s="216"/>
      <c r="W306" s="216"/>
      <c r="X306" s="216"/>
      <c r="Y306" s="216"/>
      <c r="Z306" s="249"/>
      <c r="AA306" s="249"/>
      <c r="AB306" s="249"/>
      <c r="AC306" s="249"/>
      <c r="AD306" s="249"/>
      <c r="AE306" s="249"/>
      <c r="AF306" s="249"/>
      <c r="AG306" s="249"/>
      <c r="AH306" s="249"/>
      <c r="AI306" s="249"/>
      <c r="AJ306" s="249"/>
      <c r="AK306" s="74"/>
      <c r="AL306" s="74"/>
      <c r="AM306" s="74"/>
      <c r="AN306" s="74"/>
      <c r="AO306" s="74"/>
      <c r="AP306" s="74"/>
      <c r="AQ306" s="74"/>
      <c r="AR306" s="74"/>
      <c r="AS306" s="74"/>
      <c r="AT306" s="74"/>
      <c r="AU306" s="39"/>
      <c r="AV306" s="39"/>
      <c r="AW306" s="39"/>
      <c r="AX306" s="39"/>
      <c r="AY306" s="39"/>
      <c r="AZ306" s="39"/>
      <c r="BA306" s="39"/>
      <c r="BB306" s="39"/>
      <c r="BC306" s="39"/>
      <c r="BD306" s="39"/>
      <c r="BE306" s="39"/>
      <c r="BF306" s="39"/>
      <c r="BG306" s="39"/>
      <c r="BH306" s="39"/>
      <c r="BI306" s="39"/>
      <c r="BJ306" s="39"/>
      <c r="BK306" s="39"/>
      <c r="BL306" s="39"/>
      <c r="BM306" s="39"/>
    </row>
    <row r="307" spans="1:65" customFormat="1" ht="50.25" hidden="1" customHeight="1">
      <c r="A307" s="234" t="s">
        <v>248</v>
      </c>
      <c r="B307" s="224" t="s">
        <v>800</v>
      </c>
      <c r="C307" s="215" t="s">
        <v>801</v>
      </c>
      <c r="D307" s="216" t="s">
        <v>113</v>
      </c>
      <c r="E307" s="230">
        <v>46199</v>
      </c>
      <c r="F307" s="230">
        <v>46205</v>
      </c>
      <c r="G307" s="224">
        <v>16</v>
      </c>
      <c r="H307" s="256">
        <v>12</v>
      </c>
      <c r="I307" s="237">
        <f>SUM(N307:AB307)</f>
        <v>0</v>
      </c>
      <c r="J307" s="221">
        <f t="shared" si="13"/>
        <v>-0.25</v>
      </c>
      <c r="K307" s="216">
        <v>0</v>
      </c>
      <c r="L307" s="221" t="str">
        <f t="shared" si="14"/>
        <v>Normal</v>
      </c>
      <c r="M307" s="224"/>
      <c r="N307" s="216"/>
      <c r="O307" s="216"/>
      <c r="P307" s="216"/>
      <c r="Q307" s="216"/>
      <c r="R307" s="216"/>
      <c r="S307" s="216"/>
      <c r="T307" s="216"/>
      <c r="U307" s="216"/>
      <c r="V307" s="216"/>
      <c r="W307" s="216"/>
      <c r="X307" s="216"/>
      <c r="Y307" s="216"/>
      <c r="Z307" s="249"/>
      <c r="AA307" s="249"/>
      <c r="AB307" s="249"/>
      <c r="AC307" s="249"/>
      <c r="AD307" s="249"/>
      <c r="AE307" s="249"/>
      <c r="AF307" s="249"/>
      <c r="AG307" s="249"/>
      <c r="AH307" s="249"/>
      <c r="AI307" s="249"/>
      <c r="AJ307" s="249"/>
      <c r="AK307" s="74"/>
      <c r="AL307" s="74"/>
      <c r="AM307" s="74"/>
      <c r="AN307" s="74"/>
      <c r="AO307" s="74"/>
      <c r="AP307" s="74"/>
      <c r="AQ307" s="74"/>
      <c r="AR307" s="74"/>
      <c r="AS307" s="74"/>
      <c r="AT307" s="74"/>
      <c r="AU307" s="39"/>
      <c r="AV307" s="39"/>
      <c r="AW307" s="39"/>
      <c r="AX307" s="39"/>
      <c r="AY307" s="39"/>
      <c r="AZ307" s="39"/>
      <c r="BA307" s="39"/>
      <c r="BB307" s="39"/>
      <c r="BC307" s="39"/>
      <c r="BD307" s="39"/>
      <c r="BE307" s="39"/>
      <c r="BF307" s="39"/>
      <c r="BG307" s="39"/>
      <c r="BH307" s="39"/>
      <c r="BI307" s="39"/>
      <c r="BJ307" s="39"/>
      <c r="BK307" s="39"/>
      <c r="BL307" s="39"/>
      <c r="BM307" s="39"/>
    </row>
    <row r="308" spans="1:65" customFormat="1" ht="50.25" hidden="1" customHeight="1">
      <c r="A308" s="234" t="s">
        <v>248</v>
      </c>
      <c r="B308" s="224" t="s">
        <v>802</v>
      </c>
      <c r="C308" s="215" t="s">
        <v>803</v>
      </c>
      <c r="D308" s="216" t="s">
        <v>113</v>
      </c>
      <c r="E308" s="230">
        <v>46197</v>
      </c>
      <c r="F308" s="230">
        <v>46197</v>
      </c>
      <c r="G308" s="224">
        <v>8</v>
      </c>
      <c r="H308" s="256">
        <v>8</v>
      </c>
      <c r="I308" s="237">
        <f>SUM(N308:AB308)</f>
        <v>0</v>
      </c>
      <c r="J308" s="221">
        <f t="shared" si="13"/>
        <v>0</v>
      </c>
      <c r="K308" s="216">
        <v>0</v>
      </c>
      <c r="L308" s="221" t="str">
        <f t="shared" si="14"/>
        <v>Normal</v>
      </c>
      <c r="M308" s="224"/>
      <c r="N308" s="216"/>
      <c r="O308" s="216"/>
      <c r="P308" s="216"/>
      <c r="Q308" s="216"/>
      <c r="R308" s="216"/>
      <c r="S308" s="216"/>
      <c r="T308" s="216"/>
      <c r="U308" s="216"/>
      <c r="V308" s="216"/>
      <c r="W308" s="216"/>
      <c r="X308" s="216"/>
      <c r="Y308" s="216"/>
      <c r="Z308" s="249"/>
      <c r="AA308" s="249"/>
      <c r="AB308" s="249"/>
      <c r="AC308" s="249"/>
      <c r="AD308" s="249"/>
      <c r="AE308" s="249"/>
      <c r="AF308" s="249"/>
      <c r="AG308" s="249"/>
      <c r="AH308" s="249"/>
      <c r="AI308" s="249"/>
      <c r="AJ308" s="249"/>
      <c r="AK308" s="74"/>
      <c r="AL308" s="74"/>
      <c r="AM308" s="74"/>
      <c r="AN308" s="74"/>
      <c r="AO308" s="74"/>
      <c r="AP308" s="74"/>
      <c r="AQ308" s="74"/>
      <c r="AR308" s="74"/>
      <c r="AS308" s="74"/>
      <c r="AT308" s="74"/>
      <c r="AU308" s="39"/>
      <c r="AV308" s="39"/>
      <c r="AW308" s="39"/>
      <c r="AX308" s="39"/>
      <c r="AY308" s="39"/>
      <c r="AZ308" s="39"/>
      <c r="BA308" s="39"/>
      <c r="BB308" s="39"/>
      <c r="BC308" s="39"/>
      <c r="BD308" s="39"/>
      <c r="BE308" s="39"/>
      <c r="BF308" s="39"/>
      <c r="BG308" s="39"/>
      <c r="BH308" s="39"/>
      <c r="BI308" s="39"/>
      <c r="BJ308" s="39"/>
      <c r="BK308" s="39"/>
      <c r="BL308" s="39"/>
      <c r="BM308" s="39"/>
    </row>
    <row r="309" spans="1:65" customFormat="1" ht="50.25" hidden="1" customHeight="1">
      <c r="A309" s="234" t="s">
        <v>248</v>
      </c>
      <c r="B309" s="224" t="s">
        <v>804</v>
      </c>
      <c r="C309" s="215" t="s">
        <v>805</v>
      </c>
      <c r="D309" s="216" t="s">
        <v>113</v>
      </c>
      <c r="E309" s="230">
        <v>46204</v>
      </c>
      <c r="F309" s="230">
        <v>46203</v>
      </c>
      <c r="G309" s="224">
        <v>10</v>
      </c>
      <c r="H309" s="256">
        <v>8</v>
      </c>
      <c r="I309" s="237">
        <f>SUM(N309:AB309)</f>
        <v>0</v>
      </c>
      <c r="J309" s="221">
        <f t="shared" si="13"/>
        <v>-0.2</v>
      </c>
      <c r="K309" s="216">
        <v>0</v>
      </c>
      <c r="L309" s="221" t="str">
        <f t="shared" si="14"/>
        <v>Normal</v>
      </c>
      <c r="M309" s="224"/>
      <c r="N309" s="216"/>
      <c r="O309" s="216"/>
      <c r="P309" s="216"/>
      <c r="Q309" s="216"/>
      <c r="R309" s="216"/>
      <c r="S309" s="216"/>
      <c r="T309" s="216"/>
      <c r="U309" s="216"/>
      <c r="V309" s="216"/>
      <c r="W309" s="216"/>
      <c r="X309" s="216"/>
      <c r="Y309" s="216"/>
      <c r="Z309" s="249"/>
      <c r="AA309" s="249"/>
      <c r="AB309" s="249"/>
      <c r="AC309" s="249"/>
      <c r="AD309" s="249"/>
      <c r="AE309" s="249"/>
      <c r="AF309" s="249"/>
      <c r="AG309" s="249"/>
      <c r="AH309" s="249"/>
      <c r="AI309" s="249"/>
      <c r="AJ309" s="249"/>
      <c r="AK309" s="74"/>
      <c r="AL309" s="74"/>
      <c r="AM309" s="74"/>
      <c r="AN309" s="74"/>
      <c r="AO309" s="74"/>
      <c r="AP309" s="74"/>
      <c r="AQ309" s="74"/>
      <c r="AR309" s="74"/>
      <c r="AS309" s="74"/>
      <c r="AT309" s="74"/>
      <c r="AU309" s="39"/>
      <c r="AV309" s="39"/>
      <c r="AW309" s="39"/>
      <c r="AX309" s="39"/>
      <c r="AY309" s="39"/>
      <c r="AZ309" s="39"/>
      <c r="BA309" s="39"/>
      <c r="BB309" s="39"/>
      <c r="BC309" s="39"/>
      <c r="BD309" s="39"/>
      <c r="BE309" s="39"/>
      <c r="BF309" s="39"/>
      <c r="BG309" s="39"/>
      <c r="BH309" s="39"/>
      <c r="BI309" s="39"/>
      <c r="BJ309" s="39"/>
      <c r="BK309" s="39"/>
      <c r="BL309" s="39"/>
      <c r="BM309" s="39"/>
    </row>
    <row r="310" spans="1:65" s="207" customFormat="1" ht="50.25" customHeight="1">
      <c r="A310" s="241" t="s">
        <v>248</v>
      </c>
      <c r="B310" s="241" t="s">
        <v>806</v>
      </c>
      <c r="C310" s="242" t="s">
        <v>807</v>
      </c>
      <c r="D310" s="241" t="s">
        <v>351</v>
      </c>
      <c r="E310" s="243">
        <v>46260</v>
      </c>
      <c r="F310" s="243">
        <v>46262</v>
      </c>
      <c r="G310" s="241">
        <v>56</v>
      </c>
      <c r="H310" s="244">
        <v>40</v>
      </c>
      <c r="I310" s="245">
        <f>SUM(N310:AJ310)</f>
        <v>12</v>
      </c>
      <c r="J310" s="221">
        <f t="shared" si="13"/>
        <v>-7.1428571428571425E-2</v>
      </c>
      <c r="K310" s="241">
        <v>0</v>
      </c>
      <c r="L310" s="221" t="str">
        <f t="shared" si="14"/>
        <v>Normal</v>
      </c>
      <c r="M310" s="233"/>
      <c r="N310" s="241"/>
      <c r="O310" s="241"/>
      <c r="P310" s="241"/>
      <c r="Q310" s="241">
        <v>4</v>
      </c>
      <c r="R310" s="241"/>
      <c r="S310" s="241"/>
      <c r="T310" s="241"/>
      <c r="U310" s="241"/>
      <c r="V310" s="241"/>
      <c r="W310" s="241"/>
      <c r="X310" s="241"/>
      <c r="Y310" s="241"/>
      <c r="Z310" s="241"/>
      <c r="AA310" s="241"/>
      <c r="AB310" s="241"/>
      <c r="AC310" s="241"/>
      <c r="AD310" s="241"/>
      <c r="AE310" s="241"/>
      <c r="AF310" s="241"/>
      <c r="AG310" s="241"/>
      <c r="AH310" s="241"/>
      <c r="AI310" s="241"/>
      <c r="AJ310" s="241">
        <v>8</v>
      </c>
      <c r="AK310" s="205"/>
      <c r="AL310" s="205"/>
      <c r="AM310" s="205"/>
      <c r="AN310" s="205"/>
      <c r="AO310" s="205"/>
      <c r="AP310" s="205"/>
      <c r="AQ310" s="205"/>
      <c r="AR310" s="205"/>
      <c r="AS310" s="208"/>
      <c r="AT310" s="208"/>
    </row>
    <row r="311" spans="1:65" customFormat="1" ht="50.25" hidden="1" customHeight="1">
      <c r="A311" s="234" t="s">
        <v>248</v>
      </c>
      <c r="B311" s="224" t="s">
        <v>808</v>
      </c>
      <c r="C311" s="215" t="s">
        <v>809</v>
      </c>
      <c r="D311" s="216" t="s">
        <v>298</v>
      </c>
      <c r="E311" s="230"/>
      <c r="F311" s="230"/>
      <c r="G311" s="224">
        <v>0</v>
      </c>
      <c r="H311" s="256">
        <v>8</v>
      </c>
      <c r="I311" s="237">
        <f>SUM(N311:AB311)</f>
        <v>0</v>
      </c>
      <c r="J311" s="221" t="str">
        <f t="shared" si="13"/>
        <v/>
      </c>
      <c r="K311" s="216">
        <v>0</v>
      </c>
      <c r="L311" s="221" t="str">
        <f t="shared" si="14"/>
        <v>Sin estimación</v>
      </c>
      <c r="M311" s="224"/>
      <c r="N311" s="216"/>
      <c r="O311" s="216"/>
      <c r="P311" s="216"/>
      <c r="Q311" s="216"/>
      <c r="R311" s="216"/>
      <c r="S311" s="216"/>
      <c r="T311" s="216"/>
      <c r="U311" s="216"/>
      <c r="V311" s="216"/>
      <c r="W311" s="216"/>
      <c r="X311" s="216"/>
      <c r="Y311" s="216"/>
      <c r="Z311" s="249"/>
      <c r="AA311" s="249"/>
      <c r="AB311" s="249"/>
      <c r="AC311" s="249"/>
      <c r="AD311" s="249"/>
      <c r="AE311" s="249"/>
      <c r="AF311" s="249"/>
      <c r="AG311" s="249"/>
      <c r="AH311" s="249"/>
      <c r="AI311" s="249"/>
      <c r="AJ311" s="249"/>
      <c r="AK311" s="74"/>
      <c r="AL311" s="74"/>
      <c r="AM311" s="74"/>
      <c r="AN311" s="74"/>
      <c r="AO311" s="74"/>
      <c r="AP311" s="74"/>
      <c r="AQ311" s="74"/>
      <c r="AR311" s="74"/>
      <c r="AS311" s="74"/>
      <c r="AT311" s="74"/>
      <c r="AU311" s="39"/>
      <c r="AV311" s="39"/>
      <c r="AW311" s="39"/>
      <c r="AX311" s="39"/>
      <c r="AY311" s="39"/>
      <c r="AZ311" s="39"/>
      <c r="BA311" s="39"/>
      <c r="BB311" s="39"/>
      <c r="BC311" s="39"/>
      <c r="BD311" s="39"/>
      <c r="BE311" s="39"/>
      <c r="BF311" s="39"/>
      <c r="BG311" s="39"/>
      <c r="BH311" s="39"/>
      <c r="BI311" s="39"/>
      <c r="BJ311" s="39"/>
      <c r="BK311" s="39"/>
      <c r="BL311" s="39"/>
      <c r="BM311" s="39"/>
    </row>
    <row r="312" spans="1:65" customFormat="1" ht="50.25" hidden="1" customHeight="1">
      <c r="A312" s="234" t="s">
        <v>248</v>
      </c>
      <c r="B312" s="224" t="s">
        <v>810</v>
      </c>
      <c r="C312" s="215" t="s">
        <v>811</v>
      </c>
      <c r="D312" s="216" t="s">
        <v>298</v>
      </c>
      <c r="E312" s="230">
        <v>46234</v>
      </c>
      <c r="F312" s="230">
        <v>46234</v>
      </c>
      <c r="G312" s="224">
        <v>10.5</v>
      </c>
      <c r="H312" s="256">
        <v>10.5</v>
      </c>
      <c r="I312" s="237">
        <f>SUM(N312:AB312)</f>
        <v>0</v>
      </c>
      <c r="J312" s="221">
        <f t="shared" si="13"/>
        <v>0</v>
      </c>
      <c r="K312" s="216">
        <v>0</v>
      </c>
      <c r="L312" s="221" t="str">
        <f t="shared" si="14"/>
        <v>Normal</v>
      </c>
      <c r="M312" s="224"/>
      <c r="N312" s="216"/>
      <c r="O312" s="216"/>
      <c r="P312" s="216"/>
      <c r="Q312" s="216"/>
      <c r="R312" s="216"/>
      <c r="S312" s="216"/>
      <c r="T312" s="216"/>
      <c r="U312" s="216"/>
      <c r="V312" s="216"/>
      <c r="W312" s="216"/>
      <c r="X312" s="216"/>
      <c r="Y312" s="216"/>
      <c r="Z312" s="216"/>
      <c r="AA312" s="216"/>
      <c r="AB312" s="216"/>
      <c r="AC312" s="216"/>
      <c r="AD312" s="216"/>
      <c r="AE312" s="249"/>
      <c r="AF312" s="249"/>
      <c r="AG312" s="249"/>
      <c r="AH312" s="249"/>
      <c r="AI312" s="249"/>
      <c r="AJ312" s="249"/>
      <c r="AK312" s="74"/>
      <c r="AL312" s="74"/>
      <c r="AM312" s="74"/>
      <c r="AN312" s="74"/>
      <c r="AO312" s="74"/>
      <c r="AP312" s="74"/>
      <c r="AQ312" s="74"/>
      <c r="AR312" s="74"/>
      <c r="AS312" s="74"/>
      <c r="AT312" s="74"/>
      <c r="AU312" s="39"/>
      <c r="AV312" s="39"/>
      <c r="AW312" s="39"/>
      <c r="AX312" s="39"/>
      <c r="AY312" s="39"/>
      <c r="AZ312" s="39"/>
      <c r="BA312" s="39"/>
      <c r="BB312" s="39"/>
      <c r="BC312" s="39"/>
      <c r="BD312" s="39"/>
      <c r="BE312" s="39"/>
      <c r="BF312" s="39"/>
      <c r="BG312" s="39"/>
      <c r="BH312" s="39"/>
      <c r="BI312" s="39"/>
      <c r="BJ312" s="39"/>
      <c r="BK312" s="39"/>
      <c r="BL312" s="39"/>
      <c r="BM312" s="39"/>
    </row>
    <row r="313" spans="1:65" customFormat="1" ht="50.25" hidden="1" customHeight="1">
      <c r="A313" s="234" t="s">
        <v>248</v>
      </c>
      <c r="B313" s="224" t="s">
        <v>812</v>
      </c>
      <c r="C313" s="215" t="s">
        <v>813</v>
      </c>
      <c r="D313" s="216" t="s">
        <v>113</v>
      </c>
      <c r="E313" s="230"/>
      <c r="F313" s="230">
        <v>46220</v>
      </c>
      <c r="G313" s="224">
        <v>0</v>
      </c>
      <c r="H313" s="256">
        <v>16</v>
      </c>
      <c r="I313" s="237">
        <f>SUM(N313:AB313)</f>
        <v>0</v>
      </c>
      <c r="J313" s="221" t="str">
        <f t="shared" si="13"/>
        <v/>
      </c>
      <c r="K313" s="216">
        <v>0</v>
      </c>
      <c r="L313" s="221" t="str">
        <f t="shared" si="14"/>
        <v>Sin estimación</v>
      </c>
      <c r="M313" s="224"/>
      <c r="N313" s="216"/>
      <c r="O313" s="216"/>
      <c r="P313" s="216"/>
      <c r="Q313" s="216"/>
      <c r="R313" s="216"/>
      <c r="S313" s="216"/>
      <c r="T313" s="216"/>
      <c r="U313" s="216"/>
      <c r="V313" s="216"/>
      <c r="W313" s="216"/>
      <c r="X313" s="216"/>
      <c r="Y313" s="216"/>
      <c r="Z313" s="216"/>
      <c r="AA313" s="216"/>
      <c r="AB313" s="216"/>
      <c r="AC313" s="216"/>
      <c r="AD313" s="216"/>
      <c r="AE313" s="249"/>
      <c r="AF313" s="249"/>
      <c r="AG313" s="249"/>
      <c r="AH313" s="249"/>
      <c r="AI313" s="249"/>
      <c r="AJ313" s="249"/>
      <c r="AK313" s="74"/>
      <c r="AL313" s="74"/>
      <c r="AM313" s="74"/>
      <c r="AN313" s="74"/>
      <c r="AO313" s="74"/>
      <c r="AP313" s="74"/>
      <c r="AQ313" s="74"/>
      <c r="AR313" s="74"/>
      <c r="AS313" s="74"/>
      <c r="AT313" s="74"/>
      <c r="AU313" s="39"/>
      <c r="AV313" s="39"/>
      <c r="AW313" s="39"/>
      <c r="AX313" s="39"/>
      <c r="AY313" s="39"/>
      <c r="AZ313" s="39"/>
      <c r="BA313" s="39"/>
      <c r="BB313" s="39"/>
      <c r="BC313" s="39"/>
      <c r="BD313" s="39"/>
      <c r="BE313" s="39"/>
      <c r="BF313" s="39"/>
      <c r="BG313" s="39"/>
      <c r="BH313" s="39"/>
      <c r="BI313" s="39"/>
      <c r="BJ313" s="39"/>
      <c r="BK313" s="39"/>
      <c r="BL313" s="39"/>
      <c r="BM313" s="39"/>
    </row>
    <row r="314" spans="1:65" customFormat="1" ht="50.25" hidden="1" customHeight="1">
      <c r="A314" s="234" t="s">
        <v>248</v>
      </c>
      <c r="B314" s="224" t="s">
        <v>814</v>
      </c>
      <c r="C314" s="215" t="s">
        <v>815</v>
      </c>
      <c r="D314" s="216" t="s">
        <v>113</v>
      </c>
      <c r="E314" s="230"/>
      <c r="F314" s="230">
        <v>46251</v>
      </c>
      <c r="G314" s="224">
        <v>0</v>
      </c>
      <c r="H314" s="256">
        <v>6</v>
      </c>
      <c r="I314" s="237">
        <f>SUM(N314:AB314)</f>
        <v>0</v>
      </c>
      <c r="J314" s="221" t="str">
        <f t="shared" si="13"/>
        <v/>
      </c>
      <c r="K314" s="216">
        <v>0</v>
      </c>
      <c r="L314" s="221" t="str">
        <f t="shared" si="14"/>
        <v>Sin estimación</v>
      </c>
      <c r="M314" s="224"/>
      <c r="N314" s="216"/>
      <c r="O314" s="216"/>
      <c r="P314" s="216"/>
      <c r="Q314" s="216"/>
      <c r="R314" s="216"/>
      <c r="S314" s="216"/>
      <c r="T314" s="216"/>
      <c r="U314" s="216"/>
      <c r="V314" s="216"/>
      <c r="W314" s="216"/>
      <c r="X314" s="216"/>
      <c r="Y314" s="216"/>
      <c r="Z314" s="216"/>
      <c r="AA314" s="216"/>
      <c r="AB314" s="216"/>
      <c r="AC314" s="216"/>
      <c r="AD314" s="216"/>
      <c r="AE314" s="249"/>
      <c r="AF314" s="249"/>
      <c r="AG314" s="249"/>
      <c r="AH314" s="249"/>
      <c r="AI314" s="249"/>
      <c r="AJ314" s="249"/>
      <c r="AK314" s="74"/>
      <c r="AL314" s="74"/>
      <c r="AM314" s="74"/>
      <c r="AN314" s="74"/>
      <c r="AO314" s="74"/>
      <c r="AP314" s="74"/>
      <c r="AQ314" s="74"/>
      <c r="AR314" s="74"/>
      <c r="AS314" s="74"/>
      <c r="AT314" s="74"/>
      <c r="AU314" s="39"/>
      <c r="AV314" s="39"/>
      <c r="AW314" s="39"/>
      <c r="AX314" s="39"/>
      <c r="AY314" s="39"/>
      <c r="AZ314" s="39"/>
      <c r="BA314" s="39"/>
      <c r="BB314" s="39"/>
      <c r="BC314" s="39"/>
      <c r="BD314" s="39"/>
      <c r="BE314" s="39"/>
      <c r="BF314" s="39"/>
      <c r="BG314" s="39"/>
      <c r="BH314" s="39"/>
      <c r="BI314" s="39"/>
      <c r="BJ314" s="39"/>
      <c r="BK314" s="39"/>
      <c r="BL314" s="39"/>
      <c r="BM314" s="39"/>
    </row>
    <row r="315" spans="1:65" s="207" customFormat="1" ht="50.25" customHeight="1">
      <c r="A315" s="241" t="s">
        <v>248</v>
      </c>
      <c r="B315" s="241" t="s">
        <v>816</v>
      </c>
      <c r="C315" s="242" t="s">
        <v>817</v>
      </c>
      <c r="D315" s="241" t="s">
        <v>334</v>
      </c>
      <c r="E315" s="243">
        <v>46227</v>
      </c>
      <c r="F315" s="243"/>
      <c r="G315" s="241">
        <v>40</v>
      </c>
      <c r="H315" s="244">
        <v>44</v>
      </c>
      <c r="I315" s="245">
        <f>SUM(N315:AJ315)</f>
        <v>4</v>
      </c>
      <c r="J315" s="221">
        <f t="shared" si="13"/>
        <v>0.2</v>
      </c>
      <c r="K315" s="241">
        <v>0</v>
      </c>
      <c r="L315" s="221" t="str">
        <f t="shared" si="14"/>
        <v>Normal</v>
      </c>
      <c r="M315" s="233"/>
      <c r="N315" s="241"/>
      <c r="O315" s="241"/>
      <c r="P315" s="241">
        <v>4</v>
      </c>
      <c r="Q315" s="241"/>
      <c r="R315" s="241"/>
      <c r="S315" s="241"/>
      <c r="T315" s="241"/>
      <c r="U315" s="241"/>
      <c r="V315" s="241"/>
      <c r="W315" s="241"/>
      <c r="X315" s="241"/>
      <c r="Y315" s="241"/>
      <c r="Z315" s="241"/>
      <c r="AA315" s="241"/>
      <c r="AB315" s="241"/>
      <c r="AC315" s="241"/>
      <c r="AD315" s="241"/>
      <c r="AE315" s="241"/>
      <c r="AF315" s="241"/>
      <c r="AG315" s="241"/>
      <c r="AH315" s="241"/>
      <c r="AI315" s="241"/>
      <c r="AJ315" s="241"/>
      <c r="AK315" s="205"/>
      <c r="AL315" s="205"/>
      <c r="AM315" s="205"/>
      <c r="AN315" s="205"/>
      <c r="AO315" s="205"/>
      <c r="AP315" s="205"/>
      <c r="AQ315" s="205"/>
      <c r="AR315" s="205"/>
      <c r="AS315" s="208"/>
      <c r="AT315" s="208"/>
    </row>
    <row r="316" spans="1:65" customFormat="1" ht="50.25" hidden="1" customHeight="1">
      <c r="A316" s="234" t="s">
        <v>248</v>
      </c>
      <c r="B316" s="224" t="s">
        <v>818</v>
      </c>
      <c r="C316" s="215" t="s">
        <v>819</v>
      </c>
      <c r="D316" s="216" t="s">
        <v>113</v>
      </c>
      <c r="E316" s="230">
        <v>46224</v>
      </c>
      <c r="F316" s="230">
        <v>46226</v>
      </c>
      <c r="G316" s="224">
        <v>0</v>
      </c>
      <c r="H316" s="256">
        <v>8</v>
      </c>
      <c r="I316" s="237">
        <f>SUM(N316:AB316)</f>
        <v>0</v>
      </c>
      <c r="J316" s="221" t="str">
        <f t="shared" si="13"/>
        <v/>
      </c>
      <c r="K316" s="216">
        <v>0</v>
      </c>
      <c r="L316" s="221" t="str">
        <f t="shared" si="14"/>
        <v>Sin estimación</v>
      </c>
      <c r="M316" s="224"/>
      <c r="N316" s="216"/>
      <c r="O316" s="216"/>
      <c r="P316" s="216"/>
      <c r="Q316" s="216"/>
      <c r="R316" s="216"/>
      <c r="S316" s="216"/>
      <c r="T316" s="216"/>
      <c r="U316" s="216"/>
      <c r="V316" s="216"/>
      <c r="W316" s="216"/>
      <c r="X316" s="216"/>
      <c r="Y316" s="216"/>
      <c r="Z316" s="216"/>
      <c r="AA316" s="216"/>
      <c r="AB316" s="216"/>
      <c r="AC316" s="216"/>
      <c r="AD316" s="216"/>
      <c r="AE316" s="249"/>
      <c r="AF316" s="249"/>
      <c r="AG316" s="249"/>
      <c r="AH316" s="249"/>
      <c r="AI316" s="249"/>
      <c r="AJ316" s="249"/>
      <c r="AK316" s="74"/>
      <c r="AL316" s="74"/>
      <c r="AM316" s="74"/>
      <c r="AN316" s="74"/>
      <c r="AO316" s="74"/>
      <c r="AP316" s="74"/>
      <c r="AQ316" s="74"/>
      <c r="AR316" s="74"/>
      <c r="AS316" s="74"/>
      <c r="AT316" s="74"/>
      <c r="AU316" s="39"/>
      <c r="AV316" s="39"/>
      <c r="AW316" s="39"/>
      <c r="AX316" s="39"/>
      <c r="AY316" s="39"/>
      <c r="AZ316" s="39"/>
      <c r="BA316" s="39"/>
      <c r="BB316" s="39"/>
      <c r="BC316" s="39"/>
      <c r="BD316" s="39"/>
      <c r="BE316" s="39"/>
      <c r="BF316" s="39"/>
      <c r="BG316" s="39"/>
      <c r="BH316" s="39"/>
      <c r="BI316" s="39"/>
      <c r="BJ316" s="39"/>
      <c r="BK316" s="39"/>
      <c r="BL316" s="39"/>
      <c r="BM316" s="39"/>
    </row>
    <row r="317" spans="1:65" customFormat="1" ht="50.25" hidden="1" customHeight="1">
      <c r="A317" s="234" t="s">
        <v>248</v>
      </c>
      <c r="B317" s="224" t="s">
        <v>820</v>
      </c>
      <c r="C317" s="215" t="s">
        <v>821</v>
      </c>
      <c r="D317" s="216" t="s">
        <v>113</v>
      </c>
      <c r="E317" s="230">
        <v>46227</v>
      </c>
      <c r="F317" s="230">
        <v>46224</v>
      </c>
      <c r="G317" s="224">
        <v>8</v>
      </c>
      <c r="H317" s="256">
        <v>6</v>
      </c>
      <c r="I317" s="237">
        <f>SUM(N317:AB317)</f>
        <v>0</v>
      </c>
      <c r="J317" s="221">
        <f t="shared" si="13"/>
        <v>-0.25</v>
      </c>
      <c r="K317" s="216">
        <v>0</v>
      </c>
      <c r="L317" s="221" t="str">
        <f t="shared" si="14"/>
        <v>Normal</v>
      </c>
      <c r="M317" s="224"/>
      <c r="N317" s="216"/>
      <c r="O317" s="216"/>
      <c r="P317" s="216"/>
      <c r="Q317" s="216"/>
      <c r="R317" s="216"/>
      <c r="S317" s="216"/>
      <c r="T317" s="216"/>
      <c r="U317" s="216"/>
      <c r="V317" s="216"/>
      <c r="W317" s="216"/>
      <c r="X317" s="216"/>
      <c r="Y317" s="216"/>
      <c r="Z317" s="216"/>
      <c r="AA317" s="216"/>
      <c r="AB317" s="216"/>
      <c r="AC317" s="216"/>
      <c r="AD317" s="216"/>
      <c r="AE317" s="249"/>
      <c r="AF317" s="249"/>
      <c r="AG317" s="249"/>
      <c r="AH317" s="249"/>
      <c r="AI317" s="249"/>
      <c r="AJ317" s="249"/>
      <c r="AK317" s="74"/>
      <c r="AL317" s="74"/>
      <c r="AM317" s="74"/>
      <c r="AN317" s="74"/>
      <c r="AO317" s="74"/>
      <c r="AP317" s="74"/>
      <c r="AQ317" s="74"/>
      <c r="AR317" s="74"/>
      <c r="AS317" s="74"/>
      <c r="AT317" s="74"/>
      <c r="AU317" s="39"/>
      <c r="AV317" s="39"/>
      <c r="AW317" s="39"/>
      <c r="AX317" s="39"/>
      <c r="AY317" s="39"/>
      <c r="AZ317" s="39"/>
      <c r="BA317" s="39"/>
      <c r="BB317" s="39"/>
      <c r="BC317" s="39"/>
      <c r="BD317" s="39"/>
      <c r="BE317" s="39"/>
      <c r="BF317" s="39"/>
      <c r="BG317" s="39"/>
      <c r="BH317" s="39"/>
      <c r="BI317" s="39"/>
      <c r="BJ317" s="39"/>
      <c r="BK317" s="39"/>
      <c r="BL317" s="39"/>
      <c r="BM317" s="39"/>
    </row>
    <row r="318" spans="1:65" customFormat="1" ht="50.25" hidden="1" customHeight="1">
      <c r="A318" s="234" t="s">
        <v>248</v>
      </c>
      <c r="B318" s="224" t="s">
        <v>822</v>
      </c>
      <c r="C318" s="215" t="s">
        <v>823</v>
      </c>
      <c r="D318" s="216" t="s">
        <v>113</v>
      </c>
      <c r="E318" s="230">
        <v>46254</v>
      </c>
      <c r="F318" s="230">
        <v>46226</v>
      </c>
      <c r="G318" s="224">
        <v>8</v>
      </c>
      <c r="H318" s="256">
        <v>6</v>
      </c>
      <c r="I318" s="237">
        <f>SUM(N318:AB318)</f>
        <v>0</v>
      </c>
      <c r="J318" s="221">
        <f t="shared" si="13"/>
        <v>-0.25</v>
      </c>
      <c r="K318" s="216">
        <v>0</v>
      </c>
      <c r="L318" s="221" t="str">
        <f t="shared" si="14"/>
        <v>Normal</v>
      </c>
      <c r="M318" s="224"/>
      <c r="N318" s="216"/>
      <c r="O318" s="216"/>
      <c r="P318" s="216"/>
      <c r="Q318" s="216"/>
      <c r="R318" s="216"/>
      <c r="S318" s="216"/>
      <c r="T318" s="216"/>
      <c r="U318" s="216"/>
      <c r="V318" s="216"/>
      <c r="W318" s="216"/>
      <c r="X318" s="216"/>
      <c r="Y318" s="216"/>
      <c r="Z318" s="216"/>
      <c r="AA318" s="216"/>
      <c r="AB318" s="216"/>
      <c r="AC318" s="216"/>
      <c r="AD318" s="216"/>
      <c r="AE318" s="249"/>
      <c r="AF318" s="249"/>
      <c r="AG318" s="249"/>
      <c r="AH318" s="249"/>
      <c r="AI318" s="249"/>
      <c r="AJ318" s="249"/>
      <c r="AK318" s="74"/>
      <c r="AL318" s="74"/>
      <c r="AM318" s="74"/>
      <c r="AN318" s="74"/>
      <c r="AO318" s="74"/>
      <c r="AP318" s="74"/>
      <c r="AQ318" s="74"/>
      <c r="AR318" s="74"/>
      <c r="AS318" s="74"/>
      <c r="AT318" s="74"/>
      <c r="AU318" s="39"/>
      <c r="AV318" s="39"/>
      <c r="AW318" s="39"/>
      <c r="AX318" s="39"/>
      <c r="AY318" s="39"/>
      <c r="AZ318" s="39"/>
      <c r="BA318" s="39"/>
      <c r="BB318" s="39"/>
      <c r="BC318" s="39"/>
      <c r="BD318" s="39"/>
      <c r="BE318" s="39"/>
      <c r="BF318" s="39"/>
      <c r="BG318" s="39"/>
      <c r="BH318" s="39"/>
      <c r="BI318" s="39"/>
      <c r="BJ318" s="39"/>
      <c r="BK318" s="39"/>
      <c r="BL318" s="39"/>
      <c r="BM318" s="39"/>
    </row>
    <row r="319" spans="1:65" customFormat="1" ht="50.25" hidden="1" customHeight="1">
      <c r="A319" s="234" t="s">
        <v>248</v>
      </c>
      <c r="B319" s="224" t="s">
        <v>824</v>
      </c>
      <c r="C319" s="215" t="s">
        <v>825</v>
      </c>
      <c r="D319" s="216" t="s">
        <v>113</v>
      </c>
      <c r="E319" s="230">
        <v>46265</v>
      </c>
      <c r="F319" s="230">
        <v>46226</v>
      </c>
      <c r="G319" s="224">
        <v>8</v>
      </c>
      <c r="H319" s="256">
        <v>2</v>
      </c>
      <c r="I319" s="237">
        <f>SUM(N319:AB319)</f>
        <v>0</v>
      </c>
      <c r="J319" s="221">
        <f t="shared" si="13"/>
        <v>-0.75</v>
      </c>
      <c r="K319" s="216">
        <v>0</v>
      </c>
      <c r="L319" s="221" t="str">
        <f t="shared" si="14"/>
        <v>Normal</v>
      </c>
      <c r="M319" s="224"/>
      <c r="N319" s="216"/>
      <c r="O319" s="216"/>
      <c r="P319" s="216"/>
      <c r="Q319" s="216"/>
      <c r="R319" s="216"/>
      <c r="S319" s="216"/>
      <c r="T319" s="216"/>
      <c r="U319" s="216"/>
      <c r="V319" s="216"/>
      <c r="W319" s="216"/>
      <c r="X319" s="216"/>
      <c r="Y319" s="216"/>
      <c r="Z319" s="216"/>
      <c r="AA319" s="216"/>
      <c r="AB319" s="216"/>
      <c r="AC319" s="216"/>
      <c r="AD319" s="216"/>
      <c r="AE319" s="249"/>
      <c r="AF319" s="249"/>
      <c r="AG319" s="249"/>
      <c r="AH319" s="249"/>
      <c r="AI319" s="249"/>
      <c r="AJ319" s="249"/>
      <c r="AK319" s="74"/>
      <c r="AL319" s="74"/>
      <c r="AM319" s="74"/>
      <c r="AN319" s="74"/>
      <c r="AO319" s="74"/>
      <c r="AP319" s="74"/>
      <c r="AQ319" s="74"/>
      <c r="AR319" s="74"/>
      <c r="AS319" s="74"/>
      <c r="AT319" s="74"/>
      <c r="AU319" s="39"/>
      <c r="AV319" s="39"/>
      <c r="AW319" s="39"/>
      <c r="AX319" s="39"/>
      <c r="AY319" s="39"/>
      <c r="AZ319" s="39"/>
      <c r="BA319" s="39"/>
      <c r="BB319" s="39"/>
      <c r="BC319" s="39"/>
      <c r="BD319" s="39"/>
      <c r="BE319" s="39"/>
      <c r="BF319" s="39"/>
      <c r="BG319" s="39"/>
      <c r="BH319" s="39"/>
      <c r="BI319" s="39"/>
      <c r="BJ319" s="39"/>
      <c r="BK319" s="39"/>
      <c r="BL319" s="39"/>
      <c r="BM319" s="39"/>
    </row>
    <row r="320" spans="1:65" customFormat="1" ht="50.25" hidden="1" customHeight="1">
      <c r="A320" s="234" t="s">
        <v>248</v>
      </c>
      <c r="B320" s="224" t="s">
        <v>826</v>
      </c>
      <c r="C320" s="215" t="s">
        <v>827</v>
      </c>
      <c r="D320" s="216" t="s">
        <v>113</v>
      </c>
      <c r="E320" s="230">
        <v>46234</v>
      </c>
      <c r="F320" s="230">
        <v>46227</v>
      </c>
      <c r="G320" s="224">
        <v>8</v>
      </c>
      <c r="H320" s="256">
        <v>8</v>
      </c>
      <c r="I320" s="237">
        <f>SUM(N320:AB320)</f>
        <v>0</v>
      </c>
      <c r="J320" s="221">
        <f t="shared" si="13"/>
        <v>0</v>
      </c>
      <c r="K320" s="216">
        <v>0</v>
      </c>
      <c r="L320" s="221" t="str">
        <f t="shared" si="14"/>
        <v>Normal</v>
      </c>
      <c r="M320" s="224"/>
      <c r="N320" s="216"/>
      <c r="O320" s="216"/>
      <c r="P320" s="216"/>
      <c r="Q320" s="216"/>
      <c r="R320" s="216"/>
      <c r="S320" s="216"/>
      <c r="T320" s="216"/>
      <c r="U320" s="216"/>
      <c r="V320" s="216"/>
      <c r="W320" s="216"/>
      <c r="X320" s="216"/>
      <c r="Y320" s="216"/>
      <c r="Z320" s="216"/>
      <c r="AA320" s="216"/>
      <c r="AB320" s="216"/>
      <c r="AC320" s="216"/>
      <c r="AD320" s="216"/>
      <c r="AE320" s="249"/>
      <c r="AF320" s="249"/>
      <c r="AG320" s="249"/>
      <c r="AH320" s="249"/>
      <c r="AI320" s="249"/>
      <c r="AJ320" s="249"/>
      <c r="AK320" s="74"/>
      <c r="AL320" s="74"/>
      <c r="AM320" s="74"/>
      <c r="AN320" s="74"/>
      <c r="AO320" s="74"/>
      <c r="AP320" s="74"/>
      <c r="AQ320" s="74"/>
      <c r="AR320" s="74"/>
      <c r="AS320" s="74"/>
      <c r="AT320" s="74"/>
      <c r="AU320" s="39"/>
      <c r="AV320" s="39"/>
      <c r="AW320" s="39"/>
      <c r="AX320" s="39"/>
      <c r="AY320" s="39"/>
      <c r="AZ320" s="39"/>
      <c r="BA320" s="39"/>
      <c r="BB320" s="39"/>
      <c r="BC320" s="39"/>
      <c r="BD320" s="39"/>
      <c r="BE320" s="39"/>
      <c r="BF320" s="39"/>
      <c r="BG320" s="39"/>
      <c r="BH320" s="39"/>
      <c r="BI320" s="39"/>
      <c r="BJ320" s="39"/>
      <c r="BK320" s="39"/>
      <c r="BL320" s="39"/>
      <c r="BM320" s="39"/>
    </row>
    <row r="321" spans="1:65" customFormat="1" ht="50.25" hidden="1" customHeight="1">
      <c r="A321" s="234" t="s">
        <v>248</v>
      </c>
      <c r="B321" s="224" t="s">
        <v>828</v>
      </c>
      <c r="C321" s="215" t="s">
        <v>829</v>
      </c>
      <c r="D321" s="216" t="s">
        <v>113</v>
      </c>
      <c r="E321" s="230">
        <v>46234</v>
      </c>
      <c r="F321" s="230">
        <v>46231</v>
      </c>
      <c r="G321" s="224">
        <v>16</v>
      </c>
      <c r="H321" s="256">
        <v>10</v>
      </c>
      <c r="I321" s="237">
        <f>SUM(N321:AB321)</f>
        <v>0</v>
      </c>
      <c r="J321" s="221">
        <f t="shared" si="13"/>
        <v>-0.375</v>
      </c>
      <c r="K321" s="216">
        <v>0</v>
      </c>
      <c r="L321" s="221" t="str">
        <f t="shared" si="14"/>
        <v>Normal</v>
      </c>
      <c r="M321" s="224"/>
      <c r="N321" s="216"/>
      <c r="O321" s="216"/>
      <c r="P321" s="216"/>
      <c r="Q321" s="216"/>
      <c r="R321" s="216"/>
      <c r="S321" s="216"/>
      <c r="T321" s="216"/>
      <c r="U321" s="216"/>
      <c r="V321" s="216"/>
      <c r="W321" s="216"/>
      <c r="X321" s="216"/>
      <c r="Y321" s="216"/>
      <c r="Z321" s="216"/>
      <c r="AA321" s="216"/>
      <c r="AB321" s="216"/>
      <c r="AC321" s="216"/>
      <c r="AD321" s="216"/>
      <c r="AE321" s="249"/>
      <c r="AF321" s="249"/>
      <c r="AG321" s="249"/>
      <c r="AH321" s="249"/>
      <c r="AI321" s="249"/>
      <c r="AJ321" s="249"/>
      <c r="AK321" s="74"/>
      <c r="AL321" s="74"/>
      <c r="AM321" s="74"/>
      <c r="AN321" s="74"/>
      <c r="AO321" s="74"/>
      <c r="AP321" s="74"/>
      <c r="AQ321" s="74"/>
      <c r="AR321" s="74"/>
      <c r="AS321" s="74"/>
      <c r="AT321" s="74"/>
      <c r="AU321" s="39"/>
      <c r="AV321" s="39"/>
      <c r="AW321" s="39"/>
      <c r="AX321" s="39"/>
      <c r="AY321" s="39"/>
      <c r="AZ321" s="39"/>
      <c r="BA321" s="39"/>
      <c r="BB321" s="39"/>
      <c r="BC321" s="39"/>
      <c r="BD321" s="39"/>
      <c r="BE321" s="39"/>
      <c r="BF321" s="39"/>
      <c r="BG321" s="39"/>
      <c r="BH321" s="39"/>
      <c r="BI321" s="39"/>
      <c r="BJ321" s="39"/>
      <c r="BK321" s="39"/>
      <c r="BL321" s="39"/>
      <c r="BM321" s="39"/>
    </row>
    <row r="322" spans="1:65" s="207" customFormat="1" ht="50.25" customHeight="1">
      <c r="A322" s="241" t="s">
        <v>248</v>
      </c>
      <c r="B322" s="241" t="s">
        <v>830</v>
      </c>
      <c r="C322" s="242" t="s">
        <v>831</v>
      </c>
      <c r="D322" s="241" t="s">
        <v>113</v>
      </c>
      <c r="E322" s="243">
        <v>46234</v>
      </c>
      <c r="F322" s="243">
        <v>46252</v>
      </c>
      <c r="G322" s="241">
        <v>8</v>
      </c>
      <c r="H322" s="244">
        <v>6</v>
      </c>
      <c r="I322" s="245">
        <f t="shared" ref="I322:I323" si="15">SUM(N322:AJ322)</f>
        <v>2</v>
      </c>
      <c r="J322" s="221">
        <f t="shared" si="13"/>
        <v>0</v>
      </c>
      <c r="K322" s="241">
        <v>0</v>
      </c>
      <c r="L322" s="221" t="str">
        <f t="shared" si="14"/>
        <v>Normal</v>
      </c>
      <c r="M322" s="233"/>
      <c r="N322" s="241"/>
      <c r="O322" s="241">
        <v>2</v>
      </c>
      <c r="P322" s="241"/>
      <c r="Q322" s="241"/>
      <c r="R322" s="241"/>
      <c r="S322" s="241"/>
      <c r="T322" s="241"/>
      <c r="U322" s="241"/>
      <c r="V322" s="241"/>
      <c r="W322" s="241"/>
      <c r="X322" s="241"/>
      <c r="Y322" s="241"/>
      <c r="Z322" s="241"/>
      <c r="AA322" s="241"/>
      <c r="AB322" s="241"/>
      <c r="AC322" s="241"/>
      <c r="AD322" s="241"/>
      <c r="AE322" s="241"/>
      <c r="AF322" s="241"/>
      <c r="AG322" s="241"/>
      <c r="AH322" s="241"/>
      <c r="AI322" s="241"/>
      <c r="AJ322" s="241"/>
      <c r="AK322" s="205"/>
      <c r="AL322" s="205"/>
      <c r="AM322" s="205"/>
      <c r="AN322" s="205"/>
      <c r="AO322" s="205"/>
      <c r="AP322" s="205"/>
      <c r="AQ322" s="205"/>
      <c r="AR322" s="205"/>
      <c r="AS322" s="208"/>
      <c r="AT322" s="208"/>
    </row>
    <row r="323" spans="1:65" s="207" customFormat="1" ht="50.25" customHeight="1">
      <c r="A323" s="241" t="s">
        <v>248</v>
      </c>
      <c r="B323" s="241" t="s">
        <v>832</v>
      </c>
      <c r="C323" s="242" t="s">
        <v>833</v>
      </c>
      <c r="D323" s="241" t="s">
        <v>298</v>
      </c>
      <c r="E323" s="243">
        <v>46265</v>
      </c>
      <c r="F323" s="243"/>
      <c r="G323" s="241">
        <v>10.5</v>
      </c>
      <c r="H323" s="244">
        <v>0</v>
      </c>
      <c r="I323" s="245">
        <f t="shared" si="15"/>
        <v>9.5</v>
      </c>
      <c r="J323" s="221">
        <f t="shared" ref="J323:J386" si="16">IFERROR((H323+I323-G323)/G323,"")</f>
        <v>-9.5238095238095233E-2</v>
      </c>
      <c r="K323" s="241">
        <v>0</v>
      </c>
      <c r="L323" s="221" t="str">
        <f t="shared" ref="L323:L386" si="17">IF(OR(J323="",J323="Sin estimado"),"Sin estimación",IF(J323&gt;=30%,"Desviado","Normal"))</f>
        <v>Normal</v>
      </c>
      <c r="M323" s="233"/>
      <c r="N323" s="241">
        <v>0.5</v>
      </c>
      <c r="O323" s="241">
        <v>0.5</v>
      </c>
      <c r="P323" s="241">
        <v>0.5</v>
      </c>
      <c r="Q323" s="241">
        <v>0.5</v>
      </c>
      <c r="R323" s="241"/>
      <c r="S323" s="241">
        <v>0.5</v>
      </c>
      <c r="T323" s="241">
        <v>0.5</v>
      </c>
      <c r="U323" s="241">
        <v>0.5</v>
      </c>
      <c r="V323" s="241">
        <v>0.5</v>
      </c>
      <c r="W323" s="241">
        <v>0.5</v>
      </c>
      <c r="X323" s="241"/>
      <c r="Y323" s="241">
        <v>0.5</v>
      </c>
      <c r="Z323" s="241">
        <v>0.5</v>
      </c>
      <c r="AA323" s="241">
        <v>0.5</v>
      </c>
      <c r="AB323" s="241">
        <v>0.5</v>
      </c>
      <c r="AC323" s="241">
        <v>0.5</v>
      </c>
      <c r="AD323" s="241">
        <v>0.5</v>
      </c>
      <c r="AE323" s="241">
        <v>0.5</v>
      </c>
      <c r="AF323" s="241">
        <v>0.5</v>
      </c>
      <c r="AG323" s="241">
        <v>0.5</v>
      </c>
      <c r="AH323" s="241"/>
      <c r="AI323" s="241"/>
      <c r="AJ323" s="241">
        <v>0.5</v>
      </c>
      <c r="AK323" s="205"/>
      <c r="AL323" s="205"/>
      <c r="AM323" s="205"/>
      <c r="AN323" s="205"/>
      <c r="AO323" s="205"/>
      <c r="AP323" s="205"/>
      <c r="AQ323" s="205"/>
      <c r="AR323" s="205"/>
      <c r="AS323" s="208"/>
      <c r="AT323" s="208"/>
    </row>
    <row r="324" spans="1:65" s="207" customFormat="1" ht="50.25" customHeight="1">
      <c r="A324" s="241" t="s">
        <v>248</v>
      </c>
      <c r="B324" s="241" t="s">
        <v>834</v>
      </c>
      <c r="C324" s="242" t="s">
        <v>835</v>
      </c>
      <c r="D324" s="241" t="s">
        <v>836</v>
      </c>
      <c r="E324" s="243"/>
      <c r="F324" s="243"/>
      <c r="G324" s="241">
        <v>24</v>
      </c>
      <c r="H324" s="244">
        <v>0</v>
      </c>
      <c r="I324" s="245">
        <f>SUM(N324:AJ324)</f>
        <v>19</v>
      </c>
      <c r="J324" s="221">
        <f t="shared" si="16"/>
        <v>-0.20833333333333334</v>
      </c>
      <c r="K324" s="241">
        <v>0</v>
      </c>
      <c r="L324" s="221" t="str">
        <f t="shared" si="17"/>
        <v>Normal</v>
      </c>
      <c r="M324" s="233"/>
      <c r="N324" s="241">
        <v>8</v>
      </c>
      <c r="O324" s="241">
        <v>6</v>
      </c>
      <c r="P324" s="241">
        <v>4</v>
      </c>
      <c r="Q324" s="241"/>
      <c r="R324" s="241"/>
      <c r="S324" s="241">
        <v>1</v>
      </c>
      <c r="T324" s="241"/>
      <c r="U324" s="241"/>
      <c r="V324" s="241"/>
      <c r="W324" s="241"/>
      <c r="X324" s="241"/>
      <c r="Y324" s="241"/>
      <c r="Z324" s="241"/>
      <c r="AA324" s="241"/>
      <c r="AB324" s="241"/>
      <c r="AC324" s="241"/>
      <c r="AD324" s="241"/>
      <c r="AE324" s="241"/>
      <c r="AF324" s="241"/>
      <c r="AG324" s="241"/>
      <c r="AH324" s="241"/>
      <c r="AI324" s="241"/>
      <c r="AJ324" s="241"/>
      <c r="AK324" s="205"/>
      <c r="AL324" s="205"/>
      <c r="AM324" s="205"/>
      <c r="AN324" s="205"/>
      <c r="AO324" s="205"/>
      <c r="AP324" s="205"/>
      <c r="AQ324" s="205"/>
      <c r="AR324" s="205"/>
      <c r="AS324" s="208"/>
      <c r="AT324" s="208"/>
    </row>
    <row r="325" spans="1:65" s="207" customFormat="1" ht="50.25" customHeight="1">
      <c r="A325" s="241" t="s">
        <v>248</v>
      </c>
      <c r="B325" s="241" t="s">
        <v>837</v>
      </c>
      <c r="C325" s="242" t="s">
        <v>838</v>
      </c>
      <c r="D325" s="241" t="s">
        <v>113</v>
      </c>
      <c r="E325" s="243">
        <v>46266</v>
      </c>
      <c r="F325" s="243">
        <v>46262</v>
      </c>
      <c r="G325" s="241">
        <v>16</v>
      </c>
      <c r="H325" s="244">
        <v>0</v>
      </c>
      <c r="I325" s="245">
        <f>SUM(N325:AJ325)</f>
        <v>15</v>
      </c>
      <c r="J325" s="221">
        <f t="shared" si="16"/>
        <v>-6.25E-2</v>
      </c>
      <c r="K325" s="241">
        <v>0</v>
      </c>
      <c r="L325" s="221" t="str">
        <f t="shared" si="17"/>
        <v>Normal</v>
      </c>
      <c r="M325" s="233"/>
      <c r="N325" s="241"/>
      <c r="O325" s="241"/>
      <c r="P325" s="241"/>
      <c r="Q325" s="241"/>
      <c r="R325" s="241"/>
      <c r="S325" s="241">
        <v>7</v>
      </c>
      <c r="T325" s="241">
        <v>8</v>
      </c>
      <c r="U325" s="241"/>
      <c r="V325" s="241"/>
      <c r="W325" s="241"/>
      <c r="X325" s="241"/>
      <c r="Y325" s="241"/>
      <c r="Z325" s="241"/>
      <c r="AA325" s="241"/>
      <c r="AB325" s="241"/>
      <c r="AC325" s="241"/>
      <c r="AD325" s="241"/>
      <c r="AE325" s="241"/>
      <c r="AF325" s="241"/>
      <c r="AG325" s="241"/>
      <c r="AH325" s="241"/>
      <c r="AI325" s="241"/>
      <c r="AJ325" s="241"/>
      <c r="AK325" s="205"/>
      <c r="AL325" s="205"/>
      <c r="AM325" s="205"/>
      <c r="AN325" s="205"/>
      <c r="AO325" s="205"/>
      <c r="AP325" s="205"/>
      <c r="AQ325" s="205"/>
      <c r="AR325" s="205"/>
      <c r="AS325" s="208"/>
      <c r="AT325" s="208"/>
    </row>
    <row r="326" spans="1:65" s="207" customFormat="1" ht="50.25" customHeight="1">
      <c r="A326" s="241" t="s">
        <v>248</v>
      </c>
      <c r="B326" s="241" t="s">
        <v>839</v>
      </c>
      <c r="C326" s="242" t="s">
        <v>840</v>
      </c>
      <c r="D326" s="241" t="s">
        <v>113</v>
      </c>
      <c r="E326" s="243">
        <v>46266</v>
      </c>
      <c r="F326" s="243">
        <v>46262</v>
      </c>
      <c r="G326" s="241">
        <v>24</v>
      </c>
      <c r="H326" s="244">
        <v>0</v>
      </c>
      <c r="I326" s="245">
        <f>SUM(N326:AJ326)</f>
        <v>20</v>
      </c>
      <c r="J326" s="221">
        <f t="shared" si="16"/>
        <v>-0.16666666666666666</v>
      </c>
      <c r="K326" s="241">
        <v>0</v>
      </c>
      <c r="L326" s="221" t="str">
        <f t="shared" si="17"/>
        <v>Normal</v>
      </c>
      <c r="M326" s="233"/>
      <c r="N326" s="241"/>
      <c r="O326" s="241"/>
      <c r="P326" s="241"/>
      <c r="Q326" s="241"/>
      <c r="R326" s="241"/>
      <c r="S326" s="241"/>
      <c r="T326" s="241"/>
      <c r="U326" s="241">
        <v>8</v>
      </c>
      <c r="V326" s="241"/>
      <c r="W326" s="241">
        <v>8</v>
      </c>
      <c r="X326" s="241"/>
      <c r="Y326" s="241"/>
      <c r="Z326" s="241">
        <v>4</v>
      </c>
      <c r="AA326" s="241"/>
      <c r="AB326" s="241"/>
      <c r="AC326" s="241"/>
      <c r="AD326" s="241"/>
      <c r="AE326" s="241"/>
      <c r="AF326" s="241"/>
      <c r="AG326" s="241"/>
      <c r="AH326" s="241"/>
      <c r="AI326" s="241"/>
      <c r="AJ326" s="241"/>
      <c r="AK326" s="205"/>
      <c r="AL326" s="205"/>
      <c r="AM326" s="205"/>
      <c r="AN326" s="205"/>
      <c r="AO326" s="205"/>
      <c r="AP326" s="205"/>
      <c r="AQ326" s="205"/>
      <c r="AR326" s="205"/>
      <c r="AS326" s="208"/>
      <c r="AT326" s="208"/>
    </row>
    <row r="327" spans="1:65" s="207" customFormat="1" ht="50.25" customHeight="1">
      <c r="A327" s="241" t="s">
        <v>248</v>
      </c>
      <c r="B327" s="241" t="s">
        <v>841</v>
      </c>
      <c r="C327" s="242" t="s">
        <v>842</v>
      </c>
      <c r="D327" s="241" t="s">
        <v>113</v>
      </c>
      <c r="E327" s="243">
        <v>46266</v>
      </c>
      <c r="F327" s="243">
        <v>46262</v>
      </c>
      <c r="G327" s="241">
        <v>8</v>
      </c>
      <c r="H327" s="244">
        <v>0</v>
      </c>
      <c r="I327" s="245">
        <f>SUM(N327:AJ327)</f>
        <v>8</v>
      </c>
      <c r="J327" s="221">
        <f t="shared" si="16"/>
        <v>0</v>
      </c>
      <c r="K327" s="241">
        <v>0</v>
      </c>
      <c r="L327" s="221" t="str">
        <f t="shared" si="17"/>
        <v>Normal</v>
      </c>
      <c r="M327" s="233"/>
      <c r="N327" s="241"/>
      <c r="O327" s="241"/>
      <c r="P327" s="241"/>
      <c r="Q327" s="241"/>
      <c r="R327" s="241"/>
      <c r="S327" s="241"/>
      <c r="T327" s="241"/>
      <c r="U327" s="241"/>
      <c r="V327" s="241">
        <v>8</v>
      </c>
      <c r="W327" s="241"/>
      <c r="X327" s="241"/>
      <c r="Y327" s="241"/>
      <c r="Z327" s="241"/>
      <c r="AA327" s="241"/>
      <c r="AB327" s="241"/>
      <c r="AC327" s="241"/>
      <c r="AD327" s="241"/>
      <c r="AE327" s="241"/>
      <c r="AF327" s="241"/>
      <c r="AG327" s="241"/>
      <c r="AH327" s="241"/>
      <c r="AI327" s="241"/>
      <c r="AJ327" s="241"/>
      <c r="AK327" s="205"/>
      <c r="AL327" s="205"/>
      <c r="AM327" s="205"/>
      <c r="AN327" s="205"/>
      <c r="AO327" s="205"/>
      <c r="AP327" s="205"/>
      <c r="AQ327" s="205"/>
      <c r="AR327" s="205"/>
      <c r="AS327" s="208"/>
      <c r="AT327" s="208"/>
    </row>
    <row r="328" spans="1:65" s="207" customFormat="1" ht="50.25" customHeight="1">
      <c r="A328" s="241" t="s">
        <v>248</v>
      </c>
      <c r="B328" s="241" t="s">
        <v>843</v>
      </c>
      <c r="C328" s="242" t="s">
        <v>844</v>
      </c>
      <c r="D328" s="241" t="s">
        <v>113</v>
      </c>
      <c r="E328" s="243">
        <v>46266</v>
      </c>
      <c r="F328" s="243">
        <v>46262</v>
      </c>
      <c r="G328" s="241">
        <v>8</v>
      </c>
      <c r="H328" s="244">
        <v>0</v>
      </c>
      <c r="I328" s="245">
        <f>SUM(N328:AJ328)</f>
        <v>8</v>
      </c>
      <c r="J328" s="221">
        <f t="shared" si="16"/>
        <v>0</v>
      </c>
      <c r="K328" s="241">
        <v>0</v>
      </c>
      <c r="L328" s="221" t="str">
        <f t="shared" si="17"/>
        <v>Normal</v>
      </c>
      <c r="M328" s="233"/>
      <c r="N328" s="241"/>
      <c r="O328" s="241"/>
      <c r="P328" s="241"/>
      <c r="Q328" s="241"/>
      <c r="R328" s="241"/>
      <c r="S328" s="241"/>
      <c r="T328" s="241"/>
      <c r="U328" s="241"/>
      <c r="V328" s="241"/>
      <c r="W328" s="241"/>
      <c r="X328" s="241"/>
      <c r="Y328" s="241">
        <v>8</v>
      </c>
      <c r="Z328" s="241"/>
      <c r="AA328" s="241"/>
      <c r="AB328" s="241"/>
      <c r="AC328" s="241"/>
      <c r="AD328" s="241"/>
      <c r="AE328" s="241"/>
      <c r="AF328" s="241"/>
      <c r="AG328" s="241"/>
      <c r="AH328" s="241"/>
      <c r="AI328" s="241"/>
      <c r="AJ328" s="241"/>
      <c r="AK328" s="205"/>
      <c r="AL328" s="205"/>
      <c r="AM328" s="205"/>
      <c r="AN328" s="205"/>
      <c r="AO328" s="205"/>
      <c r="AP328" s="205"/>
      <c r="AQ328" s="205"/>
      <c r="AR328" s="205"/>
      <c r="AS328" s="208"/>
      <c r="AT328" s="208"/>
    </row>
    <row r="329" spans="1:65" s="207" customFormat="1" ht="50.25" customHeight="1">
      <c r="A329" s="241" t="s">
        <v>248</v>
      </c>
      <c r="B329" s="241" t="s">
        <v>845</v>
      </c>
      <c r="C329" s="242" t="s">
        <v>846</v>
      </c>
      <c r="D329" s="241" t="s">
        <v>113</v>
      </c>
      <c r="E329" s="243">
        <v>46266</v>
      </c>
      <c r="F329" s="243">
        <v>46262</v>
      </c>
      <c r="G329" s="241">
        <v>8</v>
      </c>
      <c r="H329" s="244">
        <v>0</v>
      </c>
      <c r="I329" s="245">
        <f>SUM(N329:AJ329)</f>
        <v>4</v>
      </c>
      <c r="J329" s="221">
        <f t="shared" si="16"/>
        <v>-0.5</v>
      </c>
      <c r="K329" s="241">
        <v>0</v>
      </c>
      <c r="L329" s="221" t="str">
        <f t="shared" si="17"/>
        <v>Normal</v>
      </c>
      <c r="M329" s="233"/>
      <c r="N329" s="241"/>
      <c r="O329" s="241"/>
      <c r="P329" s="241"/>
      <c r="Q329" s="241"/>
      <c r="R329" s="241"/>
      <c r="S329" s="241"/>
      <c r="T329" s="241"/>
      <c r="U329" s="241"/>
      <c r="V329" s="241"/>
      <c r="W329" s="241"/>
      <c r="X329" s="241"/>
      <c r="Y329" s="241"/>
      <c r="Z329" s="241">
        <v>4</v>
      </c>
      <c r="AA329" s="241"/>
      <c r="AB329" s="241"/>
      <c r="AC329" s="241"/>
      <c r="AD329" s="241"/>
      <c r="AE329" s="241"/>
      <c r="AF329" s="241"/>
      <c r="AG329" s="241"/>
      <c r="AH329" s="241"/>
      <c r="AI329" s="241"/>
      <c r="AJ329" s="241"/>
      <c r="AK329" s="205"/>
      <c r="AL329" s="205"/>
      <c r="AM329" s="205"/>
      <c r="AN329" s="205"/>
      <c r="AO329" s="205"/>
      <c r="AP329" s="205"/>
      <c r="AQ329" s="205"/>
      <c r="AR329" s="205"/>
      <c r="AS329" s="208"/>
      <c r="AT329" s="208"/>
    </row>
    <row r="330" spans="1:65" s="207" customFormat="1" ht="50.25" customHeight="1">
      <c r="A330" s="241" t="s">
        <v>248</v>
      </c>
      <c r="B330" s="241" t="s">
        <v>847</v>
      </c>
      <c r="C330" s="242" t="s">
        <v>848</v>
      </c>
      <c r="D330" s="241" t="s">
        <v>113</v>
      </c>
      <c r="E330" s="243">
        <v>46266</v>
      </c>
      <c r="F330" s="243">
        <v>46262</v>
      </c>
      <c r="G330" s="241">
        <v>8</v>
      </c>
      <c r="H330" s="244">
        <v>0</v>
      </c>
      <c r="I330" s="245">
        <f>SUM(N330:AJ330)</f>
        <v>8</v>
      </c>
      <c r="J330" s="221">
        <f t="shared" si="16"/>
        <v>0</v>
      </c>
      <c r="K330" s="241">
        <v>0</v>
      </c>
      <c r="L330" s="221" t="str">
        <f t="shared" si="17"/>
        <v>Normal</v>
      </c>
      <c r="M330" s="233"/>
      <c r="N330" s="241"/>
      <c r="O330" s="241"/>
      <c r="P330" s="241"/>
      <c r="Q330" s="241"/>
      <c r="R330" s="241"/>
      <c r="S330" s="241"/>
      <c r="T330" s="241"/>
      <c r="U330" s="241"/>
      <c r="V330" s="241"/>
      <c r="W330" s="241"/>
      <c r="X330" s="241"/>
      <c r="Y330" s="241"/>
      <c r="Z330" s="241"/>
      <c r="AA330" s="241">
        <v>8</v>
      </c>
      <c r="AB330" s="241"/>
      <c r="AC330" s="241"/>
      <c r="AD330" s="241"/>
      <c r="AE330" s="241"/>
      <c r="AF330" s="241"/>
      <c r="AG330" s="241"/>
      <c r="AH330" s="241"/>
      <c r="AI330" s="241"/>
      <c r="AJ330" s="241"/>
      <c r="AK330" s="205"/>
      <c r="AL330" s="205"/>
      <c r="AM330" s="205"/>
      <c r="AN330" s="205"/>
      <c r="AO330" s="205"/>
      <c r="AP330" s="205"/>
      <c r="AQ330" s="205"/>
      <c r="AR330" s="205"/>
      <c r="AS330" s="208"/>
      <c r="AT330" s="208"/>
    </row>
    <row r="331" spans="1:65" s="207" customFormat="1" ht="50.25" customHeight="1">
      <c r="A331" s="241" t="s">
        <v>248</v>
      </c>
      <c r="B331" s="241" t="s">
        <v>849</v>
      </c>
      <c r="C331" s="242" t="s">
        <v>850</v>
      </c>
      <c r="D331" s="241" t="s">
        <v>113</v>
      </c>
      <c r="E331" s="243">
        <v>46269</v>
      </c>
      <c r="F331" s="243">
        <v>46262</v>
      </c>
      <c r="G331" s="241">
        <v>32</v>
      </c>
      <c r="H331" s="244">
        <v>0</v>
      </c>
      <c r="I331" s="245">
        <f>SUM(N331:AJ331)</f>
        <v>23</v>
      </c>
      <c r="J331" s="221">
        <f t="shared" si="16"/>
        <v>-0.28125</v>
      </c>
      <c r="K331" s="241">
        <v>0</v>
      </c>
      <c r="L331" s="221" t="str">
        <f t="shared" si="17"/>
        <v>Normal</v>
      </c>
      <c r="M331" s="233"/>
      <c r="N331" s="241"/>
      <c r="O331" s="241"/>
      <c r="P331" s="241"/>
      <c r="Q331" s="241"/>
      <c r="R331" s="241"/>
      <c r="S331" s="241"/>
      <c r="T331" s="241"/>
      <c r="U331" s="241"/>
      <c r="V331" s="241"/>
      <c r="W331" s="241"/>
      <c r="X331" s="241"/>
      <c r="Y331" s="241"/>
      <c r="Z331" s="241"/>
      <c r="AA331" s="241"/>
      <c r="AB331" s="241">
        <v>8</v>
      </c>
      <c r="AC331" s="241"/>
      <c r="AD331" s="241">
        <v>8</v>
      </c>
      <c r="AE331" s="241"/>
      <c r="AF331" s="241">
        <v>7</v>
      </c>
      <c r="AG331" s="241"/>
      <c r="AH331" s="241"/>
      <c r="AI331" s="241"/>
      <c r="AJ331" s="241"/>
      <c r="AK331" s="205"/>
      <c r="AL331" s="205"/>
      <c r="AM331" s="205"/>
      <c r="AN331" s="205"/>
      <c r="AO331" s="205"/>
      <c r="AP331" s="205"/>
      <c r="AQ331" s="205"/>
      <c r="AR331" s="205"/>
      <c r="AS331" s="208"/>
      <c r="AT331" s="208"/>
    </row>
    <row r="332" spans="1:65" s="207" customFormat="1" ht="50.25" customHeight="1">
      <c r="A332" s="241" t="s">
        <v>248</v>
      </c>
      <c r="B332" s="241" t="s">
        <v>851</v>
      </c>
      <c r="C332" s="242" t="s">
        <v>852</v>
      </c>
      <c r="D332" s="241" t="s">
        <v>116</v>
      </c>
      <c r="E332" s="243">
        <v>46269</v>
      </c>
      <c r="F332" s="243"/>
      <c r="G332" s="241">
        <v>32</v>
      </c>
      <c r="H332" s="244">
        <v>0</v>
      </c>
      <c r="I332" s="245">
        <f>SUM(N332:AJ332)</f>
        <v>19</v>
      </c>
      <c r="J332" s="221">
        <f t="shared" si="16"/>
        <v>-0.40625</v>
      </c>
      <c r="K332" s="241">
        <v>0</v>
      </c>
      <c r="L332" s="221" t="str">
        <f t="shared" si="17"/>
        <v>Normal</v>
      </c>
      <c r="M332" s="233"/>
      <c r="N332" s="241"/>
      <c r="O332" s="241"/>
      <c r="P332" s="241"/>
      <c r="Q332" s="241"/>
      <c r="R332" s="241"/>
      <c r="S332" s="241"/>
      <c r="T332" s="241"/>
      <c r="U332" s="241"/>
      <c r="V332" s="241"/>
      <c r="W332" s="241"/>
      <c r="X332" s="241"/>
      <c r="Y332" s="241"/>
      <c r="Z332" s="241"/>
      <c r="AA332" s="241"/>
      <c r="AB332" s="241"/>
      <c r="AC332" s="241">
        <v>8</v>
      </c>
      <c r="AD332" s="241"/>
      <c r="AE332" s="241">
        <v>7</v>
      </c>
      <c r="AF332" s="241"/>
      <c r="AG332" s="241">
        <v>4</v>
      </c>
      <c r="AH332" s="241"/>
      <c r="AI332" s="241"/>
      <c r="AJ332" s="241"/>
      <c r="AK332" s="205"/>
      <c r="AL332" s="205"/>
      <c r="AM332" s="205"/>
      <c r="AN332" s="205"/>
      <c r="AO332" s="205"/>
      <c r="AP332" s="205"/>
      <c r="AQ332" s="205"/>
      <c r="AR332" s="205"/>
      <c r="AS332" s="208"/>
      <c r="AT332" s="208"/>
    </row>
    <row r="333" spans="1:65" s="207" customFormat="1" ht="50.25" customHeight="1">
      <c r="A333" s="241" t="s">
        <v>248</v>
      </c>
      <c r="B333" s="241" t="s">
        <v>853</v>
      </c>
      <c r="C333" s="242" t="s">
        <v>854</v>
      </c>
      <c r="D333" s="241" t="s">
        <v>116</v>
      </c>
      <c r="E333" s="243">
        <v>46266</v>
      </c>
      <c r="F333" s="243"/>
      <c r="G333" s="241">
        <v>4</v>
      </c>
      <c r="H333" s="244">
        <v>0</v>
      </c>
      <c r="I333" s="245">
        <f>SUM(N333:AJ333)</f>
        <v>2</v>
      </c>
      <c r="J333" s="221">
        <f t="shared" si="16"/>
        <v>-0.5</v>
      </c>
      <c r="K333" s="241">
        <v>0</v>
      </c>
      <c r="L333" s="221" t="str">
        <f t="shared" si="17"/>
        <v>Normal</v>
      </c>
      <c r="M333" s="233"/>
      <c r="N333" s="241"/>
      <c r="O333" s="241"/>
      <c r="P333" s="241"/>
      <c r="Q333" s="241"/>
      <c r="R333" s="241"/>
      <c r="S333" s="241"/>
      <c r="T333" s="241"/>
      <c r="U333" s="241"/>
      <c r="V333" s="241"/>
      <c r="W333" s="241"/>
      <c r="X333" s="241"/>
      <c r="Y333" s="241"/>
      <c r="Z333" s="241"/>
      <c r="AA333" s="241"/>
      <c r="AB333" s="241"/>
      <c r="AC333" s="241"/>
      <c r="AD333" s="241"/>
      <c r="AE333" s="241">
        <v>1</v>
      </c>
      <c r="AF333" s="241">
        <v>1</v>
      </c>
      <c r="AG333" s="241"/>
      <c r="AH333" s="241"/>
      <c r="AI333" s="241"/>
      <c r="AJ333" s="241"/>
      <c r="AK333" s="205"/>
      <c r="AL333" s="205"/>
      <c r="AM333" s="205"/>
      <c r="AN333" s="205"/>
      <c r="AO333" s="205"/>
      <c r="AP333" s="205"/>
      <c r="AQ333" s="205"/>
      <c r="AR333" s="205"/>
      <c r="AS333" s="208"/>
      <c r="AT333" s="208"/>
    </row>
    <row r="334" spans="1:65" s="207" customFormat="1" ht="50.25" customHeight="1">
      <c r="A334" s="241" t="s">
        <v>248</v>
      </c>
      <c r="B334" s="241" t="s">
        <v>855</v>
      </c>
      <c r="C334" s="242" t="s">
        <v>856</v>
      </c>
      <c r="D334" s="241" t="s">
        <v>116</v>
      </c>
      <c r="E334" s="243"/>
      <c r="F334" s="243"/>
      <c r="G334" s="241"/>
      <c r="H334" s="244">
        <v>0</v>
      </c>
      <c r="I334" s="245">
        <f>SUM(N334:AJ334)</f>
        <v>4</v>
      </c>
      <c r="J334" s="221" t="str">
        <f t="shared" si="16"/>
        <v/>
      </c>
      <c r="K334" s="241">
        <v>0</v>
      </c>
      <c r="L334" s="221" t="str">
        <f t="shared" si="17"/>
        <v>Sin estimación</v>
      </c>
      <c r="M334" s="233"/>
      <c r="N334" s="241"/>
      <c r="O334" s="241"/>
      <c r="P334" s="241"/>
      <c r="Q334" s="241"/>
      <c r="R334" s="241"/>
      <c r="S334" s="241"/>
      <c r="T334" s="241"/>
      <c r="U334" s="241"/>
      <c r="V334" s="241"/>
      <c r="W334" s="241"/>
      <c r="X334" s="241"/>
      <c r="Y334" s="241"/>
      <c r="Z334" s="241"/>
      <c r="AA334" s="241"/>
      <c r="AB334" s="241"/>
      <c r="AC334" s="241"/>
      <c r="AD334" s="241"/>
      <c r="AE334" s="241"/>
      <c r="AF334" s="241"/>
      <c r="AG334" s="241">
        <v>4</v>
      </c>
      <c r="AH334" s="241"/>
      <c r="AI334" s="241"/>
      <c r="AJ334" s="241"/>
      <c r="AK334" s="205"/>
      <c r="AL334" s="205"/>
      <c r="AM334" s="205"/>
      <c r="AN334" s="205"/>
      <c r="AO334" s="205"/>
      <c r="AP334" s="205"/>
      <c r="AQ334" s="205"/>
      <c r="AR334" s="205"/>
      <c r="AS334" s="208"/>
      <c r="AT334" s="208"/>
    </row>
    <row r="335" spans="1:65" customFormat="1" ht="50.25" hidden="1" customHeight="1">
      <c r="A335" s="224" t="s">
        <v>240</v>
      </c>
      <c r="B335" s="224" t="s">
        <v>857</v>
      </c>
      <c r="C335" s="233" t="s">
        <v>858</v>
      </c>
      <c r="D335" s="216" t="s">
        <v>106</v>
      </c>
      <c r="E335" s="230">
        <v>46003</v>
      </c>
      <c r="F335" s="230">
        <v>45996</v>
      </c>
      <c r="G335" s="224">
        <v>52</v>
      </c>
      <c r="H335" s="256">
        <v>67</v>
      </c>
      <c r="I335" s="237">
        <f>SUM(N335:AJ335)</f>
        <v>0</v>
      </c>
      <c r="J335" s="221">
        <f t="shared" si="16"/>
        <v>0.28846153846153844</v>
      </c>
      <c r="K335" s="216">
        <v>1</v>
      </c>
      <c r="L335" s="221" t="str">
        <f t="shared" si="17"/>
        <v>Normal</v>
      </c>
      <c r="M335" s="222"/>
      <c r="N335" s="216"/>
      <c r="O335" s="216"/>
      <c r="P335" s="216"/>
      <c r="Q335" s="216"/>
      <c r="R335" s="216"/>
      <c r="S335" s="222"/>
      <c r="T335" s="161"/>
      <c r="U335" s="226"/>
      <c r="V335" s="226"/>
      <c r="W335" s="226"/>
      <c r="X335" s="226"/>
      <c r="Y335" s="226"/>
      <c r="Z335" s="226"/>
      <c r="AA335" s="226"/>
      <c r="AB335" s="226"/>
      <c r="AC335" s="226"/>
      <c r="AD335" s="226"/>
      <c r="AE335" s="226"/>
      <c r="AF335" s="226"/>
      <c r="AG335" s="226"/>
      <c r="AH335" s="226"/>
      <c r="AI335" s="226"/>
      <c r="AJ335" s="226"/>
    </row>
    <row r="336" spans="1:65" customFormat="1" ht="50.25" hidden="1" customHeight="1">
      <c r="A336" s="224" t="s">
        <v>240</v>
      </c>
      <c r="B336" s="224" t="s">
        <v>859</v>
      </c>
      <c r="C336" s="233" t="s">
        <v>860</v>
      </c>
      <c r="D336" s="216" t="s">
        <v>307</v>
      </c>
      <c r="E336" s="230">
        <v>46006</v>
      </c>
      <c r="F336" s="230">
        <v>46044</v>
      </c>
      <c r="G336" s="224">
        <v>64</v>
      </c>
      <c r="H336" s="256">
        <v>70</v>
      </c>
      <c r="I336" s="237">
        <f t="shared" ref="I336:I382" si="18">SUM(N336:AJ336)</f>
        <v>0</v>
      </c>
      <c r="J336" s="221">
        <f t="shared" si="16"/>
        <v>9.375E-2</v>
      </c>
      <c r="K336" s="216">
        <v>0</v>
      </c>
      <c r="L336" s="221" t="str">
        <f t="shared" si="17"/>
        <v>Normal</v>
      </c>
      <c r="M336" s="161"/>
      <c r="N336" s="224"/>
      <c r="O336" s="224"/>
      <c r="P336" s="224"/>
      <c r="Q336" s="224"/>
      <c r="R336" s="224"/>
      <c r="S336" s="161"/>
      <c r="T336" s="161"/>
      <c r="U336" s="226"/>
      <c r="V336" s="226"/>
      <c r="W336" s="226"/>
      <c r="X336" s="226"/>
      <c r="Y336" s="226"/>
      <c r="Z336" s="226"/>
      <c r="AA336" s="226"/>
      <c r="AB336" s="226"/>
      <c r="AC336" s="226"/>
      <c r="AD336" s="226"/>
      <c r="AE336" s="226"/>
      <c r="AF336" s="226"/>
      <c r="AG336" s="226"/>
      <c r="AH336" s="226"/>
      <c r="AI336" s="226"/>
      <c r="AJ336" s="226"/>
    </row>
    <row r="337" spans="1:44" customFormat="1" ht="50.25" hidden="1" customHeight="1">
      <c r="A337" s="224" t="s">
        <v>240</v>
      </c>
      <c r="B337" s="224" t="s">
        <v>623</v>
      </c>
      <c r="C337" s="233" t="s">
        <v>624</v>
      </c>
      <c r="D337" s="216" t="s">
        <v>298</v>
      </c>
      <c r="E337" s="230">
        <v>45961</v>
      </c>
      <c r="F337" s="230">
        <v>45961</v>
      </c>
      <c r="G337" s="224">
        <v>11</v>
      </c>
      <c r="H337" s="256">
        <v>11</v>
      </c>
      <c r="I337" s="237">
        <f t="shared" si="18"/>
        <v>0</v>
      </c>
      <c r="J337" s="221">
        <f t="shared" si="16"/>
        <v>0</v>
      </c>
      <c r="K337" s="216">
        <v>0</v>
      </c>
      <c r="L337" s="221" t="str">
        <f t="shared" si="17"/>
        <v>Normal</v>
      </c>
      <c r="M337" s="161"/>
      <c r="N337" s="224"/>
      <c r="O337" s="224"/>
      <c r="P337" s="224"/>
      <c r="Q337" s="224"/>
      <c r="R337" s="224"/>
      <c r="S337" s="224"/>
      <c r="T337" s="161"/>
      <c r="U337" s="226"/>
      <c r="V337" s="226"/>
      <c r="W337" s="226"/>
      <c r="X337" s="226"/>
      <c r="Y337" s="226"/>
      <c r="Z337" s="226"/>
      <c r="AA337" s="226"/>
      <c r="AB337" s="226"/>
      <c r="AC337" s="226"/>
      <c r="AD337" s="226"/>
      <c r="AE337" s="226"/>
      <c r="AF337" s="226"/>
      <c r="AG337" s="226"/>
      <c r="AH337" s="226"/>
      <c r="AI337" s="226"/>
      <c r="AJ337" s="226"/>
    </row>
    <row r="338" spans="1:44" customFormat="1" ht="50.25" hidden="1" customHeight="1">
      <c r="A338" s="224" t="s">
        <v>240</v>
      </c>
      <c r="B338" s="224" t="s">
        <v>861</v>
      </c>
      <c r="C338" s="233" t="s">
        <v>862</v>
      </c>
      <c r="D338" s="216" t="s">
        <v>244</v>
      </c>
      <c r="E338" s="230">
        <v>46022</v>
      </c>
      <c r="F338" s="230">
        <v>45967</v>
      </c>
      <c r="G338" s="224">
        <v>68</v>
      </c>
      <c r="H338" s="256">
        <v>80</v>
      </c>
      <c r="I338" s="237">
        <f t="shared" si="18"/>
        <v>0</v>
      </c>
      <c r="J338" s="221">
        <f t="shared" si="16"/>
        <v>0.17647058823529413</v>
      </c>
      <c r="K338" s="216">
        <v>1</v>
      </c>
      <c r="L338" s="221" t="str">
        <f t="shared" si="17"/>
        <v>Normal</v>
      </c>
      <c r="M338" s="161"/>
      <c r="N338" s="224"/>
      <c r="O338" s="224"/>
      <c r="P338" s="224"/>
      <c r="Q338" s="224"/>
      <c r="R338" s="224"/>
      <c r="S338" s="224"/>
      <c r="T338" s="161"/>
      <c r="U338" s="226"/>
      <c r="V338" s="226"/>
      <c r="W338" s="226"/>
      <c r="X338" s="226"/>
      <c r="Y338" s="226"/>
      <c r="Z338" s="226"/>
      <c r="AA338" s="226"/>
      <c r="AB338" s="226"/>
      <c r="AC338" s="226"/>
      <c r="AD338" s="226"/>
      <c r="AE338" s="226"/>
      <c r="AF338" s="226"/>
      <c r="AG338" s="226"/>
      <c r="AH338" s="226"/>
      <c r="AI338" s="226"/>
      <c r="AJ338" s="226"/>
    </row>
    <row r="339" spans="1:44" customFormat="1" ht="50.25" hidden="1" customHeight="1">
      <c r="A339" s="224" t="s">
        <v>240</v>
      </c>
      <c r="B339" s="228" t="s">
        <v>641</v>
      </c>
      <c r="C339" s="233" t="s">
        <v>642</v>
      </c>
      <c r="D339" s="216" t="s">
        <v>298</v>
      </c>
      <c r="E339" s="230">
        <v>45991</v>
      </c>
      <c r="F339" s="230">
        <v>45991</v>
      </c>
      <c r="G339" s="224">
        <v>9</v>
      </c>
      <c r="H339" s="256">
        <v>9</v>
      </c>
      <c r="I339" s="237">
        <f t="shared" si="18"/>
        <v>0</v>
      </c>
      <c r="J339" s="221">
        <f t="shared" si="16"/>
        <v>0</v>
      </c>
      <c r="K339" s="224">
        <v>0</v>
      </c>
      <c r="L339" s="221" t="str">
        <f t="shared" si="17"/>
        <v>Normal</v>
      </c>
      <c r="M339" s="161"/>
      <c r="N339" s="216"/>
      <c r="O339" s="216"/>
      <c r="P339" s="216"/>
      <c r="Q339" s="216"/>
      <c r="R339" s="216"/>
      <c r="S339" s="216"/>
      <c r="T339" s="161"/>
      <c r="U339" s="226"/>
      <c r="V339" s="226"/>
      <c r="W339" s="226"/>
      <c r="X339" s="226"/>
      <c r="Y339" s="226"/>
      <c r="Z339" s="226"/>
      <c r="AA339" s="226"/>
      <c r="AB339" s="226"/>
      <c r="AC339" s="226"/>
      <c r="AD339" s="226"/>
      <c r="AE339" s="226"/>
      <c r="AF339" s="226"/>
      <c r="AG339" s="226"/>
      <c r="AH339" s="226"/>
      <c r="AI339" s="226"/>
      <c r="AJ339" s="226"/>
    </row>
    <row r="340" spans="1:44" customFormat="1" ht="50.25" hidden="1" customHeight="1">
      <c r="A340" s="224" t="s">
        <v>240</v>
      </c>
      <c r="B340" s="228" t="s">
        <v>863</v>
      </c>
      <c r="C340" s="233" t="s">
        <v>864</v>
      </c>
      <c r="D340" s="216" t="s">
        <v>244</v>
      </c>
      <c r="E340" s="230">
        <v>45993</v>
      </c>
      <c r="F340" s="230">
        <v>45996</v>
      </c>
      <c r="G340" s="224">
        <v>8</v>
      </c>
      <c r="H340" s="256">
        <v>10</v>
      </c>
      <c r="I340" s="237">
        <f t="shared" si="18"/>
        <v>0</v>
      </c>
      <c r="J340" s="221">
        <f t="shared" si="16"/>
        <v>0.25</v>
      </c>
      <c r="K340" s="224">
        <v>1</v>
      </c>
      <c r="L340" s="221" t="str">
        <f t="shared" si="17"/>
        <v>Normal</v>
      </c>
      <c r="M340" s="161"/>
      <c r="N340" s="216"/>
      <c r="O340" s="216"/>
      <c r="P340" s="216"/>
      <c r="Q340" s="216"/>
      <c r="R340" s="216"/>
      <c r="S340" s="216"/>
      <c r="T340" s="161"/>
      <c r="U340" s="226"/>
      <c r="V340" s="226"/>
      <c r="W340" s="226"/>
      <c r="X340" s="226"/>
      <c r="Y340" s="226"/>
      <c r="Z340" s="226"/>
      <c r="AA340" s="226"/>
      <c r="AB340" s="226"/>
      <c r="AC340" s="226"/>
      <c r="AD340" s="226"/>
      <c r="AE340" s="226"/>
      <c r="AF340" s="226"/>
      <c r="AG340" s="226"/>
      <c r="AH340" s="226"/>
      <c r="AI340" s="226"/>
      <c r="AJ340" s="226"/>
    </row>
    <row r="341" spans="1:44" customFormat="1" ht="50.25" hidden="1" customHeight="1">
      <c r="A341" s="224" t="s">
        <v>240</v>
      </c>
      <c r="B341" s="228" t="s">
        <v>661</v>
      </c>
      <c r="C341" s="233" t="s">
        <v>662</v>
      </c>
      <c r="D341" s="216" t="s">
        <v>298</v>
      </c>
      <c r="E341" s="230">
        <v>46022</v>
      </c>
      <c r="F341" s="230">
        <v>46022</v>
      </c>
      <c r="G341" s="224">
        <v>10.5</v>
      </c>
      <c r="H341" s="256">
        <v>0</v>
      </c>
      <c r="I341" s="237">
        <f t="shared" si="18"/>
        <v>0</v>
      </c>
      <c r="J341" s="221">
        <f t="shared" si="16"/>
        <v>-1</v>
      </c>
      <c r="K341" s="224">
        <v>0</v>
      </c>
      <c r="L341" s="221" t="str">
        <f t="shared" si="17"/>
        <v>Normal</v>
      </c>
      <c r="M341" s="161"/>
      <c r="N341" s="216"/>
      <c r="O341" s="216"/>
      <c r="P341" s="216"/>
      <c r="Q341" s="216"/>
      <c r="R341" s="216"/>
      <c r="S341" s="216"/>
      <c r="T341" s="161"/>
      <c r="U341" s="226"/>
      <c r="V341" s="226"/>
      <c r="W341" s="226"/>
      <c r="X341" s="226"/>
      <c r="Y341" s="226"/>
      <c r="Z341" s="226"/>
      <c r="AA341" s="226"/>
      <c r="AB341" s="226"/>
      <c r="AC341" s="226"/>
      <c r="AD341" s="226"/>
      <c r="AE341" s="226"/>
      <c r="AF341" s="226"/>
      <c r="AG341" s="226"/>
      <c r="AH341" s="226"/>
      <c r="AI341" s="226"/>
      <c r="AJ341" s="226"/>
    </row>
    <row r="342" spans="1:44" customFormat="1" ht="50.25" hidden="1" customHeight="1">
      <c r="A342" s="224" t="s">
        <v>240</v>
      </c>
      <c r="B342" s="228" t="s">
        <v>865</v>
      </c>
      <c r="C342" s="215" t="s">
        <v>866</v>
      </c>
      <c r="D342" s="216" t="s">
        <v>298</v>
      </c>
      <c r="E342" s="230">
        <v>46020</v>
      </c>
      <c r="F342" s="230">
        <v>46027</v>
      </c>
      <c r="G342" s="224">
        <v>78</v>
      </c>
      <c r="H342" s="256">
        <v>100</v>
      </c>
      <c r="I342" s="237">
        <f t="shared" si="18"/>
        <v>0</v>
      </c>
      <c r="J342" s="221">
        <f t="shared" si="16"/>
        <v>0.28205128205128205</v>
      </c>
      <c r="K342" s="224">
        <v>1</v>
      </c>
      <c r="L342" s="221" t="str">
        <f t="shared" si="17"/>
        <v>Normal</v>
      </c>
      <c r="M342" s="161"/>
      <c r="N342" s="216"/>
      <c r="O342" s="216"/>
      <c r="P342" s="216"/>
      <c r="Q342" s="216"/>
      <c r="R342" s="216"/>
      <c r="S342" s="216"/>
      <c r="T342" s="161"/>
      <c r="U342" s="226"/>
      <c r="V342" s="226"/>
      <c r="W342" s="226"/>
      <c r="X342" s="226"/>
      <c r="Y342" s="226"/>
      <c r="Z342" s="226"/>
      <c r="AA342" s="226"/>
      <c r="AB342" s="226"/>
      <c r="AC342" s="226"/>
      <c r="AD342" s="226"/>
      <c r="AE342" s="226"/>
      <c r="AF342" s="226"/>
      <c r="AG342" s="226"/>
      <c r="AH342" s="226"/>
      <c r="AI342" s="226"/>
      <c r="AJ342" s="226"/>
    </row>
    <row r="343" spans="1:44" customFormat="1" ht="50.25" hidden="1" customHeight="1">
      <c r="A343" s="224" t="s">
        <v>240</v>
      </c>
      <c r="B343" s="224" t="s">
        <v>241</v>
      </c>
      <c r="C343" s="215" t="s">
        <v>243</v>
      </c>
      <c r="D343" s="216" t="s">
        <v>244</v>
      </c>
      <c r="E343" s="262">
        <v>45958</v>
      </c>
      <c r="F343" s="230">
        <v>45957</v>
      </c>
      <c r="G343" s="224">
        <v>87</v>
      </c>
      <c r="H343" s="256">
        <v>99</v>
      </c>
      <c r="I343" s="237">
        <f t="shared" si="18"/>
        <v>0</v>
      </c>
      <c r="J343" s="221">
        <f t="shared" si="16"/>
        <v>0.13793103448275862</v>
      </c>
      <c r="K343" s="224">
        <v>5</v>
      </c>
      <c r="L343" s="221" t="str">
        <f t="shared" si="17"/>
        <v>Normal</v>
      </c>
      <c r="M343" s="161"/>
      <c r="N343" s="216"/>
      <c r="O343" s="216"/>
      <c r="P343" s="216"/>
      <c r="Q343" s="216"/>
      <c r="R343" s="216"/>
      <c r="S343" s="216"/>
      <c r="T343" s="161"/>
      <c r="U343" s="226"/>
      <c r="V343" s="226"/>
      <c r="W343" s="226"/>
      <c r="X343" s="226"/>
      <c r="Y343" s="226"/>
      <c r="Z343" s="226"/>
      <c r="AA343" s="226"/>
      <c r="AB343" s="226"/>
      <c r="AC343" s="226"/>
      <c r="AD343" s="226"/>
      <c r="AE343" s="226"/>
      <c r="AF343" s="226"/>
      <c r="AG343" s="226"/>
      <c r="AH343" s="226"/>
      <c r="AI343" s="226"/>
      <c r="AJ343" s="226"/>
    </row>
    <row r="344" spans="1:44" customFormat="1" ht="50.25" hidden="1" customHeight="1">
      <c r="A344" s="224" t="s">
        <v>240</v>
      </c>
      <c r="B344" s="224" t="s">
        <v>867</v>
      </c>
      <c r="C344" s="215" t="s">
        <v>868</v>
      </c>
      <c r="D344" s="216" t="s">
        <v>298</v>
      </c>
      <c r="E344" s="230">
        <v>45947</v>
      </c>
      <c r="F344" s="230">
        <v>45933</v>
      </c>
      <c r="G344" s="224">
        <v>58</v>
      </c>
      <c r="H344" s="256">
        <v>75</v>
      </c>
      <c r="I344" s="237">
        <f t="shared" si="18"/>
        <v>0</v>
      </c>
      <c r="J344" s="221">
        <f t="shared" si="16"/>
        <v>0.29310344827586204</v>
      </c>
      <c r="K344" s="216">
        <v>2</v>
      </c>
      <c r="L344" s="221" t="str">
        <f t="shared" si="17"/>
        <v>Normal</v>
      </c>
      <c r="M344" s="222"/>
      <c r="N344" s="216"/>
      <c r="O344" s="216"/>
      <c r="P344" s="216"/>
      <c r="Q344" s="216"/>
      <c r="R344" s="216"/>
      <c r="S344" s="222"/>
      <c r="T344" s="161"/>
      <c r="U344" s="226"/>
      <c r="V344" s="226"/>
      <c r="W344" s="226"/>
      <c r="X344" s="226"/>
      <c r="Y344" s="226"/>
      <c r="Z344" s="226"/>
      <c r="AA344" s="226"/>
      <c r="AB344" s="226"/>
      <c r="AC344" s="226"/>
      <c r="AD344" s="226"/>
      <c r="AE344" s="226"/>
      <c r="AF344" s="226"/>
      <c r="AG344" s="226"/>
      <c r="AH344" s="226"/>
      <c r="AI344" s="226"/>
      <c r="AJ344" s="226"/>
    </row>
    <row r="345" spans="1:44" customFormat="1" ht="50.25" hidden="1" customHeight="1">
      <c r="A345" s="224" t="s">
        <v>240</v>
      </c>
      <c r="B345" s="224" t="s">
        <v>869</v>
      </c>
      <c r="C345" s="233" t="s">
        <v>870</v>
      </c>
      <c r="D345" s="216" t="s">
        <v>298</v>
      </c>
      <c r="E345" s="230">
        <v>45961</v>
      </c>
      <c r="F345" s="230">
        <v>45881</v>
      </c>
      <c r="G345" s="224">
        <v>36</v>
      </c>
      <c r="H345" s="256">
        <v>18</v>
      </c>
      <c r="I345" s="237">
        <f t="shared" si="18"/>
        <v>0</v>
      </c>
      <c r="J345" s="221">
        <f t="shared" si="16"/>
        <v>-0.5</v>
      </c>
      <c r="K345" s="216">
        <v>1</v>
      </c>
      <c r="L345" s="221" t="str">
        <f t="shared" si="17"/>
        <v>Normal</v>
      </c>
      <c r="M345" s="161"/>
      <c r="N345" s="224"/>
      <c r="O345" s="224"/>
      <c r="P345" s="224"/>
      <c r="Q345" s="224"/>
      <c r="R345" s="224"/>
      <c r="S345" s="161"/>
      <c r="T345" s="161"/>
      <c r="U345" s="226"/>
      <c r="V345" s="226"/>
      <c r="W345" s="226"/>
      <c r="X345" s="226"/>
      <c r="Y345" s="226"/>
      <c r="Z345" s="226"/>
      <c r="AA345" s="226"/>
      <c r="AB345" s="226"/>
      <c r="AC345" s="226"/>
      <c r="AD345" s="226"/>
      <c r="AE345" s="226"/>
      <c r="AF345" s="226"/>
      <c r="AG345" s="226"/>
      <c r="AH345" s="226"/>
      <c r="AI345" s="226"/>
      <c r="AJ345" s="226"/>
    </row>
    <row r="346" spans="1:44" customFormat="1" ht="50.25" hidden="1" customHeight="1">
      <c r="A346" s="224" t="s">
        <v>240</v>
      </c>
      <c r="B346" s="224" t="s">
        <v>871</v>
      </c>
      <c r="C346" s="233" t="s">
        <v>872</v>
      </c>
      <c r="D346" s="216" t="s">
        <v>96</v>
      </c>
      <c r="E346" s="230">
        <v>45862</v>
      </c>
      <c r="F346" s="230">
        <v>45849</v>
      </c>
      <c r="G346" s="224">
        <v>64</v>
      </c>
      <c r="H346" s="256">
        <v>73</v>
      </c>
      <c r="I346" s="237">
        <f t="shared" si="18"/>
        <v>0</v>
      </c>
      <c r="J346" s="221">
        <f t="shared" si="16"/>
        <v>0.140625</v>
      </c>
      <c r="K346" s="216">
        <v>1</v>
      </c>
      <c r="L346" s="221" t="str">
        <f t="shared" si="17"/>
        <v>Normal</v>
      </c>
      <c r="M346" s="161"/>
      <c r="N346" s="224"/>
      <c r="O346" s="224"/>
      <c r="P346" s="224"/>
      <c r="Q346" s="224"/>
      <c r="R346" s="224"/>
      <c r="S346" s="161"/>
      <c r="T346" s="161"/>
      <c r="U346" s="226"/>
      <c r="V346" s="226"/>
      <c r="W346" s="226"/>
      <c r="X346" s="226"/>
      <c r="Y346" s="226"/>
      <c r="Z346" s="226"/>
      <c r="AA346" s="226"/>
      <c r="AB346" s="226"/>
      <c r="AC346" s="226"/>
      <c r="AD346" s="226"/>
      <c r="AE346" s="226"/>
      <c r="AF346" s="226"/>
      <c r="AG346" s="226"/>
      <c r="AH346" s="226"/>
      <c r="AI346" s="226"/>
      <c r="AJ346" s="226"/>
    </row>
    <row r="347" spans="1:44" customFormat="1" ht="50.25" hidden="1" customHeight="1">
      <c r="A347" s="224" t="s">
        <v>240</v>
      </c>
      <c r="B347" s="228" t="s">
        <v>873</v>
      </c>
      <c r="C347" s="215" t="s">
        <v>874</v>
      </c>
      <c r="D347" s="216" t="s">
        <v>196</v>
      </c>
      <c r="E347" s="230">
        <v>46052</v>
      </c>
      <c r="F347" s="230"/>
      <c r="G347" s="224">
        <f>(8*6)+2</f>
        <v>50</v>
      </c>
      <c r="H347" s="256">
        <v>0</v>
      </c>
      <c r="I347" s="237">
        <f t="shared" si="18"/>
        <v>0</v>
      </c>
      <c r="J347" s="221">
        <f t="shared" si="16"/>
        <v>-1</v>
      </c>
      <c r="K347" s="224">
        <v>0</v>
      </c>
      <c r="L347" s="221" t="str">
        <f t="shared" si="17"/>
        <v>Normal</v>
      </c>
      <c r="M347" s="161"/>
      <c r="N347" s="216"/>
      <c r="O347" s="216"/>
      <c r="P347" s="216"/>
      <c r="Q347" s="216"/>
      <c r="R347" s="216"/>
      <c r="S347" s="216"/>
      <c r="T347" s="161"/>
      <c r="U347" s="226"/>
      <c r="V347" s="226"/>
      <c r="W347" s="226"/>
      <c r="X347" s="226"/>
      <c r="Y347" s="226"/>
      <c r="Z347" s="226"/>
      <c r="AA347" s="226"/>
      <c r="AB347" s="226"/>
      <c r="AC347" s="226"/>
      <c r="AD347" s="226"/>
      <c r="AE347" s="226"/>
      <c r="AF347" s="226"/>
      <c r="AG347" s="226"/>
      <c r="AH347" s="226"/>
      <c r="AI347" s="226"/>
      <c r="AJ347" s="226"/>
    </row>
    <row r="348" spans="1:44" s="207" customFormat="1" ht="50.25" customHeight="1">
      <c r="A348" s="241" t="s">
        <v>240</v>
      </c>
      <c r="B348" s="241" t="s">
        <v>875</v>
      </c>
      <c r="C348" s="242" t="s">
        <v>876</v>
      </c>
      <c r="D348" s="241" t="s">
        <v>116</v>
      </c>
      <c r="E348" s="243">
        <v>46248</v>
      </c>
      <c r="F348" s="243"/>
      <c r="G348" s="241">
        <v>272</v>
      </c>
      <c r="H348" s="244">
        <v>198</v>
      </c>
      <c r="I348" s="245">
        <f t="shared" si="18"/>
        <v>40</v>
      </c>
      <c r="J348" s="221">
        <f t="shared" si="16"/>
        <v>-0.125</v>
      </c>
      <c r="K348" s="241">
        <v>2</v>
      </c>
      <c r="L348" s="221" t="str">
        <f t="shared" si="17"/>
        <v>Normal</v>
      </c>
      <c r="M348" s="233"/>
      <c r="N348" s="241">
        <v>8</v>
      </c>
      <c r="O348" s="241">
        <v>8</v>
      </c>
      <c r="P348" s="241">
        <v>8</v>
      </c>
      <c r="Q348" s="241">
        <v>8</v>
      </c>
      <c r="R348" s="241">
        <v>8</v>
      </c>
      <c r="S348" s="241"/>
      <c r="T348" s="241"/>
      <c r="U348" s="241"/>
      <c r="V348" s="241"/>
      <c r="W348" s="241"/>
      <c r="X348" s="241"/>
      <c r="Y348" s="241"/>
      <c r="Z348" s="241"/>
      <c r="AA348" s="241"/>
      <c r="AB348" s="241"/>
      <c r="AC348" s="241"/>
      <c r="AD348" s="241"/>
      <c r="AE348" s="241"/>
      <c r="AF348" s="241"/>
      <c r="AG348" s="241"/>
      <c r="AH348" s="241"/>
      <c r="AI348" s="241"/>
      <c r="AJ348" s="241"/>
      <c r="AK348" s="205"/>
      <c r="AL348" s="205"/>
      <c r="AM348" s="205"/>
      <c r="AN348" s="205"/>
      <c r="AO348" s="205"/>
      <c r="AP348" s="205"/>
      <c r="AQ348" s="205"/>
      <c r="AR348" s="205"/>
    </row>
    <row r="349" spans="1:44" customFormat="1" ht="50.25" hidden="1" customHeight="1">
      <c r="A349" s="224" t="s">
        <v>240</v>
      </c>
      <c r="B349" s="224" t="s">
        <v>877</v>
      </c>
      <c r="C349" s="233" t="s">
        <v>878</v>
      </c>
      <c r="D349" s="216" t="s">
        <v>244</v>
      </c>
      <c r="E349" s="230">
        <v>46006</v>
      </c>
      <c r="F349" s="230">
        <v>45996</v>
      </c>
      <c r="G349" s="224">
        <v>157</v>
      </c>
      <c r="H349" s="256">
        <v>204</v>
      </c>
      <c r="I349" s="237">
        <f t="shared" si="18"/>
        <v>0</v>
      </c>
      <c r="J349" s="221">
        <f t="shared" si="16"/>
        <v>0.29936305732484075</v>
      </c>
      <c r="K349" s="216">
        <v>2</v>
      </c>
      <c r="L349" s="221" t="str">
        <f t="shared" si="17"/>
        <v>Normal</v>
      </c>
      <c r="M349" s="222"/>
      <c r="N349" s="216"/>
      <c r="O349" s="216"/>
      <c r="P349" s="216"/>
      <c r="Q349" s="216"/>
      <c r="R349" s="216"/>
      <c r="S349" s="222"/>
      <c r="T349" s="161"/>
      <c r="U349" s="226"/>
      <c r="V349" s="226"/>
      <c r="W349" s="226"/>
      <c r="X349" s="226"/>
      <c r="Y349" s="226"/>
      <c r="Z349" s="226"/>
      <c r="AA349" s="226"/>
      <c r="AB349" s="226"/>
      <c r="AC349" s="226"/>
      <c r="AD349" s="226"/>
      <c r="AE349" s="226"/>
      <c r="AF349" s="226"/>
      <c r="AG349" s="226"/>
      <c r="AH349" s="226"/>
      <c r="AI349" s="226"/>
      <c r="AJ349" s="226"/>
    </row>
    <row r="350" spans="1:44" customFormat="1" ht="50.25" hidden="1" customHeight="1">
      <c r="A350" s="224" t="s">
        <v>240</v>
      </c>
      <c r="B350" s="224" t="s">
        <v>681</v>
      </c>
      <c r="C350" s="233" t="s">
        <v>682</v>
      </c>
      <c r="D350" s="216" t="s">
        <v>298</v>
      </c>
      <c r="E350" s="230">
        <v>45870</v>
      </c>
      <c r="F350" s="230">
        <v>45900</v>
      </c>
      <c r="G350" s="224">
        <v>10</v>
      </c>
      <c r="H350" s="256">
        <v>0</v>
      </c>
      <c r="I350" s="237">
        <f t="shared" si="18"/>
        <v>0</v>
      </c>
      <c r="J350" s="221">
        <f t="shared" si="16"/>
        <v>-1</v>
      </c>
      <c r="K350" s="216">
        <v>0</v>
      </c>
      <c r="L350" s="221" t="str">
        <f t="shared" si="17"/>
        <v>Normal</v>
      </c>
      <c r="M350" s="161"/>
      <c r="N350" s="224"/>
      <c r="O350" s="224"/>
      <c r="P350" s="224"/>
      <c r="Q350" s="224"/>
      <c r="R350" s="224"/>
      <c r="S350" s="161"/>
      <c r="T350" s="161"/>
      <c r="U350" s="226"/>
      <c r="V350" s="226"/>
      <c r="W350" s="226"/>
      <c r="X350" s="226"/>
      <c r="Y350" s="226"/>
      <c r="Z350" s="226"/>
      <c r="AA350" s="226"/>
      <c r="AB350" s="226"/>
      <c r="AC350" s="226"/>
      <c r="AD350" s="226"/>
      <c r="AE350" s="226"/>
      <c r="AF350" s="226"/>
      <c r="AG350" s="226"/>
      <c r="AH350" s="226"/>
      <c r="AI350" s="226"/>
      <c r="AJ350" s="226"/>
    </row>
    <row r="351" spans="1:44" customFormat="1" ht="50.25" hidden="1" customHeight="1">
      <c r="A351" s="224" t="s">
        <v>240</v>
      </c>
      <c r="B351" s="224" t="s">
        <v>879</v>
      </c>
      <c r="C351" s="233" t="s">
        <v>880</v>
      </c>
      <c r="D351" s="216" t="s">
        <v>244</v>
      </c>
      <c r="E351" s="230">
        <v>45943</v>
      </c>
      <c r="F351" s="230">
        <v>45910</v>
      </c>
      <c r="G351" s="224">
        <v>60</v>
      </c>
      <c r="H351" s="256">
        <v>68</v>
      </c>
      <c r="I351" s="237">
        <f t="shared" si="18"/>
        <v>0</v>
      </c>
      <c r="J351" s="221">
        <f t="shared" si="16"/>
        <v>0.13333333333333333</v>
      </c>
      <c r="K351" s="216">
        <v>1</v>
      </c>
      <c r="L351" s="221" t="str">
        <f t="shared" si="17"/>
        <v>Normal</v>
      </c>
      <c r="M351" s="161"/>
      <c r="N351" s="224"/>
      <c r="O351" s="224"/>
      <c r="P351" s="224"/>
      <c r="Q351" s="216"/>
      <c r="R351" s="224"/>
      <c r="S351" s="161"/>
      <c r="T351" s="161"/>
      <c r="U351" s="226"/>
      <c r="V351" s="226"/>
      <c r="W351" s="226"/>
      <c r="X351" s="226"/>
      <c r="Y351" s="226"/>
      <c r="Z351" s="226"/>
      <c r="AA351" s="226"/>
      <c r="AB351" s="226"/>
      <c r="AC351" s="226"/>
      <c r="AD351" s="226"/>
      <c r="AE351" s="226"/>
      <c r="AF351" s="226"/>
      <c r="AG351" s="226"/>
      <c r="AH351" s="226"/>
      <c r="AI351" s="226"/>
      <c r="AJ351" s="226"/>
    </row>
    <row r="352" spans="1:44" customFormat="1" ht="50.25" hidden="1" customHeight="1">
      <c r="A352" s="224" t="s">
        <v>240</v>
      </c>
      <c r="B352" s="224" t="s">
        <v>881</v>
      </c>
      <c r="C352" s="233" t="s">
        <v>882</v>
      </c>
      <c r="D352" s="216" t="s">
        <v>196</v>
      </c>
      <c r="E352" s="230">
        <v>45930</v>
      </c>
      <c r="F352" s="230">
        <v>45910</v>
      </c>
      <c r="G352" s="224">
        <v>74</v>
      </c>
      <c r="H352" s="256">
        <v>39</v>
      </c>
      <c r="I352" s="237">
        <f t="shared" si="18"/>
        <v>0</v>
      </c>
      <c r="J352" s="221">
        <f t="shared" si="16"/>
        <v>-0.47297297297297297</v>
      </c>
      <c r="K352" s="216">
        <v>0</v>
      </c>
      <c r="L352" s="221" t="str">
        <f t="shared" si="17"/>
        <v>Normal</v>
      </c>
      <c r="M352" s="161"/>
      <c r="N352" s="224"/>
      <c r="O352" s="224"/>
      <c r="P352" s="224"/>
      <c r="Q352" s="224"/>
      <c r="R352" s="224"/>
      <c r="S352" s="161"/>
      <c r="T352" s="161"/>
      <c r="U352" s="226"/>
      <c r="V352" s="226"/>
      <c r="W352" s="226"/>
      <c r="X352" s="226"/>
      <c r="Y352" s="226"/>
      <c r="Z352" s="226"/>
      <c r="AA352" s="226"/>
      <c r="AB352" s="226"/>
      <c r="AC352" s="226"/>
      <c r="AD352" s="226"/>
      <c r="AE352" s="226"/>
      <c r="AF352" s="226"/>
      <c r="AG352" s="226"/>
      <c r="AH352" s="226"/>
      <c r="AI352" s="226"/>
      <c r="AJ352" s="226"/>
    </row>
    <row r="353" spans="1:65" customFormat="1" ht="50.25" hidden="1" customHeight="1">
      <c r="A353" s="224" t="s">
        <v>240</v>
      </c>
      <c r="B353" s="224" t="s">
        <v>701</v>
      </c>
      <c r="C353" s="233" t="s">
        <v>702</v>
      </c>
      <c r="D353" s="216" t="s">
        <v>298</v>
      </c>
      <c r="E353" s="230">
        <v>45930</v>
      </c>
      <c r="F353" s="230">
        <v>45930</v>
      </c>
      <c r="G353" s="224">
        <v>11</v>
      </c>
      <c r="H353" s="256">
        <v>11</v>
      </c>
      <c r="I353" s="237">
        <f t="shared" si="18"/>
        <v>0</v>
      </c>
      <c r="J353" s="221">
        <f t="shared" si="16"/>
        <v>0</v>
      </c>
      <c r="K353" s="216">
        <v>0</v>
      </c>
      <c r="L353" s="221" t="str">
        <f t="shared" si="17"/>
        <v>Normal</v>
      </c>
      <c r="M353" s="161"/>
      <c r="N353" s="224"/>
      <c r="O353" s="224"/>
      <c r="P353" s="224"/>
      <c r="Q353" s="224"/>
      <c r="R353" s="224"/>
      <c r="S353" s="161"/>
      <c r="T353" s="161"/>
      <c r="U353" s="226"/>
      <c r="V353" s="226"/>
      <c r="W353" s="226"/>
      <c r="X353" s="226"/>
      <c r="Y353" s="226"/>
      <c r="Z353" s="226"/>
      <c r="AA353" s="226"/>
      <c r="AB353" s="226"/>
      <c r="AC353" s="226"/>
      <c r="AD353" s="226"/>
      <c r="AE353" s="226"/>
      <c r="AF353" s="226"/>
      <c r="AG353" s="226"/>
      <c r="AH353" s="226"/>
      <c r="AI353" s="226"/>
      <c r="AJ353" s="226"/>
    </row>
    <row r="354" spans="1:65" customFormat="1" ht="50.25" hidden="1" customHeight="1">
      <c r="A354" s="224" t="s">
        <v>240</v>
      </c>
      <c r="B354" s="224" t="s">
        <v>883</v>
      </c>
      <c r="C354" s="233" t="s">
        <v>884</v>
      </c>
      <c r="D354" s="216" t="s">
        <v>244</v>
      </c>
      <c r="E354" s="230">
        <v>45947</v>
      </c>
      <c r="F354" s="230">
        <v>45916</v>
      </c>
      <c r="G354" s="224">
        <v>21</v>
      </c>
      <c r="H354" s="256">
        <v>24</v>
      </c>
      <c r="I354" s="237">
        <f t="shared" si="18"/>
        <v>0</v>
      </c>
      <c r="J354" s="221">
        <f t="shared" si="16"/>
        <v>0.14285714285714285</v>
      </c>
      <c r="K354" s="216">
        <v>1</v>
      </c>
      <c r="L354" s="221" t="str">
        <f t="shared" si="17"/>
        <v>Normal</v>
      </c>
      <c r="M354" s="161"/>
      <c r="N354" s="224"/>
      <c r="O354" s="224"/>
      <c r="P354" s="224"/>
      <c r="Q354" s="216"/>
      <c r="R354" s="224"/>
      <c r="S354" s="161"/>
      <c r="T354" s="161"/>
      <c r="U354" s="226"/>
      <c r="V354" s="226"/>
      <c r="W354" s="226"/>
      <c r="X354" s="226"/>
      <c r="Y354" s="226"/>
      <c r="Z354" s="226"/>
      <c r="AA354" s="226"/>
      <c r="AB354" s="226"/>
      <c r="AC354" s="226"/>
      <c r="AD354" s="226"/>
      <c r="AE354" s="226"/>
      <c r="AF354" s="226"/>
      <c r="AG354" s="226"/>
      <c r="AH354" s="226"/>
      <c r="AI354" s="226"/>
      <c r="AJ354" s="226"/>
    </row>
    <row r="355" spans="1:65" customFormat="1" ht="50.25" hidden="1" customHeight="1">
      <c r="A355" s="224" t="s">
        <v>240</v>
      </c>
      <c r="B355" s="224" t="s">
        <v>885</v>
      </c>
      <c r="C355" s="233" t="s">
        <v>886</v>
      </c>
      <c r="D355" s="216" t="s">
        <v>307</v>
      </c>
      <c r="E355" s="230">
        <v>45936</v>
      </c>
      <c r="F355" s="230">
        <v>45922</v>
      </c>
      <c r="G355" s="224">
        <v>25</v>
      </c>
      <c r="H355" s="256">
        <v>32</v>
      </c>
      <c r="I355" s="237">
        <f t="shared" si="18"/>
        <v>0</v>
      </c>
      <c r="J355" s="221">
        <f t="shared" si="16"/>
        <v>0.28000000000000003</v>
      </c>
      <c r="K355" s="216">
        <v>1</v>
      </c>
      <c r="L355" s="221" t="str">
        <f t="shared" si="17"/>
        <v>Normal</v>
      </c>
      <c r="M355" s="161"/>
      <c r="N355" s="224"/>
      <c r="O355" s="224"/>
      <c r="P355" s="224"/>
      <c r="Q355" s="224"/>
      <c r="R355" s="224"/>
      <c r="S355" s="161"/>
      <c r="T355" s="224"/>
      <c r="U355" s="226"/>
      <c r="V355" s="226"/>
      <c r="W355" s="226"/>
      <c r="X355" s="226"/>
      <c r="Y355" s="226"/>
      <c r="Z355" s="226"/>
      <c r="AA355" s="226"/>
      <c r="AB355" s="226"/>
      <c r="AC355" s="226"/>
      <c r="AD355" s="226"/>
      <c r="AE355" s="226"/>
      <c r="AF355" s="226"/>
      <c r="AG355" s="226"/>
      <c r="AH355" s="226"/>
      <c r="AI355" s="226"/>
      <c r="AJ355" s="226"/>
    </row>
    <row r="356" spans="1:65" customFormat="1" ht="50.25" hidden="1" customHeight="1">
      <c r="A356" s="224" t="s">
        <v>240</v>
      </c>
      <c r="B356" s="224" t="s">
        <v>887</v>
      </c>
      <c r="C356" s="215" t="s">
        <v>888</v>
      </c>
      <c r="D356" s="216" t="s">
        <v>106</v>
      </c>
      <c r="E356" s="230">
        <v>46029</v>
      </c>
      <c r="F356" s="230">
        <v>46028</v>
      </c>
      <c r="G356" s="224">
        <v>8</v>
      </c>
      <c r="H356" s="256">
        <v>8</v>
      </c>
      <c r="I356" s="237">
        <f t="shared" si="18"/>
        <v>0</v>
      </c>
      <c r="J356" s="221">
        <f t="shared" si="16"/>
        <v>0</v>
      </c>
      <c r="K356" s="224">
        <v>1</v>
      </c>
      <c r="L356" s="221" t="str">
        <f t="shared" si="17"/>
        <v>Normal</v>
      </c>
      <c r="M356" s="224"/>
      <c r="N356" s="216"/>
      <c r="O356" s="216"/>
      <c r="P356" s="216"/>
      <c r="Q356" s="216"/>
      <c r="R356" s="216"/>
      <c r="S356" s="216"/>
      <c r="T356" s="222"/>
      <c r="U356" s="227"/>
      <c r="V356" s="227"/>
      <c r="W356" s="227"/>
      <c r="X356" s="227"/>
      <c r="Y356" s="227"/>
      <c r="Z356" s="227"/>
      <c r="AA356" s="227"/>
      <c r="AB356" s="227"/>
      <c r="AC356" s="227"/>
      <c r="AD356" s="227"/>
      <c r="AE356" s="227"/>
      <c r="AF356" s="227"/>
      <c r="AG356" s="227"/>
      <c r="AH356" s="227"/>
      <c r="AI356" s="227"/>
      <c r="AJ356" s="227"/>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row>
    <row r="357" spans="1:65" customFormat="1" ht="50.25" hidden="1" customHeight="1">
      <c r="A357" s="224" t="s">
        <v>240</v>
      </c>
      <c r="B357" s="224" t="s">
        <v>889</v>
      </c>
      <c r="C357" s="215" t="s">
        <v>890</v>
      </c>
      <c r="D357" s="216" t="s">
        <v>113</v>
      </c>
      <c r="E357" s="263">
        <v>46028</v>
      </c>
      <c r="F357" s="230">
        <v>46029</v>
      </c>
      <c r="G357" s="224">
        <v>16</v>
      </c>
      <c r="H357" s="256">
        <v>16</v>
      </c>
      <c r="I357" s="237">
        <f t="shared" si="18"/>
        <v>0</v>
      </c>
      <c r="J357" s="221">
        <f t="shared" si="16"/>
        <v>0</v>
      </c>
      <c r="K357" s="224">
        <v>1</v>
      </c>
      <c r="L357" s="221" t="str">
        <f t="shared" si="17"/>
        <v>Normal</v>
      </c>
      <c r="M357" s="224"/>
      <c r="N357" s="216"/>
      <c r="O357" s="216"/>
      <c r="P357" s="216"/>
      <c r="Q357" s="216"/>
      <c r="R357" s="216"/>
      <c r="S357" s="222"/>
      <c r="T357" s="222"/>
      <c r="U357" s="227"/>
      <c r="V357" s="227"/>
      <c r="W357" s="227"/>
      <c r="X357" s="227"/>
      <c r="Y357" s="227"/>
      <c r="Z357" s="227"/>
      <c r="AA357" s="227"/>
      <c r="AB357" s="227"/>
      <c r="AC357" s="227"/>
      <c r="AD357" s="227"/>
      <c r="AE357" s="227"/>
      <c r="AF357" s="227"/>
      <c r="AG357" s="227"/>
      <c r="AH357" s="227"/>
      <c r="AI357" s="227"/>
      <c r="AJ357" s="227"/>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row>
    <row r="358" spans="1:65" customFormat="1" ht="50.25" hidden="1" customHeight="1">
      <c r="A358" s="224" t="s">
        <v>240</v>
      </c>
      <c r="B358" s="228" t="s">
        <v>667</v>
      </c>
      <c r="C358" s="215" t="s">
        <v>668</v>
      </c>
      <c r="D358" s="216" t="s">
        <v>307</v>
      </c>
      <c r="E358" s="230">
        <v>46052</v>
      </c>
      <c r="F358" s="230">
        <v>46052</v>
      </c>
      <c r="G358" s="224">
        <v>10</v>
      </c>
      <c r="H358" s="256">
        <v>10</v>
      </c>
      <c r="I358" s="237">
        <f t="shared" si="18"/>
        <v>0</v>
      </c>
      <c r="J358" s="221">
        <f t="shared" si="16"/>
        <v>0</v>
      </c>
      <c r="K358" s="224">
        <v>0</v>
      </c>
      <c r="L358" s="221" t="str">
        <f t="shared" si="17"/>
        <v>Normal</v>
      </c>
      <c r="M358" s="224"/>
      <c r="N358" s="224"/>
      <c r="O358" s="224"/>
      <c r="P358" s="224"/>
      <c r="Q358" s="224"/>
      <c r="R358" s="224"/>
      <c r="S358" s="224"/>
      <c r="T358" s="224"/>
      <c r="U358" s="225"/>
      <c r="V358" s="225"/>
      <c r="W358" s="225"/>
      <c r="X358" s="225"/>
      <c r="Y358" s="225"/>
      <c r="Z358" s="225"/>
      <c r="AA358" s="225"/>
      <c r="AB358" s="225"/>
      <c r="AC358" s="225"/>
      <c r="AD358" s="225"/>
      <c r="AE358" s="225"/>
      <c r="AF358" s="225"/>
      <c r="AG358" s="225"/>
      <c r="AH358" s="225"/>
      <c r="AI358" s="225"/>
      <c r="AJ358" s="225"/>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row>
    <row r="359" spans="1:65" customFormat="1" ht="50.25" hidden="1" customHeight="1">
      <c r="A359" s="224" t="s">
        <v>240</v>
      </c>
      <c r="B359" s="224" t="s">
        <v>891</v>
      </c>
      <c r="C359" s="233" t="s">
        <v>892</v>
      </c>
      <c r="D359" s="216" t="s">
        <v>298</v>
      </c>
      <c r="E359" s="230">
        <v>45749</v>
      </c>
      <c r="F359" s="230"/>
      <c r="G359" s="224">
        <v>104</v>
      </c>
      <c r="H359" s="256">
        <v>112</v>
      </c>
      <c r="I359" s="237">
        <f t="shared" si="18"/>
        <v>0</v>
      </c>
      <c r="J359" s="221">
        <f t="shared" si="16"/>
        <v>7.6923076923076927E-2</v>
      </c>
      <c r="K359" s="250">
        <v>0</v>
      </c>
      <c r="L359" s="221" t="str">
        <f t="shared" si="17"/>
        <v>Normal</v>
      </c>
      <c r="M359" s="224"/>
      <c r="N359" s="224"/>
      <c r="O359" s="224"/>
      <c r="P359" s="224"/>
      <c r="Q359" s="224"/>
      <c r="R359" s="224"/>
      <c r="S359" s="224"/>
      <c r="T359" s="224"/>
      <c r="U359" s="225"/>
      <c r="V359" s="225"/>
      <c r="W359" s="225"/>
      <c r="X359" s="224"/>
      <c r="Y359" s="224"/>
      <c r="Z359" s="224"/>
      <c r="AA359" s="224"/>
      <c r="AB359" s="224"/>
      <c r="AC359" s="224"/>
      <c r="AD359" s="224"/>
      <c r="AE359" s="225"/>
      <c r="AF359" s="225"/>
      <c r="AG359" s="225"/>
      <c r="AH359" s="225"/>
      <c r="AI359" s="225"/>
      <c r="AJ359" s="225"/>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row>
    <row r="360" spans="1:65" customFormat="1" ht="50.25" hidden="1" customHeight="1">
      <c r="A360" s="224" t="s">
        <v>240</v>
      </c>
      <c r="B360" s="224" t="s">
        <v>893</v>
      </c>
      <c r="C360" s="215" t="s">
        <v>894</v>
      </c>
      <c r="D360" s="216" t="s">
        <v>97</v>
      </c>
      <c r="E360" s="230">
        <v>46044</v>
      </c>
      <c r="F360" s="230">
        <v>46044</v>
      </c>
      <c r="G360" s="224">
        <v>52</v>
      </c>
      <c r="H360" s="256">
        <v>72</v>
      </c>
      <c r="I360" s="237">
        <f t="shared" si="18"/>
        <v>0</v>
      </c>
      <c r="J360" s="221">
        <f t="shared" si="16"/>
        <v>0.38461538461538464</v>
      </c>
      <c r="K360" s="216">
        <v>0</v>
      </c>
      <c r="L360" s="221" t="str">
        <f t="shared" si="17"/>
        <v>Desviado</v>
      </c>
      <c r="M360" s="161"/>
      <c r="N360" s="224"/>
      <c r="O360" s="224"/>
      <c r="P360" s="224"/>
      <c r="Q360" s="224"/>
      <c r="R360" s="224"/>
      <c r="S360" s="224"/>
      <c r="T360" s="224"/>
      <c r="U360" s="224"/>
      <c r="V360" s="224"/>
      <c r="W360" s="224"/>
      <c r="X360" s="225"/>
      <c r="Y360" s="225"/>
      <c r="Z360" s="225"/>
      <c r="AA360" s="225"/>
      <c r="AB360" s="225"/>
      <c r="AC360" s="225"/>
      <c r="AD360" s="225"/>
      <c r="AE360" s="225"/>
      <c r="AF360" s="225"/>
      <c r="AG360" s="225"/>
      <c r="AH360" s="225"/>
      <c r="AI360" s="225"/>
      <c r="AJ360" s="225"/>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row>
    <row r="361" spans="1:65" customFormat="1" ht="50.25" hidden="1" customHeight="1">
      <c r="A361" s="224" t="s">
        <v>240</v>
      </c>
      <c r="B361" s="224" t="s">
        <v>895</v>
      </c>
      <c r="C361" s="215" t="s">
        <v>896</v>
      </c>
      <c r="D361" s="216" t="s">
        <v>113</v>
      </c>
      <c r="E361" s="230">
        <v>46045</v>
      </c>
      <c r="F361" s="230">
        <v>46045</v>
      </c>
      <c r="G361" s="224">
        <v>10</v>
      </c>
      <c r="H361" s="256">
        <v>8</v>
      </c>
      <c r="I361" s="237">
        <f t="shared" si="18"/>
        <v>0</v>
      </c>
      <c r="J361" s="221">
        <f t="shared" si="16"/>
        <v>-0.2</v>
      </c>
      <c r="K361" s="216">
        <v>1</v>
      </c>
      <c r="L361" s="221" t="str">
        <f t="shared" si="17"/>
        <v>Normal</v>
      </c>
      <c r="M361" s="224"/>
      <c r="N361" s="224"/>
      <c r="O361" s="224"/>
      <c r="P361" s="224"/>
      <c r="Q361" s="224"/>
      <c r="R361" s="224"/>
      <c r="S361" s="224"/>
      <c r="T361" s="224"/>
      <c r="U361" s="225"/>
      <c r="V361" s="225"/>
      <c r="W361" s="225"/>
      <c r="X361" s="225"/>
      <c r="Y361" s="225"/>
      <c r="Z361" s="225"/>
      <c r="AA361" s="225"/>
      <c r="AB361" s="225"/>
      <c r="AC361" s="225"/>
      <c r="AD361" s="225"/>
      <c r="AE361" s="225"/>
      <c r="AF361" s="225"/>
      <c r="AG361" s="225"/>
      <c r="AH361" s="225"/>
      <c r="AI361" s="225"/>
      <c r="AJ361" s="225"/>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row>
    <row r="362" spans="1:65" customFormat="1" ht="50.25" hidden="1" customHeight="1">
      <c r="A362" s="224" t="s">
        <v>240</v>
      </c>
      <c r="B362" s="224" t="s">
        <v>897</v>
      </c>
      <c r="C362" s="215" t="s">
        <v>898</v>
      </c>
      <c r="D362" s="216" t="s">
        <v>298</v>
      </c>
      <c r="E362" s="230">
        <v>46080</v>
      </c>
      <c r="F362" s="230">
        <v>46059</v>
      </c>
      <c r="G362" s="254">
        <v>24</v>
      </c>
      <c r="H362" s="256">
        <v>24</v>
      </c>
      <c r="I362" s="237">
        <f t="shared" si="18"/>
        <v>0</v>
      </c>
      <c r="J362" s="221">
        <f t="shared" si="16"/>
        <v>0</v>
      </c>
      <c r="K362" s="216">
        <v>0</v>
      </c>
      <c r="L362" s="221" t="str">
        <f t="shared" si="17"/>
        <v>Normal</v>
      </c>
      <c r="M362" s="224"/>
      <c r="N362" s="224"/>
      <c r="O362" s="224"/>
      <c r="P362" s="224"/>
      <c r="Q362" s="224"/>
      <c r="R362" s="224"/>
      <c r="S362" s="224"/>
      <c r="T362" s="224"/>
      <c r="U362" s="225"/>
      <c r="V362" s="225"/>
      <c r="W362" s="225"/>
      <c r="X362" s="225"/>
      <c r="Y362" s="225"/>
      <c r="Z362" s="225"/>
      <c r="AA362" s="225"/>
      <c r="AB362" s="225"/>
      <c r="AC362" s="225"/>
      <c r="AD362" s="225"/>
      <c r="AE362" s="225"/>
      <c r="AF362" s="225"/>
      <c r="AG362" s="225"/>
      <c r="AH362" s="225"/>
      <c r="AI362" s="225"/>
      <c r="AJ362" s="225"/>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row>
    <row r="363" spans="1:65" customFormat="1" ht="50.25" hidden="1" customHeight="1">
      <c r="A363" s="224" t="s">
        <v>240</v>
      </c>
      <c r="B363" s="224" t="s">
        <v>899</v>
      </c>
      <c r="C363" s="215" t="s">
        <v>900</v>
      </c>
      <c r="D363" s="216" t="s">
        <v>244</v>
      </c>
      <c r="E363" s="230">
        <v>46055</v>
      </c>
      <c r="F363" s="230">
        <v>46052</v>
      </c>
      <c r="G363" s="254">
        <v>20</v>
      </c>
      <c r="H363" s="256">
        <v>20</v>
      </c>
      <c r="I363" s="237">
        <f t="shared" si="18"/>
        <v>0</v>
      </c>
      <c r="J363" s="221">
        <f t="shared" si="16"/>
        <v>0</v>
      </c>
      <c r="K363" s="216">
        <v>0</v>
      </c>
      <c r="L363" s="221" t="str">
        <f t="shared" si="17"/>
        <v>Normal</v>
      </c>
      <c r="M363" s="224"/>
      <c r="N363" s="224"/>
      <c r="O363" s="224"/>
      <c r="P363" s="224"/>
      <c r="Q363" s="224"/>
      <c r="R363" s="224"/>
      <c r="S363" s="224"/>
      <c r="T363" s="224"/>
      <c r="U363" s="225"/>
      <c r="V363" s="225"/>
      <c r="W363" s="225"/>
      <c r="X363" s="225"/>
      <c r="Y363" s="225"/>
      <c r="Z363" s="225"/>
      <c r="AA363" s="225"/>
      <c r="AB363" s="225"/>
      <c r="AC363" s="225"/>
      <c r="AD363" s="225"/>
      <c r="AE363" s="225"/>
      <c r="AF363" s="225"/>
      <c r="AG363" s="225"/>
      <c r="AH363" s="225"/>
      <c r="AI363" s="225"/>
      <c r="AJ363" s="225"/>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row>
    <row r="364" spans="1:65" customFormat="1" ht="50.25" hidden="1" customHeight="1">
      <c r="A364" s="224" t="s">
        <v>240</v>
      </c>
      <c r="B364" s="224" t="s">
        <v>723</v>
      </c>
      <c r="C364" s="215" t="s">
        <v>724</v>
      </c>
      <c r="D364" s="216" t="s">
        <v>298</v>
      </c>
      <c r="E364" s="230">
        <v>46080</v>
      </c>
      <c r="F364" s="230">
        <v>46080</v>
      </c>
      <c r="G364" s="224">
        <v>10</v>
      </c>
      <c r="H364" s="256">
        <v>10</v>
      </c>
      <c r="I364" s="237">
        <f t="shared" si="18"/>
        <v>0</v>
      </c>
      <c r="J364" s="221">
        <f t="shared" si="16"/>
        <v>0</v>
      </c>
      <c r="K364" s="216">
        <v>0</v>
      </c>
      <c r="L364" s="221" t="str">
        <f t="shared" si="17"/>
        <v>Normal</v>
      </c>
      <c r="M364" s="224"/>
      <c r="N364" s="216"/>
      <c r="O364" s="216"/>
      <c r="P364" s="216"/>
      <c r="Q364" s="216"/>
      <c r="R364" s="216"/>
      <c r="S364" s="216"/>
      <c r="T364" s="216"/>
      <c r="U364" s="227"/>
      <c r="V364" s="227"/>
      <c r="W364" s="227"/>
      <c r="X364" s="227"/>
      <c r="Y364" s="227"/>
      <c r="Z364" s="227"/>
      <c r="AA364" s="227"/>
      <c r="AB364" s="227"/>
      <c r="AC364" s="227"/>
      <c r="AD364" s="227"/>
      <c r="AE364" s="227"/>
      <c r="AF364" s="227"/>
      <c r="AG364" s="227"/>
      <c r="AH364" s="227"/>
      <c r="AI364" s="227"/>
      <c r="AJ364" s="227"/>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row>
    <row r="365" spans="1:65" customFormat="1" ht="50.25" hidden="1" customHeight="1">
      <c r="A365" s="224" t="s">
        <v>240</v>
      </c>
      <c r="B365" s="224" t="s">
        <v>901</v>
      </c>
      <c r="C365" s="215" t="s">
        <v>902</v>
      </c>
      <c r="D365" s="216" t="s">
        <v>298</v>
      </c>
      <c r="E365" s="230">
        <v>46101</v>
      </c>
      <c r="F365" s="230">
        <v>46083</v>
      </c>
      <c r="G365" s="224">
        <v>50</v>
      </c>
      <c r="H365" s="256">
        <v>64</v>
      </c>
      <c r="I365" s="237">
        <f t="shared" si="18"/>
        <v>0</v>
      </c>
      <c r="J365" s="221">
        <f t="shared" si="16"/>
        <v>0.28000000000000003</v>
      </c>
      <c r="K365" s="216">
        <v>1</v>
      </c>
      <c r="L365" s="221" t="str">
        <f t="shared" si="17"/>
        <v>Normal</v>
      </c>
      <c r="M365" s="224"/>
      <c r="N365" s="216"/>
      <c r="O365" s="216"/>
      <c r="P365" s="216"/>
      <c r="Q365" s="216"/>
      <c r="R365" s="216"/>
      <c r="S365" s="216"/>
      <c r="T365" s="222"/>
      <c r="U365" s="227"/>
      <c r="V365" s="227"/>
      <c r="W365" s="227"/>
      <c r="X365" s="227"/>
      <c r="Y365" s="227"/>
      <c r="Z365" s="227"/>
      <c r="AA365" s="227"/>
      <c r="AB365" s="227"/>
      <c r="AC365" s="227"/>
      <c r="AD365" s="227"/>
      <c r="AE365" s="227"/>
      <c r="AF365" s="227"/>
      <c r="AG365" s="227"/>
      <c r="AH365" s="227"/>
      <c r="AI365" s="227"/>
      <c r="AJ365" s="227"/>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row>
    <row r="366" spans="1:65" customFormat="1" ht="50.25" hidden="1" customHeight="1">
      <c r="A366" s="224" t="s">
        <v>240</v>
      </c>
      <c r="B366" s="224" t="s">
        <v>739</v>
      </c>
      <c r="C366" s="215" t="s">
        <v>740</v>
      </c>
      <c r="D366" s="216" t="s">
        <v>298</v>
      </c>
      <c r="E366" s="230">
        <v>46112</v>
      </c>
      <c r="F366" s="230">
        <v>46112</v>
      </c>
      <c r="G366" s="224">
        <v>10.5</v>
      </c>
      <c r="H366" s="256">
        <v>0</v>
      </c>
      <c r="I366" s="237">
        <f t="shared" si="18"/>
        <v>0</v>
      </c>
      <c r="J366" s="221">
        <f t="shared" si="16"/>
        <v>-1</v>
      </c>
      <c r="K366" s="216">
        <v>0</v>
      </c>
      <c r="L366" s="221" t="str">
        <f t="shared" si="17"/>
        <v>Normal</v>
      </c>
      <c r="M366" s="224"/>
      <c r="N366" s="216"/>
      <c r="O366" s="216"/>
      <c r="P366" s="216"/>
      <c r="Q366" s="216"/>
      <c r="R366" s="216"/>
      <c r="S366" s="216"/>
      <c r="T366" s="216"/>
      <c r="U366" s="227"/>
      <c r="V366" s="227"/>
      <c r="W366" s="227"/>
      <c r="X366" s="227"/>
      <c r="Y366" s="227"/>
      <c r="Z366" s="227"/>
      <c r="AA366" s="227"/>
      <c r="AB366" s="227"/>
      <c r="AC366" s="227"/>
      <c r="AD366" s="227"/>
      <c r="AE366" s="227"/>
      <c r="AF366" s="227"/>
      <c r="AG366" s="227"/>
      <c r="AH366" s="227"/>
      <c r="AI366" s="227"/>
      <c r="AJ366" s="227"/>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row>
    <row r="367" spans="1:65" customFormat="1" ht="50.25" hidden="1" customHeight="1">
      <c r="A367" s="224" t="s">
        <v>240</v>
      </c>
      <c r="B367" s="224" t="s">
        <v>903</v>
      </c>
      <c r="C367" s="215" t="s">
        <v>904</v>
      </c>
      <c r="D367" s="216" t="s">
        <v>196</v>
      </c>
      <c r="E367" s="230"/>
      <c r="F367" s="230"/>
      <c r="G367" s="224">
        <v>48</v>
      </c>
      <c r="H367" s="256">
        <v>56</v>
      </c>
      <c r="I367" s="237">
        <f t="shared" si="18"/>
        <v>0</v>
      </c>
      <c r="J367" s="221">
        <f t="shared" si="16"/>
        <v>0.16666666666666666</v>
      </c>
      <c r="K367" s="216">
        <v>0</v>
      </c>
      <c r="L367" s="221" t="str">
        <f t="shared" si="17"/>
        <v>Normal</v>
      </c>
      <c r="M367" s="224"/>
      <c r="N367" s="216"/>
      <c r="O367" s="216"/>
      <c r="P367" s="216"/>
      <c r="Q367" s="216"/>
      <c r="R367" s="216"/>
      <c r="S367" s="216"/>
      <c r="T367" s="222"/>
      <c r="U367" s="227"/>
      <c r="V367" s="227"/>
      <c r="W367" s="227"/>
      <c r="X367" s="227"/>
      <c r="Y367" s="227"/>
      <c r="Z367" s="227"/>
      <c r="AA367" s="227"/>
      <c r="AB367" s="227"/>
      <c r="AC367" s="227"/>
      <c r="AD367" s="227"/>
      <c r="AE367" s="227"/>
      <c r="AF367" s="227"/>
      <c r="AG367" s="227"/>
      <c r="AH367" s="227"/>
      <c r="AI367" s="227"/>
      <c r="AJ367" s="227"/>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row>
    <row r="368" spans="1:65" customFormat="1" ht="50.25" hidden="1" customHeight="1">
      <c r="A368" s="224" t="s">
        <v>240</v>
      </c>
      <c r="B368" s="224" t="s">
        <v>905</v>
      </c>
      <c r="C368" s="215" t="s">
        <v>906</v>
      </c>
      <c r="D368" s="216" t="s">
        <v>307</v>
      </c>
      <c r="E368" s="230">
        <v>46120</v>
      </c>
      <c r="F368" s="230">
        <v>46121</v>
      </c>
      <c r="G368" s="224">
        <v>135</v>
      </c>
      <c r="H368" s="256">
        <v>172</v>
      </c>
      <c r="I368" s="237">
        <f t="shared" si="18"/>
        <v>0</v>
      </c>
      <c r="J368" s="221">
        <f t="shared" si="16"/>
        <v>0.27407407407407408</v>
      </c>
      <c r="K368" s="216">
        <v>0</v>
      </c>
      <c r="L368" s="221" t="str">
        <f t="shared" si="17"/>
        <v>Normal</v>
      </c>
      <c r="M368" s="224"/>
      <c r="N368" s="216"/>
      <c r="O368" s="216"/>
      <c r="P368" s="216"/>
      <c r="Q368" s="216"/>
      <c r="R368" s="216"/>
      <c r="S368" s="216"/>
      <c r="T368" s="222"/>
      <c r="U368" s="227"/>
      <c r="V368" s="227"/>
      <c r="W368" s="227"/>
      <c r="X368" s="227"/>
      <c r="Y368" s="227"/>
      <c r="Z368" s="227"/>
      <c r="AA368" s="227"/>
      <c r="AB368" s="227"/>
      <c r="AC368" s="227"/>
      <c r="AD368" s="227"/>
      <c r="AE368" s="227"/>
      <c r="AF368" s="227"/>
      <c r="AG368" s="227"/>
      <c r="AH368" s="227"/>
      <c r="AI368" s="227"/>
      <c r="AJ368" s="227"/>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row>
    <row r="369" spans="1:66" customFormat="1" ht="50.25" hidden="1" customHeight="1">
      <c r="A369" s="224" t="s">
        <v>240</v>
      </c>
      <c r="B369" s="224" t="s">
        <v>757</v>
      </c>
      <c r="C369" s="215" t="s">
        <v>758</v>
      </c>
      <c r="D369" s="216" t="s">
        <v>298</v>
      </c>
      <c r="E369" s="230">
        <v>46142</v>
      </c>
      <c r="F369" s="230">
        <v>46142</v>
      </c>
      <c r="G369" s="224">
        <v>10</v>
      </c>
      <c r="H369" s="256">
        <v>10</v>
      </c>
      <c r="I369" s="237">
        <f t="shared" si="18"/>
        <v>0</v>
      </c>
      <c r="J369" s="221">
        <f t="shared" si="16"/>
        <v>0</v>
      </c>
      <c r="K369" s="216">
        <v>0</v>
      </c>
      <c r="L369" s="221" t="str">
        <f t="shared" si="17"/>
        <v>Normal</v>
      </c>
      <c r="M369" s="224"/>
      <c r="N369" s="216"/>
      <c r="O369" s="216"/>
      <c r="P369" s="216"/>
      <c r="Q369" s="216"/>
      <c r="R369" s="216"/>
      <c r="S369" s="216"/>
      <c r="T369" s="216"/>
      <c r="U369" s="227"/>
      <c r="V369" s="227"/>
      <c r="W369" s="227"/>
      <c r="X369" s="227"/>
      <c r="Y369" s="227"/>
      <c r="Z369" s="227"/>
      <c r="AA369" s="227"/>
      <c r="AB369" s="227"/>
      <c r="AC369" s="227"/>
      <c r="AD369" s="227"/>
      <c r="AE369" s="227"/>
      <c r="AF369" s="227"/>
      <c r="AG369" s="227"/>
      <c r="AH369" s="227"/>
      <c r="AI369" s="227"/>
      <c r="AJ369" s="227"/>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row>
    <row r="370" spans="1:66" customFormat="1" ht="50.25" hidden="1" customHeight="1">
      <c r="A370" s="234" t="s">
        <v>240</v>
      </c>
      <c r="B370" s="224" t="s">
        <v>907</v>
      </c>
      <c r="C370" s="215" t="s">
        <v>908</v>
      </c>
      <c r="D370" s="216" t="s">
        <v>113</v>
      </c>
      <c r="E370" s="230">
        <v>46126</v>
      </c>
      <c r="F370" s="230">
        <v>46126</v>
      </c>
      <c r="G370" s="224">
        <v>40</v>
      </c>
      <c r="H370" s="256">
        <v>28</v>
      </c>
      <c r="I370" s="237">
        <f t="shared" si="18"/>
        <v>0</v>
      </c>
      <c r="J370" s="221">
        <f t="shared" si="16"/>
        <v>-0.3</v>
      </c>
      <c r="K370" s="216">
        <v>0</v>
      </c>
      <c r="L370" s="221" t="str">
        <f t="shared" si="17"/>
        <v>Normal</v>
      </c>
      <c r="M370" s="161"/>
      <c r="N370" s="216"/>
      <c r="O370" s="216"/>
      <c r="P370" s="216"/>
      <c r="Q370" s="216"/>
      <c r="R370" s="216"/>
      <c r="S370" s="216"/>
      <c r="T370" s="222"/>
      <c r="U370" s="227"/>
      <c r="V370" s="227"/>
      <c r="W370" s="227"/>
      <c r="X370" s="227"/>
      <c r="Y370" s="227"/>
      <c r="Z370" s="227"/>
      <c r="AA370" s="227"/>
      <c r="AB370" s="227"/>
      <c r="AC370" s="227"/>
      <c r="AD370" s="227"/>
      <c r="AE370" s="227"/>
      <c r="AF370" s="227"/>
      <c r="AG370" s="227"/>
      <c r="AH370" s="227"/>
      <c r="AI370" s="227"/>
      <c r="AJ370" s="227"/>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row>
    <row r="371" spans="1:66" customFormat="1" ht="50.25" hidden="1" customHeight="1">
      <c r="A371" s="234" t="s">
        <v>240</v>
      </c>
      <c r="B371" s="224" t="s">
        <v>909</v>
      </c>
      <c r="C371" s="215" t="s">
        <v>910</v>
      </c>
      <c r="D371" s="216" t="s">
        <v>113</v>
      </c>
      <c r="E371" s="230">
        <v>46157</v>
      </c>
      <c r="F371" s="230">
        <v>46150</v>
      </c>
      <c r="G371" s="224">
        <v>88</v>
      </c>
      <c r="H371" s="256">
        <v>100</v>
      </c>
      <c r="I371" s="237">
        <f t="shared" si="18"/>
        <v>0</v>
      </c>
      <c r="J371" s="221">
        <f t="shared" si="16"/>
        <v>0.13636363636363635</v>
      </c>
      <c r="K371" s="216">
        <v>0</v>
      </c>
      <c r="L371" s="221" t="str">
        <f t="shared" si="17"/>
        <v>Normal</v>
      </c>
      <c r="M371" s="161"/>
      <c r="N371" s="216"/>
      <c r="O371" s="216"/>
      <c r="P371" s="216"/>
      <c r="Q371" s="216"/>
      <c r="R371" s="216"/>
      <c r="S371" s="216"/>
      <c r="T371" s="222"/>
      <c r="U371" s="222"/>
      <c r="V371" s="222"/>
      <c r="W371" s="222"/>
      <c r="X371" s="227"/>
      <c r="Y371" s="227"/>
      <c r="Z371" s="227"/>
      <c r="AA371" s="227"/>
      <c r="AB371" s="227"/>
      <c r="AC371" s="227"/>
      <c r="AD371" s="227"/>
      <c r="AE371" s="227"/>
      <c r="AF371" s="227"/>
      <c r="AG371" s="227"/>
      <c r="AH371" s="227"/>
      <c r="AI371" s="227"/>
      <c r="AJ371" s="227"/>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row>
    <row r="372" spans="1:66" customFormat="1" ht="50.25" hidden="1" customHeight="1">
      <c r="A372" s="234" t="s">
        <v>240</v>
      </c>
      <c r="B372" s="224" t="s">
        <v>771</v>
      </c>
      <c r="C372" s="215" t="s">
        <v>772</v>
      </c>
      <c r="D372" s="216" t="s">
        <v>298</v>
      </c>
      <c r="E372" s="230">
        <v>46171</v>
      </c>
      <c r="F372" s="230">
        <v>46171</v>
      </c>
      <c r="G372" s="224">
        <v>9.5</v>
      </c>
      <c r="H372" s="256">
        <v>9.5</v>
      </c>
      <c r="I372" s="237">
        <f t="shared" si="18"/>
        <v>0</v>
      </c>
      <c r="J372" s="221">
        <f t="shared" si="16"/>
        <v>0</v>
      </c>
      <c r="K372" s="216">
        <v>0</v>
      </c>
      <c r="L372" s="221" t="str">
        <f t="shared" si="17"/>
        <v>Normal</v>
      </c>
      <c r="M372" s="161"/>
      <c r="N372" s="216"/>
      <c r="O372" s="216"/>
      <c r="P372" s="216"/>
      <c r="Q372" s="216"/>
      <c r="R372" s="216"/>
      <c r="S372" s="216"/>
      <c r="T372" s="216"/>
      <c r="U372" s="216"/>
      <c r="V372" s="216"/>
      <c r="W372" s="227"/>
      <c r="X372" s="227"/>
      <c r="Y372" s="227"/>
      <c r="Z372" s="227"/>
      <c r="AA372" s="227"/>
      <c r="AB372" s="227"/>
      <c r="AC372" s="227"/>
      <c r="AD372" s="227"/>
      <c r="AE372" s="227"/>
      <c r="AF372" s="227"/>
      <c r="AG372" s="227"/>
      <c r="AH372" s="227"/>
      <c r="AI372" s="227"/>
      <c r="AJ372" s="227"/>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row>
    <row r="373" spans="1:66" customFormat="1" ht="50.25" hidden="1" customHeight="1">
      <c r="A373" s="234" t="s">
        <v>240</v>
      </c>
      <c r="B373" s="224" t="s">
        <v>911</v>
      </c>
      <c r="C373" s="215" t="s">
        <v>912</v>
      </c>
      <c r="D373" s="216" t="s">
        <v>113</v>
      </c>
      <c r="E373" s="230">
        <v>46245</v>
      </c>
      <c r="F373" s="230"/>
      <c r="G373" s="224">
        <v>167</v>
      </c>
      <c r="H373" s="256">
        <v>104</v>
      </c>
      <c r="I373" s="237">
        <f t="shared" si="18"/>
        <v>0</v>
      </c>
      <c r="J373" s="221">
        <f t="shared" si="16"/>
        <v>-0.3772455089820359</v>
      </c>
      <c r="K373" s="250">
        <v>0</v>
      </c>
      <c r="L373" s="221" t="str">
        <f t="shared" si="17"/>
        <v>Normal</v>
      </c>
      <c r="M373" s="161"/>
      <c r="N373" s="216"/>
      <c r="O373" s="216"/>
      <c r="P373" s="216"/>
      <c r="Q373" s="216"/>
      <c r="R373" s="216"/>
      <c r="S373" s="216"/>
      <c r="T373" s="222"/>
      <c r="U373" s="222"/>
      <c r="V373" s="222"/>
      <c r="W373" s="222"/>
      <c r="X373" s="222"/>
      <c r="Y373" s="222"/>
      <c r="Z373" s="222"/>
      <c r="AA373" s="222"/>
      <c r="AB373" s="222"/>
      <c r="AC373" s="222"/>
      <c r="AD373" s="222"/>
      <c r="AE373" s="227"/>
      <c r="AF373" s="227"/>
      <c r="AG373" s="227"/>
      <c r="AH373" s="227"/>
      <c r="AI373" s="227"/>
      <c r="AJ373" s="227"/>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row>
    <row r="374" spans="1:66" customFormat="1" ht="50.25" hidden="1" customHeight="1">
      <c r="A374" s="234" t="s">
        <v>240</v>
      </c>
      <c r="B374" s="224" t="s">
        <v>913</v>
      </c>
      <c r="C374" s="215" t="s">
        <v>914</v>
      </c>
      <c r="D374" s="216" t="s">
        <v>113</v>
      </c>
      <c r="E374" s="230">
        <v>46175</v>
      </c>
      <c r="F374" s="230">
        <v>46165</v>
      </c>
      <c r="G374" s="224">
        <v>128</v>
      </c>
      <c r="H374" s="256">
        <v>128</v>
      </c>
      <c r="I374" s="237">
        <f t="shared" si="18"/>
        <v>0</v>
      </c>
      <c r="J374" s="221">
        <f t="shared" si="16"/>
        <v>0</v>
      </c>
      <c r="K374" s="216">
        <v>0</v>
      </c>
      <c r="L374" s="221" t="str">
        <f t="shared" si="17"/>
        <v>Normal</v>
      </c>
      <c r="M374" s="161"/>
      <c r="N374" s="216"/>
      <c r="O374" s="216"/>
      <c r="P374" s="216"/>
      <c r="Q374" s="216"/>
      <c r="R374" s="216"/>
      <c r="S374" s="216"/>
      <c r="T374" s="222"/>
      <c r="U374" s="216"/>
      <c r="V374" s="216"/>
      <c r="W374" s="216"/>
      <c r="X374" s="227"/>
      <c r="Y374" s="216"/>
      <c r="Z374" s="227"/>
      <c r="AA374" s="227"/>
      <c r="AB374" s="227"/>
      <c r="AC374" s="227"/>
      <c r="AD374" s="227"/>
      <c r="AE374" s="227"/>
      <c r="AF374" s="227"/>
      <c r="AG374" s="227"/>
      <c r="AH374" s="227"/>
      <c r="AI374" s="227"/>
      <c r="AJ374" s="227"/>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row>
    <row r="375" spans="1:66" customFormat="1" ht="50.25" hidden="1" customHeight="1">
      <c r="A375" s="234" t="s">
        <v>240</v>
      </c>
      <c r="B375" s="224" t="s">
        <v>786</v>
      </c>
      <c r="C375" s="215" t="s">
        <v>787</v>
      </c>
      <c r="D375" s="216" t="s">
        <v>307</v>
      </c>
      <c r="E375" s="230">
        <v>46203</v>
      </c>
      <c r="F375" s="230">
        <v>46203</v>
      </c>
      <c r="G375" s="224">
        <v>28.5</v>
      </c>
      <c r="H375" s="256">
        <v>9.5</v>
      </c>
      <c r="I375" s="237">
        <f t="shared" si="18"/>
        <v>0</v>
      </c>
      <c r="J375" s="221">
        <f t="shared" si="16"/>
        <v>-0.66666666666666663</v>
      </c>
      <c r="K375" s="216">
        <v>0</v>
      </c>
      <c r="L375" s="221" t="str">
        <f t="shared" si="17"/>
        <v>Normal</v>
      </c>
      <c r="M375" s="161"/>
      <c r="N375" s="216"/>
      <c r="O375" s="216"/>
      <c r="P375" s="216"/>
      <c r="Q375" s="216"/>
      <c r="R375" s="216"/>
      <c r="S375" s="216"/>
      <c r="T375" s="222"/>
      <c r="U375" s="216"/>
      <c r="V375" s="216"/>
      <c r="W375" s="216"/>
      <c r="X375" s="227"/>
      <c r="Y375" s="216"/>
      <c r="Z375" s="227"/>
      <c r="AA375" s="227"/>
      <c r="AB375" s="227"/>
      <c r="AC375" s="227"/>
      <c r="AD375" s="227"/>
      <c r="AE375" s="227"/>
      <c r="AF375" s="227"/>
      <c r="AG375" s="227"/>
      <c r="AH375" s="227"/>
      <c r="AI375" s="227"/>
      <c r="AJ375" s="227"/>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row>
    <row r="376" spans="1:66" customFormat="1" ht="50.25" hidden="1" customHeight="1">
      <c r="A376" s="234" t="s">
        <v>240</v>
      </c>
      <c r="B376" s="224" t="s">
        <v>915</v>
      </c>
      <c r="C376" s="215" t="s">
        <v>916</v>
      </c>
      <c r="D376" s="216" t="s">
        <v>578</v>
      </c>
      <c r="E376" s="230"/>
      <c r="F376" s="230"/>
      <c r="G376" s="224"/>
      <c r="H376" s="256">
        <v>8</v>
      </c>
      <c r="I376" s="237">
        <f t="shared" si="18"/>
        <v>0</v>
      </c>
      <c r="J376" s="221" t="str">
        <f t="shared" si="16"/>
        <v/>
      </c>
      <c r="K376" s="216">
        <v>0</v>
      </c>
      <c r="L376" s="221" t="str">
        <f t="shared" si="17"/>
        <v>Sin estimación</v>
      </c>
      <c r="M376" s="161"/>
      <c r="N376" s="216"/>
      <c r="O376" s="216"/>
      <c r="P376" s="216"/>
      <c r="Q376" s="216"/>
      <c r="R376" s="216"/>
      <c r="S376" s="216"/>
      <c r="T376" s="222"/>
      <c r="U376" s="216"/>
      <c r="V376" s="216"/>
      <c r="W376" s="216"/>
      <c r="X376" s="227"/>
      <c r="Y376" s="216"/>
      <c r="Z376" s="227"/>
      <c r="AA376" s="227"/>
      <c r="AB376" s="227"/>
      <c r="AC376" s="227"/>
      <c r="AD376" s="227"/>
      <c r="AE376" s="227"/>
      <c r="AF376" s="227"/>
      <c r="AG376" s="227"/>
      <c r="AH376" s="227"/>
      <c r="AI376" s="227"/>
      <c r="AJ376" s="227"/>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row>
    <row r="377" spans="1:66" customFormat="1" ht="50.25" hidden="1" customHeight="1">
      <c r="A377" s="234" t="s">
        <v>240</v>
      </c>
      <c r="B377" s="224" t="s">
        <v>810</v>
      </c>
      <c r="C377" s="215" t="s">
        <v>811</v>
      </c>
      <c r="D377" s="216" t="s">
        <v>298</v>
      </c>
      <c r="E377" s="230">
        <v>46234</v>
      </c>
      <c r="F377" s="230">
        <v>46234</v>
      </c>
      <c r="G377" s="224">
        <v>10.5</v>
      </c>
      <c r="H377" s="256">
        <v>10.5</v>
      </c>
      <c r="I377" s="237">
        <f t="shared" si="18"/>
        <v>0</v>
      </c>
      <c r="J377" s="221">
        <f t="shared" si="16"/>
        <v>0</v>
      </c>
      <c r="K377" s="250">
        <v>0</v>
      </c>
      <c r="L377" s="221" t="str">
        <f t="shared" si="17"/>
        <v>Normal</v>
      </c>
      <c r="M377" s="161"/>
      <c r="N377" s="250"/>
      <c r="O377" s="250"/>
      <c r="P377" s="250"/>
      <c r="Q377" s="250"/>
      <c r="R377" s="216"/>
      <c r="S377" s="250"/>
      <c r="T377" s="250"/>
      <c r="U377" s="250"/>
      <c r="V377" s="250"/>
      <c r="W377" s="250"/>
      <c r="X377" s="250"/>
      <c r="Y377" s="250"/>
      <c r="Z377" s="250"/>
      <c r="AA377" s="250"/>
      <c r="AB377" s="250"/>
      <c r="AC377" s="250"/>
      <c r="AD377" s="250"/>
      <c r="AE377" s="227"/>
      <c r="AF377" s="227"/>
      <c r="AG377" s="227"/>
      <c r="AH377" s="227"/>
      <c r="AI377" s="227"/>
      <c r="AJ377" s="227"/>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row>
    <row r="378" spans="1:66" customFormat="1" ht="50.25" hidden="1" customHeight="1">
      <c r="A378" s="234" t="s">
        <v>240</v>
      </c>
      <c r="B378" s="224" t="s">
        <v>917</v>
      </c>
      <c r="C378" s="215" t="s">
        <v>918</v>
      </c>
      <c r="D378" s="216" t="s">
        <v>116</v>
      </c>
      <c r="E378" s="230">
        <v>46232</v>
      </c>
      <c r="F378" s="230"/>
      <c r="G378" s="224">
        <v>40</v>
      </c>
      <c r="H378" s="256">
        <v>40</v>
      </c>
      <c r="I378" s="237">
        <f t="shared" si="18"/>
        <v>0</v>
      </c>
      <c r="J378" s="221">
        <f t="shared" si="16"/>
        <v>0</v>
      </c>
      <c r="K378" s="250">
        <v>0</v>
      </c>
      <c r="L378" s="221" t="str">
        <f t="shared" si="17"/>
        <v>Normal</v>
      </c>
      <c r="M378" s="221"/>
      <c r="N378" s="250"/>
      <c r="O378" s="250"/>
      <c r="P378" s="250"/>
      <c r="Q378" s="250"/>
      <c r="R378" s="216"/>
      <c r="S378" s="250"/>
      <c r="T378" s="250"/>
      <c r="U378" s="250"/>
      <c r="V378" s="250"/>
      <c r="W378" s="250"/>
      <c r="X378" s="250"/>
      <c r="Y378" s="250"/>
      <c r="Z378" s="250"/>
      <c r="AA378" s="250"/>
      <c r="AB378" s="250"/>
      <c r="AC378" s="250"/>
      <c r="AD378" s="250"/>
      <c r="AE378" s="227"/>
      <c r="AF378" s="227"/>
      <c r="AG378" s="227"/>
      <c r="AH378" s="227"/>
      <c r="AI378" s="227"/>
      <c r="AJ378" s="227"/>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row>
    <row r="379" spans="1:66" s="207" customFormat="1" ht="50.25" customHeight="1">
      <c r="A379" s="241" t="s">
        <v>240</v>
      </c>
      <c r="B379" s="241" t="s">
        <v>832</v>
      </c>
      <c r="C379" s="242" t="s">
        <v>833</v>
      </c>
      <c r="D379" s="241" t="s">
        <v>298</v>
      </c>
      <c r="E379" s="243">
        <v>46265</v>
      </c>
      <c r="F379" s="243"/>
      <c r="G379" s="241">
        <v>10.5</v>
      </c>
      <c r="H379" s="244">
        <v>0</v>
      </c>
      <c r="I379" s="245">
        <f t="shared" si="18"/>
        <v>10</v>
      </c>
      <c r="J379" s="221">
        <f t="shared" si="16"/>
        <v>-4.7619047619047616E-2</v>
      </c>
      <c r="K379" s="241"/>
      <c r="L379" s="221" t="str">
        <f t="shared" si="17"/>
        <v>Normal</v>
      </c>
      <c r="M379" s="264"/>
      <c r="N379" s="241">
        <v>0.5</v>
      </c>
      <c r="O379" s="241">
        <v>0.5</v>
      </c>
      <c r="P379" s="241">
        <v>0.5</v>
      </c>
      <c r="Q379" s="241">
        <v>0.5</v>
      </c>
      <c r="R379" s="241">
        <v>0.5</v>
      </c>
      <c r="S379" s="241">
        <v>0.5</v>
      </c>
      <c r="T379" s="241">
        <v>0.5</v>
      </c>
      <c r="U379" s="241">
        <v>0.5</v>
      </c>
      <c r="V379" s="241">
        <v>0.5</v>
      </c>
      <c r="W379" s="241">
        <v>0.5</v>
      </c>
      <c r="X379" s="241"/>
      <c r="Y379" s="241">
        <v>0.5</v>
      </c>
      <c r="Z379" s="241">
        <v>0.5</v>
      </c>
      <c r="AA379" s="241">
        <v>0.5</v>
      </c>
      <c r="AB379" s="241">
        <v>0.5</v>
      </c>
      <c r="AC379" s="241">
        <v>0.5</v>
      </c>
      <c r="AD379" s="241">
        <v>0.5</v>
      </c>
      <c r="AE379" s="241">
        <v>0.5</v>
      </c>
      <c r="AF379" s="241">
        <v>0.5</v>
      </c>
      <c r="AG379" s="241">
        <v>0.5</v>
      </c>
      <c r="AH379" s="241"/>
      <c r="AI379" s="241"/>
      <c r="AJ379" s="241">
        <v>0.5</v>
      </c>
      <c r="AK379" s="205"/>
      <c r="AL379" s="205"/>
      <c r="AM379" s="205"/>
      <c r="AN379" s="205"/>
      <c r="AO379" s="205"/>
      <c r="AP379" s="205"/>
      <c r="AQ379" s="205"/>
      <c r="AR379" s="205"/>
    </row>
    <row r="380" spans="1:66" s="207" customFormat="1" ht="50.25" customHeight="1">
      <c r="A380" s="241" t="s">
        <v>240</v>
      </c>
      <c r="B380" s="241" t="s">
        <v>919</v>
      </c>
      <c r="C380" s="242" t="s">
        <v>920</v>
      </c>
      <c r="D380" s="241" t="s">
        <v>578</v>
      </c>
      <c r="E380" s="243"/>
      <c r="F380" s="243"/>
      <c r="G380" s="241">
        <v>24</v>
      </c>
      <c r="H380" s="244">
        <v>0</v>
      </c>
      <c r="I380" s="245">
        <f t="shared" si="18"/>
        <v>24</v>
      </c>
      <c r="J380" s="221">
        <f t="shared" si="16"/>
        <v>0</v>
      </c>
      <c r="K380" s="241"/>
      <c r="L380" s="221" t="str">
        <f t="shared" si="17"/>
        <v>Normal</v>
      </c>
      <c r="M380" s="264"/>
      <c r="N380" s="241"/>
      <c r="O380" s="241"/>
      <c r="P380" s="241"/>
      <c r="Q380" s="241"/>
      <c r="R380" s="241"/>
      <c r="S380" s="241">
        <v>8</v>
      </c>
      <c r="T380" s="241">
        <v>8</v>
      </c>
      <c r="U380" s="241">
        <v>8</v>
      </c>
      <c r="V380" s="241"/>
      <c r="W380" s="241"/>
      <c r="X380" s="241"/>
      <c r="Y380" s="241"/>
      <c r="Z380" s="241"/>
      <c r="AA380" s="241"/>
      <c r="AB380" s="241"/>
      <c r="AC380" s="241"/>
      <c r="AD380" s="241"/>
      <c r="AE380" s="241"/>
      <c r="AF380" s="241"/>
      <c r="AG380" s="241"/>
      <c r="AH380" s="241"/>
      <c r="AI380" s="241"/>
      <c r="AJ380" s="241"/>
      <c r="AK380" s="205"/>
      <c r="AL380" s="205"/>
      <c r="AM380" s="205"/>
      <c r="AN380" s="205"/>
      <c r="AO380" s="205"/>
      <c r="AP380" s="205"/>
      <c r="AQ380" s="205"/>
      <c r="AR380" s="205"/>
    </row>
    <row r="381" spans="1:66" s="207" customFormat="1" ht="50.25" customHeight="1">
      <c r="A381" s="241" t="s">
        <v>240</v>
      </c>
      <c r="B381" s="241" t="s">
        <v>921</v>
      </c>
      <c r="C381" s="242" t="s">
        <v>922</v>
      </c>
      <c r="D381" s="241" t="s">
        <v>578</v>
      </c>
      <c r="E381" s="243"/>
      <c r="F381" s="243"/>
      <c r="G381" s="241">
        <v>48</v>
      </c>
      <c r="H381" s="244">
        <v>0</v>
      </c>
      <c r="I381" s="245">
        <f t="shared" si="18"/>
        <v>56</v>
      </c>
      <c r="J381" s="221">
        <f t="shared" si="16"/>
        <v>0.16666666666666666</v>
      </c>
      <c r="K381" s="241"/>
      <c r="L381" s="221" t="str">
        <f t="shared" si="17"/>
        <v>Normal</v>
      </c>
      <c r="M381" s="264"/>
      <c r="N381" s="241"/>
      <c r="O381" s="241"/>
      <c r="P381" s="241"/>
      <c r="Q381" s="241"/>
      <c r="R381" s="241"/>
      <c r="S381" s="241"/>
      <c r="T381" s="241"/>
      <c r="U381" s="241"/>
      <c r="V381" s="241">
        <v>8</v>
      </c>
      <c r="W381" s="241">
        <v>8</v>
      </c>
      <c r="X381" s="241"/>
      <c r="Y381" s="241"/>
      <c r="Z381" s="241"/>
      <c r="AA381" s="241"/>
      <c r="AB381" s="241"/>
      <c r="AC381" s="241">
        <v>8</v>
      </c>
      <c r="AD381" s="241">
        <v>8</v>
      </c>
      <c r="AE381" s="241">
        <v>8</v>
      </c>
      <c r="AF381" s="241">
        <v>8</v>
      </c>
      <c r="AG381" s="241">
        <v>8</v>
      </c>
      <c r="AH381" s="241"/>
      <c r="AI381" s="241"/>
      <c r="AJ381" s="241"/>
      <c r="AK381" s="205"/>
      <c r="AL381" s="205"/>
      <c r="AM381" s="205"/>
      <c r="AN381" s="205"/>
      <c r="AO381" s="205"/>
      <c r="AP381" s="205"/>
      <c r="AQ381" s="205"/>
      <c r="AR381" s="205"/>
    </row>
    <row r="382" spans="1:66" s="207" customFormat="1" ht="50.25" customHeight="1">
      <c r="A382" s="241" t="s">
        <v>240</v>
      </c>
      <c r="B382" s="241" t="s">
        <v>923</v>
      </c>
      <c r="C382" s="242" t="s">
        <v>924</v>
      </c>
      <c r="D382" s="241" t="s">
        <v>578</v>
      </c>
      <c r="E382" s="243"/>
      <c r="F382" s="243"/>
      <c r="G382" s="241">
        <v>40</v>
      </c>
      <c r="H382" s="244">
        <v>0</v>
      </c>
      <c r="I382" s="245">
        <f t="shared" si="18"/>
        <v>32</v>
      </c>
      <c r="J382" s="221">
        <f t="shared" si="16"/>
        <v>-0.2</v>
      </c>
      <c r="K382" s="241"/>
      <c r="L382" s="221" t="str">
        <f t="shared" si="17"/>
        <v>Normal</v>
      </c>
      <c r="M382" s="264"/>
      <c r="N382" s="241"/>
      <c r="O382" s="241"/>
      <c r="P382" s="241"/>
      <c r="Q382" s="241"/>
      <c r="R382" s="241"/>
      <c r="S382" s="241"/>
      <c r="T382" s="241"/>
      <c r="U382" s="241"/>
      <c r="V382" s="241"/>
      <c r="W382" s="241"/>
      <c r="X382" s="241"/>
      <c r="Y382" s="241">
        <v>8</v>
      </c>
      <c r="Z382" s="241">
        <v>8</v>
      </c>
      <c r="AA382" s="241">
        <v>8</v>
      </c>
      <c r="AB382" s="241">
        <v>8</v>
      </c>
      <c r="AC382" s="241"/>
      <c r="AD382" s="241"/>
      <c r="AE382" s="241"/>
      <c r="AF382" s="241"/>
      <c r="AG382" s="241"/>
      <c r="AH382" s="241"/>
      <c r="AI382" s="241"/>
      <c r="AJ382" s="241"/>
      <c r="AK382" s="205"/>
      <c r="AL382" s="205"/>
      <c r="AM382" s="205"/>
      <c r="AN382" s="205"/>
      <c r="AO382" s="205"/>
      <c r="AP382" s="205"/>
      <c r="AQ382" s="205"/>
      <c r="AR382" s="205"/>
    </row>
    <row r="383" spans="1:66" customFormat="1" ht="50.25" hidden="1" customHeight="1">
      <c r="A383" s="224" t="s">
        <v>250</v>
      </c>
      <c r="B383" s="228" t="s">
        <v>925</v>
      </c>
      <c r="C383" s="233" t="s">
        <v>926</v>
      </c>
      <c r="D383" s="216" t="s">
        <v>298</v>
      </c>
      <c r="E383" s="230">
        <v>45938</v>
      </c>
      <c r="F383" s="230">
        <v>45933</v>
      </c>
      <c r="G383" s="224">
        <v>50</v>
      </c>
      <c r="H383" s="219">
        <v>35</v>
      </c>
      <c r="I383" s="237">
        <f>SUM(N383:AB383)</f>
        <v>0</v>
      </c>
      <c r="J383" s="221">
        <f t="shared" si="16"/>
        <v>-0.3</v>
      </c>
      <c r="K383" s="216">
        <v>1</v>
      </c>
      <c r="L383" s="221" t="str">
        <f t="shared" si="17"/>
        <v>Normal</v>
      </c>
      <c r="M383" s="161"/>
      <c r="N383" s="224"/>
      <c r="O383" s="224"/>
      <c r="P383" s="224"/>
      <c r="Q383" s="224"/>
      <c r="R383" s="161"/>
      <c r="S383" s="161"/>
      <c r="T383" s="227"/>
      <c r="U383" s="222"/>
      <c r="V383" s="222"/>
      <c r="W383" s="227"/>
      <c r="X383" s="227"/>
      <c r="Y383" s="227"/>
      <c r="Z383" s="227"/>
      <c r="AA383" s="227"/>
      <c r="AB383" s="227"/>
      <c r="AC383" s="227"/>
      <c r="AD383" s="227"/>
      <c r="AE383" s="227"/>
      <c r="AF383" s="227"/>
      <c r="AG383" s="227"/>
      <c r="AH383" s="227"/>
      <c r="AI383" s="227"/>
      <c r="AJ383" s="227"/>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row>
    <row r="384" spans="1:66" customFormat="1" ht="50.25" hidden="1" customHeight="1">
      <c r="A384" s="224" t="s">
        <v>250</v>
      </c>
      <c r="B384" s="228" t="s">
        <v>927</v>
      </c>
      <c r="C384" s="233" t="s">
        <v>928</v>
      </c>
      <c r="D384" s="216" t="s">
        <v>298</v>
      </c>
      <c r="E384" s="230">
        <v>45929</v>
      </c>
      <c r="F384" s="230">
        <v>45929</v>
      </c>
      <c r="G384" s="224">
        <v>5</v>
      </c>
      <c r="H384" s="219">
        <v>5</v>
      </c>
      <c r="I384" s="237">
        <f>SUM(N384:AB384)</f>
        <v>0</v>
      </c>
      <c r="J384" s="221">
        <f t="shared" si="16"/>
        <v>0</v>
      </c>
      <c r="K384" s="216">
        <v>0</v>
      </c>
      <c r="L384" s="221" t="str">
        <f t="shared" si="17"/>
        <v>Normal</v>
      </c>
      <c r="M384" s="161"/>
      <c r="N384" s="224"/>
      <c r="O384" s="224"/>
      <c r="P384" s="224"/>
      <c r="Q384" s="224"/>
      <c r="R384" s="161"/>
      <c r="S384" s="161"/>
      <c r="T384" s="227"/>
      <c r="U384" s="222"/>
      <c r="V384" s="222"/>
      <c r="W384" s="227"/>
      <c r="X384" s="227"/>
      <c r="Y384" s="227"/>
      <c r="Z384" s="227"/>
      <c r="AA384" s="227"/>
      <c r="AB384" s="227"/>
      <c r="AC384" s="227"/>
      <c r="AD384" s="227"/>
      <c r="AE384" s="227"/>
      <c r="AF384" s="227"/>
      <c r="AG384" s="227"/>
      <c r="AH384" s="227"/>
      <c r="AI384" s="227"/>
      <c r="AJ384" s="227"/>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row>
    <row r="385" spans="1:66" customFormat="1" ht="50.25" hidden="1" customHeight="1">
      <c r="A385" s="224" t="s">
        <v>250</v>
      </c>
      <c r="B385" s="228" t="s">
        <v>623</v>
      </c>
      <c r="C385" s="233" t="s">
        <v>624</v>
      </c>
      <c r="D385" s="216" t="s">
        <v>298</v>
      </c>
      <c r="E385" s="230">
        <v>45961</v>
      </c>
      <c r="F385" s="230">
        <v>45961</v>
      </c>
      <c r="G385" s="224">
        <v>11</v>
      </c>
      <c r="H385" s="219">
        <v>11</v>
      </c>
      <c r="I385" s="237">
        <f>SUM(N385:AB385)</f>
        <v>0</v>
      </c>
      <c r="J385" s="221">
        <f t="shared" si="16"/>
        <v>0</v>
      </c>
      <c r="K385" s="216">
        <v>0</v>
      </c>
      <c r="L385" s="221" t="str">
        <f t="shared" si="17"/>
        <v>Normal</v>
      </c>
      <c r="M385" s="161"/>
      <c r="N385" s="224"/>
      <c r="O385" s="224"/>
      <c r="P385" s="224"/>
      <c r="Q385" s="224"/>
      <c r="R385" s="224"/>
      <c r="S385" s="224"/>
      <c r="T385" s="227"/>
      <c r="U385" s="222"/>
      <c r="V385" s="222"/>
      <c r="W385" s="227"/>
      <c r="X385" s="227"/>
      <c r="Y385" s="227"/>
      <c r="Z385" s="227"/>
      <c r="AA385" s="227"/>
      <c r="AB385" s="227"/>
      <c r="AC385" s="227"/>
      <c r="AD385" s="227"/>
      <c r="AE385" s="227"/>
      <c r="AF385" s="227"/>
      <c r="AG385" s="227"/>
      <c r="AH385" s="227"/>
      <c r="AI385" s="227"/>
      <c r="AJ385" s="227"/>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row>
    <row r="386" spans="1:66" customFormat="1" ht="50.25" hidden="1" customHeight="1">
      <c r="A386" s="224" t="s">
        <v>250</v>
      </c>
      <c r="B386" s="228" t="s">
        <v>929</v>
      </c>
      <c r="C386" s="215" t="s">
        <v>930</v>
      </c>
      <c r="D386" s="216" t="s">
        <v>298</v>
      </c>
      <c r="E386" s="230">
        <v>45937</v>
      </c>
      <c r="F386" s="230">
        <v>45937</v>
      </c>
      <c r="G386" s="224">
        <v>6</v>
      </c>
      <c r="H386" s="219">
        <v>6</v>
      </c>
      <c r="I386" s="237">
        <f>SUM(N386:AB386)</f>
        <v>0</v>
      </c>
      <c r="J386" s="221">
        <f t="shared" si="16"/>
        <v>0</v>
      </c>
      <c r="K386" s="216">
        <v>1</v>
      </c>
      <c r="L386" s="221" t="str">
        <f t="shared" si="17"/>
        <v>Normal</v>
      </c>
      <c r="M386" s="161"/>
      <c r="N386" s="224"/>
      <c r="O386" s="224"/>
      <c r="P386" s="224"/>
      <c r="Q386" s="224"/>
      <c r="R386" s="161"/>
      <c r="S386" s="161"/>
      <c r="T386" s="227"/>
      <c r="U386" s="222"/>
      <c r="V386" s="222"/>
      <c r="W386" s="227"/>
      <c r="X386" s="227"/>
      <c r="Y386" s="227"/>
      <c r="Z386" s="227"/>
      <c r="AA386" s="227"/>
      <c r="AB386" s="227"/>
      <c r="AC386" s="227"/>
      <c r="AD386" s="227"/>
      <c r="AE386" s="227"/>
      <c r="AF386" s="227"/>
      <c r="AG386" s="227"/>
      <c r="AH386" s="227"/>
      <c r="AI386" s="227"/>
      <c r="AJ386" s="227"/>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row>
    <row r="387" spans="1:66" customFormat="1" ht="50.25" hidden="1" customHeight="1">
      <c r="A387" s="224" t="s">
        <v>250</v>
      </c>
      <c r="B387" s="265" t="s">
        <v>931</v>
      </c>
      <c r="C387" s="215" t="s">
        <v>932</v>
      </c>
      <c r="D387" s="216" t="s">
        <v>298</v>
      </c>
      <c r="E387" s="230">
        <v>45940</v>
      </c>
      <c r="F387" s="230">
        <v>45940</v>
      </c>
      <c r="G387" s="224">
        <v>16</v>
      </c>
      <c r="H387" s="219">
        <v>18</v>
      </c>
      <c r="I387" s="237">
        <f>SUM(N387:AB387)</f>
        <v>0</v>
      </c>
      <c r="J387" s="221">
        <f t="shared" ref="J387:J450" si="19">IFERROR((H387+I387-G387)/G387,"")</f>
        <v>0.125</v>
      </c>
      <c r="K387" s="216">
        <v>1</v>
      </c>
      <c r="L387" s="221" t="str">
        <f t="shared" ref="L387:L450" si="20">IF(OR(J387="",J387="Sin estimado"),"Sin estimación",IF(J387&gt;=30%,"Desviado","Normal"))</f>
        <v>Normal</v>
      </c>
      <c r="M387" s="161"/>
      <c r="N387" s="224"/>
      <c r="O387" s="224"/>
      <c r="P387" s="224"/>
      <c r="Q387" s="224"/>
      <c r="R387" s="161"/>
      <c r="S387" s="161"/>
      <c r="T387" s="226"/>
      <c r="U387" s="161"/>
      <c r="V387" s="161"/>
      <c r="W387" s="226"/>
      <c r="X387" s="226"/>
      <c r="Y387" s="226"/>
      <c r="Z387" s="226"/>
      <c r="AA387" s="226"/>
      <c r="AB387" s="226"/>
      <c r="AC387" s="226"/>
      <c r="AD387" s="226"/>
      <c r="AE387" s="226"/>
      <c r="AF387" s="226"/>
      <c r="AG387" s="226"/>
      <c r="AH387" s="226"/>
      <c r="AI387" s="226"/>
      <c r="AJ387" s="226"/>
    </row>
    <row r="388" spans="1:66" customFormat="1" ht="50.25" hidden="1" customHeight="1">
      <c r="A388" s="224" t="s">
        <v>250</v>
      </c>
      <c r="B388" s="228" t="s">
        <v>933</v>
      </c>
      <c r="C388" s="215" t="s">
        <v>934</v>
      </c>
      <c r="D388" s="216" t="s">
        <v>298</v>
      </c>
      <c r="E388" s="230">
        <v>45944</v>
      </c>
      <c r="F388" s="230">
        <v>45945</v>
      </c>
      <c r="G388" s="224">
        <v>12</v>
      </c>
      <c r="H388" s="219">
        <v>15</v>
      </c>
      <c r="I388" s="237">
        <f>SUM(N388:AB388)</f>
        <v>0</v>
      </c>
      <c r="J388" s="221">
        <f t="shared" si="19"/>
        <v>0.25</v>
      </c>
      <c r="K388" s="216">
        <v>1</v>
      </c>
      <c r="L388" s="221" t="str">
        <f t="shared" si="20"/>
        <v>Normal</v>
      </c>
      <c r="M388" s="161"/>
      <c r="N388" s="224"/>
      <c r="O388" s="224"/>
      <c r="P388" s="224"/>
      <c r="Q388" s="224"/>
      <c r="R388" s="161"/>
      <c r="S388" s="161"/>
      <c r="T388" s="226"/>
      <c r="U388" s="161"/>
      <c r="V388" s="161"/>
      <c r="W388" s="226"/>
      <c r="X388" s="226"/>
      <c r="Y388" s="226"/>
      <c r="Z388" s="226"/>
      <c r="AA388" s="226"/>
      <c r="AB388" s="226"/>
      <c r="AC388" s="226"/>
      <c r="AD388" s="226"/>
      <c r="AE388" s="226"/>
      <c r="AF388" s="226"/>
      <c r="AG388" s="226"/>
      <c r="AH388" s="226"/>
      <c r="AI388" s="226"/>
      <c r="AJ388" s="226"/>
    </row>
    <row r="389" spans="1:66" customFormat="1" ht="50.25" hidden="1" customHeight="1">
      <c r="A389" s="224" t="s">
        <v>250</v>
      </c>
      <c r="B389" s="228" t="s">
        <v>935</v>
      </c>
      <c r="C389" s="215" t="s">
        <v>936</v>
      </c>
      <c r="D389" s="216" t="s">
        <v>298</v>
      </c>
      <c r="E389" s="230">
        <v>45944</v>
      </c>
      <c r="F389" s="230">
        <v>45945</v>
      </c>
      <c r="G389" s="224">
        <v>20</v>
      </c>
      <c r="H389" s="219">
        <v>26</v>
      </c>
      <c r="I389" s="237">
        <f>SUM(N389:AB389)</f>
        <v>0</v>
      </c>
      <c r="J389" s="221">
        <f t="shared" si="19"/>
        <v>0.3</v>
      </c>
      <c r="K389" s="216">
        <v>1</v>
      </c>
      <c r="L389" s="221" t="str">
        <f t="shared" si="20"/>
        <v>Desviado</v>
      </c>
      <c r="M389" s="161"/>
      <c r="N389" s="224"/>
      <c r="O389" s="224"/>
      <c r="P389" s="224"/>
      <c r="Q389" s="224"/>
      <c r="R389" s="161"/>
      <c r="S389" s="161"/>
      <c r="T389" s="226"/>
      <c r="U389" s="161"/>
      <c r="V389" s="161"/>
      <c r="W389" s="226"/>
      <c r="X389" s="226"/>
      <c r="Y389" s="226"/>
      <c r="Z389" s="226"/>
      <c r="AA389" s="226"/>
      <c r="AB389" s="226"/>
      <c r="AC389" s="226"/>
      <c r="AD389" s="226"/>
      <c r="AE389" s="226"/>
      <c r="AF389" s="226"/>
      <c r="AG389" s="226"/>
      <c r="AH389" s="226"/>
      <c r="AI389" s="226"/>
      <c r="AJ389" s="226"/>
    </row>
    <row r="390" spans="1:66" customFormat="1" ht="50.25" hidden="1" customHeight="1">
      <c r="A390" s="224" t="s">
        <v>250</v>
      </c>
      <c r="B390" s="228" t="s">
        <v>937</v>
      </c>
      <c r="C390" s="215" t="s">
        <v>938</v>
      </c>
      <c r="D390" s="216" t="s">
        <v>106</v>
      </c>
      <c r="E390" s="230">
        <v>46126</v>
      </c>
      <c r="F390" s="230">
        <v>46125</v>
      </c>
      <c r="G390" s="224">
        <v>8</v>
      </c>
      <c r="H390" s="219">
        <v>8</v>
      </c>
      <c r="I390" s="237">
        <f>SUM(N390:AB390)</f>
        <v>0</v>
      </c>
      <c r="J390" s="221">
        <f t="shared" si="19"/>
        <v>0</v>
      </c>
      <c r="K390" s="216">
        <v>0</v>
      </c>
      <c r="L390" s="221" t="str">
        <f t="shared" si="20"/>
        <v>Normal</v>
      </c>
      <c r="M390" s="161"/>
      <c r="N390" s="224"/>
      <c r="O390" s="224"/>
      <c r="P390" s="224"/>
      <c r="Q390" s="224"/>
      <c r="R390" s="224"/>
      <c r="S390" s="224"/>
      <c r="T390" s="226"/>
      <c r="U390" s="161"/>
      <c r="V390" s="161"/>
      <c r="W390" s="226"/>
      <c r="X390" s="226"/>
      <c r="Y390" s="226"/>
      <c r="Z390" s="226"/>
      <c r="AA390" s="226"/>
      <c r="AB390" s="226"/>
      <c r="AC390" s="226"/>
      <c r="AD390" s="226"/>
      <c r="AE390" s="226"/>
      <c r="AF390" s="226"/>
      <c r="AG390" s="226"/>
      <c r="AH390" s="226"/>
      <c r="AI390" s="226"/>
      <c r="AJ390" s="226"/>
    </row>
    <row r="391" spans="1:66" customFormat="1" ht="50.25" hidden="1" customHeight="1">
      <c r="A391" s="224" t="s">
        <v>250</v>
      </c>
      <c r="B391" s="266" t="s">
        <v>939</v>
      </c>
      <c r="C391" s="215" t="s">
        <v>940</v>
      </c>
      <c r="D391" s="216" t="s">
        <v>189</v>
      </c>
      <c r="E391" s="230">
        <v>45606</v>
      </c>
      <c r="F391" s="230"/>
      <c r="G391" s="224">
        <v>24</v>
      </c>
      <c r="H391" s="219">
        <v>22</v>
      </c>
      <c r="I391" s="237">
        <f>SUM(N391:AB391)</f>
        <v>0</v>
      </c>
      <c r="J391" s="221">
        <f t="shared" si="19"/>
        <v>-8.3333333333333329E-2</v>
      </c>
      <c r="K391" s="216">
        <v>0</v>
      </c>
      <c r="L391" s="221" t="str">
        <f t="shared" si="20"/>
        <v>Normal</v>
      </c>
      <c r="M391" s="161"/>
      <c r="N391" s="224"/>
      <c r="O391" s="224"/>
      <c r="P391" s="224"/>
      <c r="Q391" s="224"/>
      <c r="R391" s="224"/>
      <c r="S391" s="224"/>
      <c r="T391" s="227"/>
      <c r="U391" s="222"/>
      <c r="V391" s="222"/>
      <c r="W391" s="227"/>
      <c r="X391" s="227"/>
      <c r="Y391" s="227"/>
      <c r="Z391" s="227"/>
      <c r="AA391" s="227"/>
      <c r="AB391" s="227"/>
      <c r="AC391" s="227"/>
      <c r="AD391" s="227"/>
      <c r="AE391" s="227"/>
      <c r="AF391" s="227"/>
      <c r="AG391" s="227"/>
      <c r="AH391" s="227"/>
      <c r="AI391" s="227"/>
      <c r="AJ391" s="227"/>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row>
    <row r="392" spans="1:66" customFormat="1" ht="50.25" hidden="1" customHeight="1">
      <c r="A392" s="224" t="s">
        <v>250</v>
      </c>
      <c r="B392" s="228" t="s">
        <v>641</v>
      </c>
      <c r="C392" s="233" t="s">
        <v>642</v>
      </c>
      <c r="D392" s="216" t="s">
        <v>298</v>
      </c>
      <c r="E392" s="230">
        <v>45991</v>
      </c>
      <c r="F392" s="230">
        <v>45991</v>
      </c>
      <c r="G392" s="224">
        <v>9</v>
      </c>
      <c r="H392" s="219">
        <v>9</v>
      </c>
      <c r="I392" s="237">
        <f>SUM(N392:AB392)</f>
        <v>0</v>
      </c>
      <c r="J392" s="221">
        <f t="shared" si="19"/>
        <v>0</v>
      </c>
      <c r="K392" s="224">
        <v>0</v>
      </c>
      <c r="L392" s="221" t="str">
        <f t="shared" si="20"/>
        <v>Normal</v>
      </c>
      <c r="M392" s="161"/>
      <c r="N392" s="216"/>
      <c r="O392" s="216"/>
      <c r="P392" s="216"/>
      <c r="Q392" s="216"/>
      <c r="R392" s="216"/>
      <c r="S392" s="216"/>
      <c r="T392" s="227"/>
      <c r="U392" s="222"/>
      <c r="V392" s="222"/>
      <c r="W392" s="227"/>
      <c r="X392" s="227"/>
      <c r="Y392" s="227"/>
      <c r="Z392" s="227"/>
      <c r="AA392" s="227"/>
      <c r="AB392" s="227"/>
      <c r="AC392" s="227"/>
      <c r="AD392" s="227"/>
      <c r="AE392" s="227"/>
      <c r="AF392" s="227"/>
      <c r="AG392" s="227"/>
      <c r="AH392" s="227"/>
      <c r="AI392" s="227"/>
      <c r="AJ392" s="227"/>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row>
    <row r="393" spans="1:66" customFormat="1" ht="50.25" hidden="1" customHeight="1">
      <c r="A393" s="224" t="s">
        <v>250</v>
      </c>
      <c r="B393" s="228" t="s">
        <v>941</v>
      </c>
      <c r="C393" s="215" t="s">
        <v>942</v>
      </c>
      <c r="D393" s="216" t="s">
        <v>298</v>
      </c>
      <c r="E393" s="230">
        <v>45975</v>
      </c>
      <c r="F393" s="230">
        <v>45974</v>
      </c>
      <c r="G393" s="224">
        <v>16</v>
      </c>
      <c r="H393" s="219">
        <v>16</v>
      </c>
      <c r="I393" s="237">
        <f>SUM(N393:AB393)</f>
        <v>0</v>
      </c>
      <c r="J393" s="221">
        <f t="shared" si="19"/>
        <v>0</v>
      </c>
      <c r="K393" s="224">
        <v>1</v>
      </c>
      <c r="L393" s="221" t="str">
        <f t="shared" si="20"/>
        <v>Normal</v>
      </c>
      <c r="M393" s="161"/>
      <c r="N393" s="216"/>
      <c r="O393" s="216"/>
      <c r="P393" s="216"/>
      <c r="Q393" s="216"/>
      <c r="R393" s="216"/>
      <c r="S393" s="216"/>
      <c r="T393" s="227"/>
      <c r="U393" s="222"/>
      <c r="V393" s="222"/>
      <c r="W393" s="227"/>
      <c r="X393" s="227"/>
      <c r="Y393" s="227"/>
      <c r="Z393" s="227"/>
      <c r="AA393" s="227"/>
      <c r="AB393" s="227"/>
      <c r="AC393" s="227"/>
      <c r="AD393" s="227"/>
      <c r="AE393" s="227"/>
      <c r="AF393" s="227"/>
      <c r="AG393" s="227"/>
      <c r="AH393" s="227"/>
      <c r="AI393" s="227"/>
      <c r="AJ393" s="227"/>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row>
    <row r="394" spans="1:66" s="39" customFormat="1" ht="50.25" hidden="1" customHeight="1">
      <c r="A394" s="224" t="s">
        <v>250</v>
      </c>
      <c r="B394" s="228" t="s">
        <v>943</v>
      </c>
      <c r="C394" s="215" t="s">
        <v>944</v>
      </c>
      <c r="D394" s="216" t="s">
        <v>298</v>
      </c>
      <c r="E394" s="230">
        <v>45988</v>
      </c>
      <c r="F394" s="230">
        <v>45989</v>
      </c>
      <c r="G394" s="224">
        <v>16</v>
      </c>
      <c r="H394" s="219">
        <v>8</v>
      </c>
      <c r="I394" s="237">
        <f>SUM(N394:AB394)</f>
        <v>0</v>
      </c>
      <c r="J394" s="221">
        <f t="shared" si="19"/>
        <v>-0.5</v>
      </c>
      <c r="K394" s="224">
        <v>1</v>
      </c>
      <c r="L394" s="221" t="str">
        <f t="shared" si="20"/>
        <v>Normal</v>
      </c>
      <c r="M394" s="161"/>
      <c r="N394" s="216"/>
      <c r="O394" s="216"/>
      <c r="P394" s="216"/>
      <c r="Q394" s="216"/>
      <c r="R394" s="216"/>
      <c r="S394" s="216"/>
      <c r="T394" s="227"/>
      <c r="U394" s="222"/>
      <c r="V394" s="222"/>
      <c r="W394" s="227"/>
      <c r="X394" s="227"/>
      <c r="Y394" s="227"/>
      <c r="Z394" s="227"/>
      <c r="AA394" s="227"/>
      <c r="AB394" s="227"/>
      <c r="AC394" s="227"/>
      <c r="AD394" s="227"/>
      <c r="AE394" s="227"/>
      <c r="AF394" s="227"/>
      <c r="AG394" s="227"/>
      <c r="AH394" s="227"/>
      <c r="AI394" s="227"/>
      <c r="AJ394" s="227"/>
    </row>
    <row r="395" spans="1:66" customFormat="1" ht="50.25" hidden="1" customHeight="1">
      <c r="A395" s="224" t="s">
        <v>250</v>
      </c>
      <c r="B395" s="266" t="s">
        <v>945</v>
      </c>
      <c r="C395" s="215" t="s">
        <v>946</v>
      </c>
      <c r="D395" s="216" t="s">
        <v>298</v>
      </c>
      <c r="E395" s="230">
        <v>45994</v>
      </c>
      <c r="F395" s="230">
        <v>45993</v>
      </c>
      <c r="G395" s="224">
        <v>16</v>
      </c>
      <c r="H395" s="219">
        <v>20</v>
      </c>
      <c r="I395" s="237">
        <f>SUM(N395:AB395)</f>
        <v>0</v>
      </c>
      <c r="J395" s="221">
        <f t="shared" si="19"/>
        <v>0.25</v>
      </c>
      <c r="K395" s="224">
        <v>1</v>
      </c>
      <c r="L395" s="221" t="str">
        <f t="shared" si="20"/>
        <v>Normal</v>
      </c>
      <c r="M395" s="161"/>
      <c r="N395" s="216"/>
      <c r="O395" s="216"/>
      <c r="P395" s="216"/>
      <c r="Q395" s="216"/>
      <c r="R395" s="216"/>
      <c r="S395" s="216"/>
      <c r="T395" s="227"/>
      <c r="U395" s="222"/>
      <c r="V395" s="222"/>
      <c r="W395" s="227"/>
      <c r="X395" s="227"/>
      <c r="Y395" s="227"/>
      <c r="Z395" s="227"/>
      <c r="AA395" s="227"/>
      <c r="AB395" s="227"/>
      <c r="AC395" s="227"/>
      <c r="AD395" s="227"/>
      <c r="AE395" s="227"/>
      <c r="AF395" s="227"/>
      <c r="AG395" s="227"/>
      <c r="AH395" s="227"/>
      <c r="AI395" s="227"/>
      <c r="AJ395" s="227"/>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row>
    <row r="396" spans="1:66" customFormat="1" ht="50.25" hidden="1" customHeight="1">
      <c r="A396" s="224" t="s">
        <v>250</v>
      </c>
      <c r="B396" s="266" t="s">
        <v>947</v>
      </c>
      <c r="C396" s="215" t="s">
        <v>948</v>
      </c>
      <c r="D396" s="216" t="s">
        <v>298</v>
      </c>
      <c r="E396" s="230">
        <v>46003</v>
      </c>
      <c r="F396" s="230">
        <v>46002</v>
      </c>
      <c r="G396" s="224">
        <v>16</v>
      </c>
      <c r="H396" s="219">
        <v>20</v>
      </c>
      <c r="I396" s="237">
        <f>SUM(N396:AB396)</f>
        <v>0</v>
      </c>
      <c r="J396" s="221">
        <f t="shared" si="19"/>
        <v>0.25</v>
      </c>
      <c r="K396" s="224">
        <v>1</v>
      </c>
      <c r="L396" s="221" t="str">
        <f t="shared" si="20"/>
        <v>Normal</v>
      </c>
      <c r="M396" s="161"/>
      <c r="N396" s="216"/>
      <c r="O396" s="216"/>
      <c r="P396" s="216"/>
      <c r="Q396" s="216"/>
      <c r="R396" s="216"/>
      <c r="S396" s="216"/>
      <c r="T396" s="227"/>
      <c r="U396" s="222"/>
      <c r="V396" s="222"/>
      <c r="W396" s="227"/>
      <c r="X396" s="227"/>
      <c r="Y396" s="227"/>
      <c r="Z396" s="227"/>
      <c r="AA396" s="227"/>
      <c r="AB396" s="227"/>
      <c r="AC396" s="227"/>
      <c r="AD396" s="227"/>
      <c r="AE396" s="227"/>
      <c r="AF396" s="227"/>
      <c r="AG396" s="227"/>
      <c r="AH396" s="227"/>
      <c r="AI396" s="227"/>
      <c r="AJ396" s="227"/>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row>
    <row r="397" spans="1:66" customFormat="1" ht="50.25" hidden="1" customHeight="1">
      <c r="A397" s="224" t="s">
        <v>250</v>
      </c>
      <c r="B397" s="266" t="s">
        <v>949</v>
      </c>
      <c r="C397" s="215" t="s">
        <v>950</v>
      </c>
      <c r="D397" s="216" t="s">
        <v>298</v>
      </c>
      <c r="E397" s="230">
        <v>45996</v>
      </c>
      <c r="F397" s="230">
        <v>46000</v>
      </c>
      <c r="G397" s="224">
        <v>8</v>
      </c>
      <c r="H397" s="219">
        <v>10</v>
      </c>
      <c r="I397" s="237">
        <f>SUM(N397:AB397)</f>
        <v>0</v>
      </c>
      <c r="J397" s="221">
        <f t="shared" si="19"/>
        <v>0.25</v>
      </c>
      <c r="K397" s="224">
        <v>1</v>
      </c>
      <c r="L397" s="221" t="str">
        <f t="shared" si="20"/>
        <v>Normal</v>
      </c>
      <c r="M397" s="161"/>
      <c r="N397" s="216"/>
      <c r="O397" s="216"/>
      <c r="P397" s="216"/>
      <c r="Q397" s="216"/>
      <c r="R397" s="216"/>
      <c r="S397" s="216"/>
      <c r="T397" s="227"/>
      <c r="U397" s="222"/>
      <c r="V397" s="222"/>
      <c r="W397" s="227"/>
      <c r="X397" s="227"/>
      <c r="Y397" s="227"/>
      <c r="Z397" s="227"/>
      <c r="AA397" s="227"/>
      <c r="AB397" s="227"/>
      <c r="AC397" s="227"/>
      <c r="AD397" s="227"/>
      <c r="AE397" s="227"/>
      <c r="AF397" s="227"/>
      <c r="AG397" s="227"/>
      <c r="AH397" s="227"/>
      <c r="AI397" s="227"/>
      <c r="AJ397" s="227"/>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row>
    <row r="398" spans="1:66" customFormat="1" ht="50.25" hidden="1" customHeight="1">
      <c r="A398" s="224" t="s">
        <v>250</v>
      </c>
      <c r="B398" s="266" t="s">
        <v>951</v>
      </c>
      <c r="C398" s="215" t="s">
        <v>952</v>
      </c>
      <c r="D398" s="216" t="s">
        <v>298</v>
      </c>
      <c r="E398" s="230">
        <v>45994</v>
      </c>
      <c r="F398" s="230">
        <v>45995</v>
      </c>
      <c r="G398" s="224">
        <v>16</v>
      </c>
      <c r="H398" s="219">
        <v>20</v>
      </c>
      <c r="I398" s="237">
        <f>SUM(N398:AB398)</f>
        <v>0</v>
      </c>
      <c r="J398" s="221">
        <f t="shared" si="19"/>
        <v>0.25</v>
      </c>
      <c r="K398" s="224">
        <v>1</v>
      </c>
      <c r="L398" s="221" t="str">
        <f t="shared" si="20"/>
        <v>Normal</v>
      </c>
      <c r="M398" s="161"/>
      <c r="N398" s="216"/>
      <c r="O398" s="216"/>
      <c r="P398" s="216"/>
      <c r="Q398" s="216"/>
      <c r="R398" s="216"/>
      <c r="S398" s="216"/>
      <c r="T398" s="227"/>
      <c r="U398" s="222"/>
      <c r="V398" s="222"/>
      <c r="W398" s="227"/>
      <c r="X398" s="227"/>
      <c r="Y398" s="227"/>
      <c r="Z398" s="227"/>
      <c r="AA398" s="227"/>
      <c r="AB398" s="227"/>
      <c r="AC398" s="227"/>
      <c r="AD398" s="227"/>
      <c r="AE398" s="227"/>
      <c r="AF398" s="227"/>
      <c r="AG398" s="227"/>
      <c r="AH398" s="227"/>
      <c r="AI398" s="227"/>
      <c r="AJ398" s="227"/>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row>
    <row r="399" spans="1:66" customFormat="1" ht="50.25" hidden="1" customHeight="1">
      <c r="A399" s="224" t="s">
        <v>250</v>
      </c>
      <c r="B399" s="228" t="s">
        <v>661</v>
      </c>
      <c r="C399" s="233" t="s">
        <v>662</v>
      </c>
      <c r="D399" s="216" t="s">
        <v>298</v>
      </c>
      <c r="E399" s="230">
        <v>46022</v>
      </c>
      <c r="F399" s="230">
        <v>46022</v>
      </c>
      <c r="G399" s="224">
        <v>10.5</v>
      </c>
      <c r="H399" s="219">
        <v>0</v>
      </c>
      <c r="I399" s="237">
        <f>SUM(N399:AB399)</f>
        <v>0</v>
      </c>
      <c r="J399" s="221">
        <f t="shared" si="19"/>
        <v>-1</v>
      </c>
      <c r="K399" s="224">
        <v>0</v>
      </c>
      <c r="L399" s="221" t="str">
        <f t="shared" si="20"/>
        <v>Normal</v>
      </c>
      <c r="M399" s="161"/>
      <c r="N399" s="216"/>
      <c r="O399" s="216"/>
      <c r="P399" s="216"/>
      <c r="Q399" s="216"/>
      <c r="R399" s="216"/>
      <c r="S399" s="216"/>
      <c r="T399" s="227"/>
      <c r="U399" s="222"/>
      <c r="V399" s="222"/>
      <c r="W399" s="227"/>
      <c r="X399" s="227"/>
      <c r="Y399" s="227"/>
      <c r="Z399" s="227"/>
      <c r="AA399" s="227"/>
      <c r="AB399" s="227"/>
      <c r="AC399" s="227"/>
      <c r="AD399" s="227"/>
      <c r="AE399" s="227"/>
      <c r="AF399" s="227"/>
      <c r="AG399" s="227"/>
      <c r="AH399" s="227"/>
      <c r="AI399" s="227"/>
      <c r="AJ399" s="227"/>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row>
    <row r="400" spans="1:66" customFormat="1" ht="50.25" hidden="1" customHeight="1">
      <c r="A400" s="224" t="s">
        <v>250</v>
      </c>
      <c r="B400" s="266" t="s">
        <v>953</v>
      </c>
      <c r="C400" s="215" t="s">
        <v>954</v>
      </c>
      <c r="D400" s="216" t="s">
        <v>298</v>
      </c>
      <c r="E400" s="230">
        <v>45996</v>
      </c>
      <c r="F400" s="230">
        <v>45996</v>
      </c>
      <c r="G400" s="224">
        <v>3</v>
      </c>
      <c r="H400" s="219">
        <v>3</v>
      </c>
      <c r="I400" s="237">
        <f>SUM(N400:AB400)</f>
        <v>0</v>
      </c>
      <c r="J400" s="221">
        <f t="shared" si="19"/>
        <v>0</v>
      </c>
      <c r="K400" s="224">
        <v>1</v>
      </c>
      <c r="L400" s="221" t="str">
        <f t="shared" si="20"/>
        <v>Normal</v>
      </c>
      <c r="M400" s="161"/>
      <c r="N400" s="216"/>
      <c r="O400" s="216"/>
      <c r="P400" s="216"/>
      <c r="Q400" s="216"/>
      <c r="R400" s="216"/>
      <c r="S400" s="216"/>
      <c r="T400" s="227"/>
      <c r="U400" s="222"/>
      <c r="V400" s="222"/>
      <c r="W400" s="227"/>
      <c r="X400" s="227"/>
      <c r="Y400" s="227"/>
      <c r="Z400" s="227"/>
      <c r="AA400" s="227"/>
      <c r="AB400" s="227"/>
      <c r="AC400" s="227"/>
      <c r="AD400" s="227"/>
      <c r="AE400" s="227"/>
      <c r="AF400" s="227"/>
      <c r="AG400" s="227"/>
      <c r="AH400" s="227"/>
      <c r="AI400" s="227"/>
      <c r="AJ400" s="227"/>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row>
    <row r="401" spans="1:66" customFormat="1" ht="50.25" hidden="1" customHeight="1">
      <c r="A401" s="224" t="s">
        <v>250</v>
      </c>
      <c r="B401" s="266" t="s">
        <v>955</v>
      </c>
      <c r="C401" s="215" t="s">
        <v>956</v>
      </c>
      <c r="D401" s="216" t="s">
        <v>298</v>
      </c>
      <c r="E401" s="230">
        <v>46007</v>
      </c>
      <c r="F401" s="230">
        <v>46009</v>
      </c>
      <c r="G401" s="224">
        <v>24</v>
      </c>
      <c r="H401" s="219">
        <v>31</v>
      </c>
      <c r="I401" s="237">
        <f>SUM(N401:AB401)</f>
        <v>0</v>
      </c>
      <c r="J401" s="221">
        <f t="shared" si="19"/>
        <v>0.29166666666666669</v>
      </c>
      <c r="K401" s="224">
        <v>1</v>
      </c>
      <c r="L401" s="221" t="str">
        <f t="shared" si="20"/>
        <v>Normal</v>
      </c>
      <c r="M401" s="161"/>
      <c r="N401" s="216"/>
      <c r="O401" s="216"/>
      <c r="P401" s="216"/>
      <c r="Q401" s="216"/>
      <c r="R401" s="216"/>
      <c r="S401" s="216"/>
      <c r="T401" s="227"/>
      <c r="U401" s="222"/>
      <c r="V401" s="222"/>
      <c r="W401" s="227"/>
      <c r="X401" s="227"/>
      <c r="Y401" s="227"/>
      <c r="Z401" s="227"/>
      <c r="AA401" s="227"/>
      <c r="AB401" s="227"/>
      <c r="AC401" s="227"/>
      <c r="AD401" s="227"/>
      <c r="AE401" s="227"/>
      <c r="AF401" s="227"/>
      <c r="AG401" s="227"/>
      <c r="AH401" s="227"/>
      <c r="AI401" s="227"/>
      <c r="AJ401" s="227"/>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row>
    <row r="402" spans="1:66" customFormat="1" ht="50.25" hidden="1" customHeight="1">
      <c r="A402" s="224" t="s">
        <v>250</v>
      </c>
      <c r="B402" s="266" t="s">
        <v>957</v>
      </c>
      <c r="C402" s="215" t="s">
        <v>958</v>
      </c>
      <c r="D402" s="216" t="s">
        <v>298</v>
      </c>
      <c r="E402" s="230">
        <v>46098</v>
      </c>
      <c r="F402" s="230">
        <v>46098</v>
      </c>
      <c r="G402" s="224">
        <v>40</v>
      </c>
      <c r="H402" s="219">
        <v>33</v>
      </c>
      <c r="I402" s="237">
        <f>SUM(N402:AB402)</f>
        <v>0</v>
      </c>
      <c r="J402" s="221">
        <f t="shared" si="19"/>
        <v>-0.17499999999999999</v>
      </c>
      <c r="K402" s="224">
        <v>0</v>
      </c>
      <c r="L402" s="221" t="str">
        <f t="shared" si="20"/>
        <v>Normal</v>
      </c>
      <c r="M402" s="161"/>
      <c r="N402" s="216"/>
      <c r="O402" s="216"/>
      <c r="P402" s="216"/>
      <c r="Q402" s="216"/>
      <c r="R402" s="216"/>
      <c r="S402" s="216"/>
      <c r="T402" s="227"/>
      <c r="U402" s="222"/>
      <c r="V402" s="222"/>
      <c r="W402" s="227"/>
      <c r="X402" s="227"/>
      <c r="Y402" s="227"/>
      <c r="Z402" s="227"/>
      <c r="AA402" s="227"/>
      <c r="AB402" s="227"/>
      <c r="AC402" s="227"/>
      <c r="AD402" s="227"/>
      <c r="AE402" s="227"/>
      <c r="AF402" s="227"/>
      <c r="AG402" s="227"/>
      <c r="AH402" s="227"/>
      <c r="AI402" s="227"/>
      <c r="AJ402" s="227"/>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row>
    <row r="403" spans="1:66" customFormat="1" ht="50.25" hidden="1" customHeight="1">
      <c r="A403" s="224" t="s">
        <v>250</v>
      </c>
      <c r="B403" s="266" t="s">
        <v>959</v>
      </c>
      <c r="C403" s="215" t="s">
        <v>960</v>
      </c>
      <c r="D403" s="216" t="s">
        <v>298</v>
      </c>
      <c r="E403" s="230">
        <v>46010</v>
      </c>
      <c r="F403" s="230">
        <v>46009</v>
      </c>
      <c r="G403" s="224">
        <v>8</v>
      </c>
      <c r="H403" s="219">
        <v>8</v>
      </c>
      <c r="I403" s="237">
        <f>SUM(N403:AB403)</f>
        <v>0</v>
      </c>
      <c r="J403" s="221">
        <f t="shared" si="19"/>
        <v>0</v>
      </c>
      <c r="K403" s="224">
        <v>1</v>
      </c>
      <c r="L403" s="221" t="str">
        <f t="shared" si="20"/>
        <v>Normal</v>
      </c>
      <c r="M403" s="161"/>
      <c r="N403" s="216"/>
      <c r="O403" s="216"/>
      <c r="P403" s="216"/>
      <c r="Q403" s="216"/>
      <c r="R403" s="216"/>
      <c r="S403" s="216"/>
      <c r="T403" s="227"/>
      <c r="U403" s="222"/>
      <c r="V403" s="222"/>
      <c r="W403" s="227"/>
      <c r="X403" s="227"/>
      <c r="Y403" s="227"/>
      <c r="Z403" s="227"/>
      <c r="AA403" s="227"/>
      <c r="AB403" s="227"/>
      <c r="AC403" s="227"/>
      <c r="AD403" s="227"/>
      <c r="AE403" s="227"/>
      <c r="AF403" s="227"/>
      <c r="AG403" s="227"/>
      <c r="AH403" s="227"/>
      <c r="AI403" s="227"/>
      <c r="AJ403" s="227"/>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row>
    <row r="404" spans="1:66" customFormat="1" ht="50.25" hidden="1" customHeight="1">
      <c r="A404" s="224" t="s">
        <v>250</v>
      </c>
      <c r="B404" s="266" t="s">
        <v>961</v>
      </c>
      <c r="C404" s="215" t="s">
        <v>962</v>
      </c>
      <c r="D404" s="216" t="s">
        <v>298</v>
      </c>
      <c r="E404" s="230">
        <v>46017</v>
      </c>
      <c r="F404" s="230">
        <v>46017</v>
      </c>
      <c r="G404" s="224">
        <f>8*4</f>
        <v>32</v>
      </c>
      <c r="H404" s="219">
        <v>32</v>
      </c>
      <c r="I404" s="237">
        <f>SUM(N404:AB404)</f>
        <v>0</v>
      </c>
      <c r="J404" s="221">
        <f t="shared" si="19"/>
        <v>0</v>
      </c>
      <c r="K404" s="224">
        <v>1</v>
      </c>
      <c r="L404" s="221" t="str">
        <f t="shared" si="20"/>
        <v>Normal</v>
      </c>
      <c r="M404" s="161"/>
      <c r="N404" s="216"/>
      <c r="O404" s="216"/>
      <c r="P404" s="216"/>
      <c r="Q404" s="216"/>
      <c r="R404" s="216"/>
      <c r="S404" s="216"/>
      <c r="T404" s="227"/>
      <c r="U404" s="222"/>
      <c r="V404" s="222"/>
      <c r="W404" s="227"/>
      <c r="X404" s="227"/>
      <c r="Y404" s="227"/>
      <c r="Z404" s="227"/>
      <c r="AA404" s="227"/>
      <c r="AB404" s="227"/>
      <c r="AC404" s="227"/>
      <c r="AD404" s="227"/>
      <c r="AE404" s="227"/>
      <c r="AF404" s="227"/>
      <c r="AG404" s="227"/>
      <c r="AH404" s="227"/>
      <c r="AI404" s="227"/>
      <c r="AJ404" s="227"/>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row>
    <row r="405" spans="1:66" customFormat="1" ht="50.25" hidden="1" customHeight="1">
      <c r="A405" s="224" t="s">
        <v>250</v>
      </c>
      <c r="B405" s="266" t="s">
        <v>963</v>
      </c>
      <c r="C405" s="215" t="s">
        <v>964</v>
      </c>
      <c r="D405" s="216" t="s">
        <v>298</v>
      </c>
      <c r="E405" s="230">
        <v>46041</v>
      </c>
      <c r="F405" s="230">
        <v>46041</v>
      </c>
      <c r="G405" s="224">
        <f>(8*4)+4</f>
        <v>36</v>
      </c>
      <c r="H405" s="219">
        <v>32</v>
      </c>
      <c r="I405" s="237">
        <f>SUM(N405:AB405)</f>
        <v>0</v>
      </c>
      <c r="J405" s="221">
        <f t="shared" si="19"/>
        <v>-0.1111111111111111</v>
      </c>
      <c r="K405" s="224">
        <v>0</v>
      </c>
      <c r="L405" s="221" t="str">
        <f t="shared" si="20"/>
        <v>Normal</v>
      </c>
      <c r="M405" s="161"/>
      <c r="N405" s="216"/>
      <c r="O405" s="216"/>
      <c r="P405" s="216"/>
      <c r="Q405" s="216"/>
      <c r="R405" s="216"/>
      <c r="S405" s="216"/>
      <c r="T405" s="227"/>
      <c r="U405" s="222"/>
      <c r="V405" s="222"/>
      <c r="W405" s="227"/>
      <c r="X405" s="227"/>
      <c r="Y405" s="227"/>
      <c r="Z405" s="227"/>
      <c r="AA405" s="227"/>
      <c r="AB405" s="227"/>
      <c r="AC405" s="227"/>
      <c r="AD405" s="227"/>
      <c r="AE405" s="227"/>
      <c r="AF405" s="227"/>
      <c r="AG405" s="227"/>
      <c r="AH405" s="227"/>
      <c r="AI405" s="227"/>
      <c r="AJ405" s="227"/>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row>
    <row r="406" spans="1:66" customFormat="1" ht="50.25" hidden="1" customHeight="1">
      <c r="A406" s="224" t="s">
        <v>250</v>
      </c>
      <c r="B406" s="266" t="s">
        <v>965</v>
      </c>
      <c r="C406" s="215" t="s">
        <v>966</v>
      </c>
      <c r="D406" s="216" t="s">
        <v>298</v>
      </c>
      <c r="E406" s="230">
        <v>46013</v>
      </c>
      <c r="F406" s="230">
        <v>46013</v>
      </c>
      <c r="G406" s="224">
        <v>8</v>
      </c>
      <c r="H406" s="219">
        <v>8</v>
      </c>
      <c r="I406" s="237">
        <f>SUM(N406:AB406)</f>
        <v>0</v>
      </c>
      <c r="J406" s="221">
        <f t="shared" si="19"/>
        <v>0</v>
      </c>
      <c r="K406" s="224">
        <v>1</v>
      </c>
      <c r="L406" s="221" t="str">
        <f t="shared" si="20"/>
        <v>Normal</v>
      </c>
      <c r="M406" s="161"/>
      <c r="N406" s="216"/>
      <c r="O406" s="216"/>
      <c r="P406" s="216"/>
      <c r="Q406" s="216"/>
      <c r="R406" s="216"/>
      <c r="S406" s="216"/>
      <c r="T406" s="226"/>
      <c r="U406" s="161"/>
      <c r="V406" s="161"/>
      <c r="W406" s="226"/>
      <c r="X406" s="226"/>
      <c r="Y406" s="226"/>
      <c r="Z406" s="226"/>
      <c r="AA406" s="226"/>
      <c r="AB406" s="226"/>
      <c r="AC406" s="226"/>
      <c r="AD406" s="226"/>
      <c r="AE406" s="226"/>
      <c r="AF406" s="226"/>
      <c r="AG406" s="226"/>
      <c r="AH406" s="226"/>
      <c r="AI406" s="226"/>
      <c r="AJ406" s="226"/>
    </row>
    <row r="407" spans="1:66" customFormat="1" ht="50.25" hidden="1" customHeight="1">
      <c r="A407" s="224" t="s">
        <v>250</v>
      </c>
      <c r="B407" s="228" t="s">
        <v>967</v>
      </c>
      <c r="C407" s="233" t="s">
        <v>968</v>
      </c>
      <c r="D407" s="216" t="s">
        <v>298</v>
      </c>
      <c r="E407" s="230">
        <v>45917</v>
      </c>
      <c r="F407" s="230">
        <v>45916</v>
      </c>
      <c r="G407" s="224">
        <v>80</v>
      </c>
      <c r="H407" s="219">
        <v>74</v>
      </c>
      <c r="I407" s="237">
        <f>SUM(N407:AB407)</f>
        <v>0</v>
      </c>
      <c r="J407" s="221">
        <f t="shared" si="19"/>
        <v>-7.4999999999999997E-2</v>
      </c>
      <c r="K407" s="216">
        <v>1</v>
      </c>
      <c r="L407" s="221" t="str">
        <f t="shared" si="20"/>
        <v>Normal</v>
      </c>
      <c r="M407" s="161"/>
      <c r="N407" s="224"/>
      <c r="O407" s="224"/>
      <c r="P407" s="224"/>
      <c r="Q407" s="224"/>
      <c r="R407" s="161"/>
      <c r="S407" s="161"/>
      <c r="T407" s="161"/>
      <c r="U407" s="161"/>
      <c r="V407" s="161"/>
      <c r="W407" s="226"/>
      <c r="X407" s="226"/>
      <c r="Y407" s="226"/>
      <c r="Z407" s="226"/>
      <c r="AA407" s="226"/>
      <c r="AB407" s="226"/>
      <c r="AC407" s="226"/>
      <c r="AD407" s="226"/>
      <c r="AE407" s="226"/>
      <c r="AF407" s="226"/>
      <c r="AG407" s="226"/>
      <c r="AH407" s="226"/>
      <c r="AI407" s="226"/>
      <c r="AJ407" s="226"/>
    </row>
    <row r="408" spans="1:66" customFormat="1" ht="50.25" hidden="1" customHeight="1">
      <c r="A408" s="224" t="s">
        <v>250</v>
      </c>
      <c r="B408" s="228" t="s">
        <v>969</v>
      </c>
      <c r="C408" s="215" t="s">
        <v>970</v>
      </c>
      <c r="D408" s="216" t="s">
        <v>298</v>
      </c>
      <c r="E408" s="230">
        <v>45989</v>
      </c>
      <c r="F408" s="230">
        <v>45989</v>
      </c>
      <c r="G408" s="224">
        <v>120</v>
      </c>
      <c r="H408" s="219">
        <v>138</v>
      </c>
      <c r="I408" s="237">
        <f>SUM(N408:AB408)</f>
        <v>0</v>
      </c>
      <c r="J408" s="221">
        <f t="shared" si="19"/>
        <v>0.15</v>
      </c>
      <c r="K408" s="216">
        <v>1</v>
      </c>
      <c r="L408" s="221" t="str">
        <f t="shared" si="20"/>
        <v>Normal</v>
      </c>
      <c r="M408" s="161"/>
      <c r="N408" s="224"/>
      <c r="O408" s="224"/>
      <c r="P408" s="224"/>
      <c r="Q408" s="224"/>
      <c r="R408" s="224"/>
      <c r="S408" s="224"/>
      <c r="T408" s="161"/>
      <c r="U408" s="161"/>
      <c r="V408" s="161"/>
      <c r="W408" s="226"/>
      <c r="X408" s="226"/>
      <c r="Y408" s="226"/>
      <c r="Z408" s="226"/>
      <c r="AA408" s="226"/>
      <c r="AB408" s="226"/>
      <c r="AC408" s="226"/>
      <c r="AD408" s="226"/>
      <c r="AE408" s="226"/>
      <c r="AF408" s="226"/>
      <c r="AG408" s="226"/>
      <c r="AH408" s="226"/>
      <c r="AI408" s="226"/>
      <c r="AJ408" s="226"/>
    </row>
    <row r="409" spans="1:66" s="207" customFormat="1" ht="50.25" customHeight="1">
      <c r="A409" s="241" t="s">
        <v>250</v>
      </c>
      <c r="B409" s="244" t="s">
        <v>971</v>
      </c>
      <c r="C409" s="267" t="s">
        <v>972</v>
      </c>
      <c r="D409" s="241" t="s">
        <v>97</v>
      </c>
      <c r="E409" s="243">
        <v>46245</v>
      </c>
      <c r="F409" s="243">
        <v>46257</v>
      </c>
      <c r="G409" s="244">
        <v>40</v>
      </c>
      <c r="H409" s="244">
        <v>23</v>
      </c>
      <c r="I409" s="245">
        <f>SUM(N409:AJ409)</f>
        <v>4</v>
      </c>
      <c r="J409" s="221">
        <f t="shared" si="19"/>
        <v>-0.32500000000000001</v>
      </c>
      <c r="K409" s="241">
        <v>0</v>
      </c>
      <c r="L409" s="221" t="str">
        <f t="shared" si="20"/>
        <v>Normal</v>
      </c>
      <c r="M409" s="233"/>
      <c r="N409" s="241"/>
      <c r="O409" s="241"/>
      <c r="P409" s="241"/>
      <c r="Q409" s="241">
        <v>4</v>
      </c>
      <c r="R409" s="241"/>
      <c r="S409" s="241"/>
      <c r="T409" s="241"/>
      <c r="U409" s="241"/>
      <c r="V409" s="241"/>
      <c r="W409" s="241"/>
      <c r="X409" s="241"/>
      <c r="Y409" s="241"/>
      <c r="Z409" s="241"/>
      <c r="AA409" s="241"/>
      <c r="AB409" s="241"/>
      <c r="AC409" s="241"/>
      <c r="AD409" s="241"/>
      <c r="AE409" s="241"/>
      <c r="AF409" s="241"/>
      <c r="AG409" s="241"/>
      <c r="AH409" s="241"/>
      <c r="AI409" s="241"/>
      <c r="AJ409" s="241"/>
      <c r="AK409" s="205"/>
      <c r="AL409" s="205"/>
      <c r="AM409" s="205"/>
      <c r="AN409" s="205"/>
      <c r="AO409" s="205"/>
      <c r="AP409" s="205"/>
      <c r="AQ409" s="205"/>
      <c r="AR409" s="205"/>
    </row>
    <row r="410" spans="1:66" customFormat="1" ht="50.25" hidden="1" customHeight="1">
      <c r="A410" s="224" t="s">
        <v>250</v>
      </c>
      <c r="B410" s="228" t="s">
        <v>973</v>
      </c>
      <c r="C410" s="233" t="s">
        <v>974</v>
      </c>
      <c r="D410" s="216" t="s">
        <v>189</v>
      </c>
      <c r="E410" s="230">
        <v>45940</v>
      </c>
      <c r="F410" s="230"/>
      <c r="G410" s="224">
        <v>38</v>
      </c>
      <c r="H410" s="219">
        <v>49</v>
      </c>
      <c r="I410" s="237">
        <f>SUM(N410:AB410)</f>
        <v>0</v>
      </c>
      <c r="J410" s="221">
        <f t="shared" si="19"/>
        <v>0.28947368421052633</v>
      </c>
      <c r="K410" s="216">
        <v>1</v>
      </c>
      <c r="L410" s="221" t="str">
        <f t="shared" si="20"/>
        <v>Normal</v>
      </c>
      <c r="M410" s="161"/>
      <c r="N410" s="224"/>
      <c r="O410" s="224"/>
      <c r="P410" s="224"/>
      <c r="Q410" s="224"/>
      <c r="R410" s="161"/>
      <c r="S410" s="161"/>
      <c r="T410" s="226"/>
      <c r="U410" s="161"/>
      <c r="V410" s="161"/>
      <c r="W410" s="226"/>
      <c r="X410" s="226"/>
      <c r="Y410" s="226"/>
      <c r="Z410" s="226"/>
      <c r="AA410" s="226"/>
      <c r="AB410" s="226"/>
      <c r="AC410" s="226"/>
      <c r="AD410" s="226"/>
      <c r="AE410" s="226"/>
      <c r="AF410" s="226"/>
      <c r="AG410" s="226"/>
      <c r="AH410" s="226"/>
      <c r="AI410" s="226"/>
      <c r="AJ410" s="226"/>
    </row>
    <row r="411" spans="1:66" customFormat="1" ht="50.25" hidden="1" customHeight="1">
      <c r="A411" s="224" t="s">
        <v>250</v>
      </c>
      <c r="B411" s="228" t="s">
        <v>975</v>
      </c>
      <c r="C411" s="233" t="s">
        <v>976</v>
      </c>
      <c r="D411" s="216" t="s">
        <v>307</v>
      </c>
      <c r="E411" s="230">
        <v>45839</v>
      </c>
      <c r="F411" s="230">
        <v>45869</v>
      </c>
      <c r="G411" s="224">
        <v>12</v>
      </c>
      <c r="H411" s="219">
        <v>0</v>
      </c>
      <c r="I411" s="237">
        <f>SUM(N411:AB411)</f>
        <v>0</v>
      </c>
      <c r="J411" s="221">
        <f t="shared" si="19"/>
        <v>-1</v>
      </c>
      <c r="K411" s="216">
        <v>0</v>
      </c>
      <c r="L411" s="221" t="str">
        <f t="shared" si="20"/>
        <v>Normal</v>
      </c>
      <c r="M411" s="161"/>
      <c r="N411" s="224"/>
      <c r="O411" s="224"/>
      <c r="P411" s="224"/>
      <c r="Q411" s="224"/>
      <c r="R411" s="161"/>
      <c r="S411" s="161"/>
      <c r="T411" s="161"/>
      <c r="U411" s="161"/>
      <c r="V411" s="161"/>
      <c r="W411" s="226"/>
      <c r="X411" s="226"/>
      <c r="Y411" s="226"/>
      <c r="Z411" s="226"/>
      <c r="AA411" s="226"/>
      <c r="AB411" s="226"/>
      <c r="AC411" s="226"/>
      <c r="AD411" s="226"/>
      <c r="AE411" s="226"/>
      <c r="AF411" s="226"/>
      <c r="AG411" s="226"/>
      <c r="AH411" s="226"/>
      <c r="AI411" s="226"/>
      <c r="AJ411" s="226"/>
    </row>
    <row r="412" spans="1:66" customFormat="1" ht="50.25" hidden="1" customHeight="1">
      <c r="A412" s="224" t="s">
        <v>250</v>
      </c>
      <c r="B412" s="228" t="s">
        <v>977</v>
      </c>
      <c r="C412" s="233" t="s">
        <v>978</v>
      </c>
      <c r="D412" s="216" t="s">
        <v>298</v>
      </c>
      <c r="E412" s="230">
        <v>45868</v>
      </c>
      <c r="F412" s="230">
        <v>45873</v>
      </c>
      <c r="G412" s="224">
        <v>16</v>
      </c>
      <c r="H412" s="219">
        <v>5</v>
      </c>
      <c r="I412" s="237">
        <f>SUM(N412:AB412)</f>
        <v>0</v>
      </c>
      <c r="J412" s="221">
        <f t="shared" si="19"/>
        <v>-0.6875</v>
      </c>
      <c r="K412" s="216">
        <v>1</v>
      </c>
      <c r="L412" s="221" t="str">
        <f t="shared" si="20"/>
        <v>Normal</v>
      </c>
      <c r="M412" s="161"/>
      <c r="N412" s="224"/>
      <c r="O412" s="224"/>
      <c r="P412" s="224"/>
      <c r="Q412" s="224"/>
      <c r="R412" s="161"/>
      <c r="S412" s="161"/>
      <c r="T412" s="161"/>
      <c r="U412" s="161"/>
      <c r="V412" s="161"/>
      <c r="W412" s="226"/>
      <c r="X412" s="226"/>
      <c r="Y412" s="226"/>
      <c r="Z412" s="226"/>
      <c r="AA412" s="226"/>
      <c r="AB412" s="226"/>
      <c r="AC412" s="226"/>
      <c r="AD412" s="226"/>
      <c r="AE412" s="226"/>
      <c r="AF412" s="226"/>
      <c r="AG412" s="226"/>
      <c r="AH412" s="226"/>
      <c r="AI412" s="226"/>
      <c r="AJ412" s="226"/>
    </row>
    <row r="413" spans="1:66" customFormat="1" ht="50.25" hidden="1" customHeight="1">
      <c r="A413" s="224" t="s">
        <v>250</v>
      </c>
      <c r="B413" s="228" t="s">
        <v>979</v>
      </c>
      <c r="C413" s="233" t="s">
        <v>980</v>
      </c>
      <c r="D413" s="216" t="s">
        <v>298</v>
      </c>
      <c r="E413" s="230">
        <v>45866</v>
      </c>
      <c r="F413" s="230">
        <v>45870</v>
      </c>
      <c r="G413" s="224">
        <v>24</v>
      </c>
      <c r="H413" s="219">
        <v>3</v>
      </c>
      <c r="I413" s="237">
        <f>SUM(N413:AB413)</f>
        <v>0</v>
      </c>
      <c r="J413" s="221">
        <f t="shared" si="19"/>
        <v>-0.875</v>
      </c>
      <c r="K413" s="216">
        <v>1</v>
      </c>
      <c r="L413" s="221" t="str">
        <f t="shared" si="20"/>
        <v>Normal</v>
      </c>
      <c r="M413" s="161"/>
      <c r="N413" s="224"/>
      <c r="O413" s="224"/>
      <c r="P413" s="224"/>
      <c r="Q413" s="224"/>
      <c r="R413" s="161"/>
      <c r="S413" s="161"/>
      <c r="T413" s="226"/>
      <c r="U413" s="161"/>
      <c r="V413" s="161"/>
      <c r="W413" s="226"/>
      <c r="X413" s="226"/>
      <c r="Y413" s="226"/>
      <c r="Z413" s="226"/>
      <c r="AA413" s="226"/>
      <c r="AB413" s="226"/>
      <c r="AC413" s="226"/>
      <c r="AD413" s="226"/>
      <c r="AE413" s="226"/>
      <c r="AF413" s="226"/>
      <c r="AG413" s="226"/>
      <c r="AH413" s="226"/>
      <c r="AI413" s="226"/>
      <c r="AJ413" s="226"/>
    </row>
    <row r="414" spans="1:66" customFormat="1" ht="50.25" hidden="1" customHeight="1">
      <c r="A414" s="224" t="s">
        <v>250</v>
      </c>
      <c r="B414" s="228" t="s">
        <v>681</v>
      </c>
      <c r="C414" s="233" t="s">
        <v>682</v>
      </c>
      <c r="D414" s="216" t="s">
        <v>298</v>
      </c>
      <c r="E414" s="230">
        <v>45870</v>
      </c>
      <c r="F414" s="230">
        <v>45900</v>
      </c>
      <c r="G414" s="224">
        <v>10</v>
      </c>
      <c r="H414" s="219">
        <v>9</v>
      </c>
      <c r="I414" s="237">
        <f>SUM(N414:AB414)</f>
        <v>0</v>
      </c>
      <c r="J414" s="221">
        <f t="shared" si="19"/>
        <v>-0.1</v>
      </c>
      <c r="K414" s="216">
        <v>0</v>
      </c>
      <c r="L414" s="221" t="str">
        <f t="shared" si="20"/>
        <v>Normal</v>
      </c>
      <c r="M414" s="161"/>
      <c r="N414" s="224"/>
      <c r="O414" s="224"/>
      <c r="P414" s="224"/>
      <c r="Q414" s="224"/>
      <c r="R414" s="161"/>
      <c r="S414" s="161"/>
      <c r="T414" s="161"/>
      <c r="U414" s="161"/>
      <c r="V414" s="161"/>
      <c r="W414" s="226"/>
      <c r="X414" s="226"/>
      <c r="Y414" s="226"/>
      <c r="Z414" s="226"/>
      <c r="AA414" s="226"/>
      <c r="AB414" s="226"/>
      <c r="AC414" s="226"/>
      <c r="AD414" s="226"/>
      <c r="AE414" s="226"/>
      <c r="AF414" s="226"/>
      <c r="AG414" s="226"/>
      <c r="AH414" s="226"/>
      <c r="AI414" s="226"/>
      <c r="AJ414" s="226"/>
    </row>
    <row r="415" spans="1:66" customFormat="1" ht="50.25" hidden="1" customHeight="1">
      <c r="A415" s="224" t="s">
        <v>250</v>
      </c>
      <c r="B415" s="228" t="s">
        <v>981</v>
      </c>
      <c r="C415" s="233" t="s">
        <v>982</v>
      </c>
      <c r="D415" s="216" t="s">
        <v>298</v>
      </c>
      <c r="E415" s="230">
        <v>45873</v>
      </c>
      <c r="F415" s="230">
        <v>45881</v>
      </c>
      <c r="G415" s="224">
        <v>40</v>
      </c>
      <c r="H415" s="219">
        <v>33</v>
      </c>
      <c r="I415" s="237">
        <f>SUM(N415:AB415)</f>
        <v>0</v>
      </c>
      <c r="J415" s="221">
        <f t="shared" si="19"/>
        <v>-0.17499999999999999</v>
      </c>
      <c r="K415" s="216">
        <v>1</v>
      </c>
      <c r="L415" s="221" t="str">
        <f t="shared" si="20"/>
        <v>Normal</v>
      </c>
      <c r="M415" s="161"/>
      <c r="N415" s="224"/>
      <c r="O415" s="224"/>
      <c r="P415" s="224"/>
      <c r="Q415" s="224"/>
      <c r="R415" s="161"/>
      <c r="S415" s="161"/>
      <c r="T415" s="161"/>
      <c r="U415" s="161"/>
      <c r="V415" s="161"/>
      <c r="W415" s="226"/>
      <c r="X415" s="226"/>
      <c r="Y415" s="226"/>
      <c r="Z415" s="226"/>
      <c r="AA415" s="226"/>
      <c r="AB415" s="226"/>
      <c r="AC415" s="226"/>
      <c r="AD415" s="226"/>
      <c r="AE415" s="226"/>
      <c r="AF415" s="226"/>
      <c r="AG415" s="226"/>
      <c r="AH415" s="226"/>
      <c r="AI415" s="226"/>
      <c r="AJ415" s="226"/>
    </row>
    <row r="416" spans="1:66" s="39" customFormat="1" ht="50.25" hidden="1" customHeight="1">
      <c r="A416" s="224" t="s">
        <v>250</v>
      </c>
      <c r="B416" s="228" t="s">
        <v>983</v>
      </c>
      <c r="C416" s="233" t="s">
        <v>984</v>
      </c>
      <c r="D416" s="216" t="s">
        <v>298</v>
      </c>
      <c r="E416" s="230">
        <v>45875</v>
      </c>
      <c r="F416" s="230">
        <v>45880</v>
      </c>
      <c r="G416" s="224">
        <v>5</v>
      </c>
      <c r="H416" s="219">
        <v>0</v>
      </c>
      <c r="I416" s="237">
        <f>SUM(N416:AB416)</f>
        <v>0</v>
      </c>
      <c r="J416" s="221">
        <f t="shared" si="19"/>
        <v>-1</v>
      </c>
      <c r="K416" s="216">
        <v>1</v>
      </c>
      <c r="L416" s="221" t="str">
        <f t="shared" si="20"/>
        <v>Normal</v>
      </c>
      <c r="M416" s="161"/>
      <c r="N416" s="224"/>
      <c r="O416" s="224"/>
      <c r="P416" s="224"/>
      <c r="Q416" s="224"/>
      <c r="R416" s="161"/>
      <c r="S416" s="161"/>
      <c r="T416" s="222"/>
      <c r="U416" s="222"/>
      <c r="V416" s="222"/>
      <c r="W416" s="227"/>
      <c r="X416" s="227"/>
      <c r="Y416" s="227"/>
      <c r="Z416" s="227"/>
      <c r="AA416" s="227"/>
      <c r="AB416" s="227"/>
      <c r="AC416" s="227"/>
      <c r="AD416" s="227"/>
      <c r="AE416" s="227"/>
      <c r="AF416" s="227"/>
      <c r="AG416" s="227"/>
      <c r="AH416" s="227"/>
      <c r="AI416" s="227"/>
      <c r="AJ416" s="227"/>
    </row>
    <row r="417" spans="1:66" customFormat="1" ht="50.25" hidden="1" customHeight="1">
      <c r="A417" s="224" t="s">
        <v>250</v>
      </c>
      <c r="B417" s="228" t="s">
        <v>985</v>
      </c>
      <c r="C417" s="233" t="s">
        <v>986</v>
      </c>
      <c r="D417" s="216" t="s">
        <v>298</v>
      </c>
      <c r="E417" s="230">
        <v>45873</v>
      </c>
      <c r="F417" s="230">
        <v>45880</v>
      </c>
      <c r="G417" s="224">
        <v>12</v>
      </c>
      <c r="H417" s="219">
        <v>0</v>
      </c>
      <c r="I417" s="237">
        <f>SUM(N417:AB417)</f>
        <v>0</v>
      </c>
      <c r="J417" s="221">
        <f t="shared" si="19"/>
        <v>-1</v>
      </c>
      <c r="K417" s="216">
        <v>0</v>
      </c>
      <c r="L417" s="221" t="str">
        <f t="shared" si="20"/>
        <v>Normal</v>
      </c>
      <c r="M417" s="161"/>
      <c r="N417" s="224"/>
      <c r="O417" s="224"/>
      <c r="P417" s="224"/>
      <c r="Q417" s="224"/>
      <c r="R417" s="161"/>
      <c r="S417" s="161"/>
      <c r="T417" s="219"/>
      <c r="U417" s="161"/>
      <c r="V417" s="161"/>
      <c r="W417" s="161"/>
      <c r="X417" s="161"/>
      <c r="Y417" s="161"/>
      <c r="Z417" s="161"/>
      <c r="AA417" s="161"/>
      <c r="AB417" s="161"/>
      <c r="AC417" s="161"/>
      <c r="AD417" s="161"/>
      <c r="AE417" s="161"/>
      <c r="AF417" s="161"/>
      <c r="AG417" s="161"/>
      <c r="AH417" s="161"/>
      <c r="AI417" s="161"/>
      <c r="AJ417" s="16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row>
    <row r="418" spans="1:66" s="39" customFormat="1" ht="50.25" hidden="1" customHeight="1">
      <c r="A418" s="224" t="s">
        <v>250</v>
      </c>
      <c r="B418" s="228" t="s">
        <v>987</v>
      </c>
      <c r="C418" s="233" t="s">
        <v>988</v>
      </c>
      <c r="D418" s="216" t="s">
        <v>298</v>
      </c>
      <c r="E418" s="230">
        <v>45882</v>
      </c>
      <c r="F418" s="230">
        <v>45895</v>
      </c>
      <c r="G418" s="224">
        <v>24</v>
      </c>
      <c r="H418" s="219">
        <v>23</v>
      </c>
      <c r="I418" s="237">
        <f>SUM(N418:AB418)</f>
        <v>0</v>
      </c>
      <c r="J418" s="221">
        <f t="shared" si="19"/>
        <v>-4.1666666666666664E-2</v>
      </c>
      <c r="K418" s="216">
        <v>1</v>
      </c>
      <c r="L418" s="221" t="str">
        <f t="shared" si="20"/>
        <v>Normal</v>
      </c>
      <c r="M418" s="161"/>
      <c r="N418" s="224"/>
      <c r="O418" s="224"/>
      <c r="P418" s="224"/>
      <c r="Q418" s="224"/>
      <c r="R418" s="161"/>
      <c r="S418" s="161"/>
      <c r="T418" s="222"/>
      <c r="U418" s="222"/>
      <c r="V418" s="222"/>
      <c r="W418" s="227"/>
      <c r="X418" s="227"/>
      <c r="Y418" s="227"/>
      <c r="Z418" s="227"/>
      <c r="AA418" s="227"/>
      <c r="AB418" s="227"/>
      <c r="AC418" s="227"/>
      <c r="AD418" s="227"/>
      <c r="AE418" s="227"/>
      <c r="AF418" s="227"/>
      <c r="AG418" s="227"/>
      <c r="AH418" s="227"/>
      <c r="AI418" s="227"/>
      <c r="AJ418" s="227"/>
    </row>
    <row r="419" spans="1:66" customFormat="1" ht="50.25" hidden="1" customHeight="1">
      <c r="A419" s="224" t="s">
        <v>250</v>
      </c>
      <c r="B419" s="228" t="s">
        <v>989</v>
      </c>
      <c r="C419" s="233" t="s">
        <v>990</v>
      </c>
      <c r="D419" s="216" t="s">
        <v>298</v>
      </c>
      <c r="E419" s="230">
        <v>45882</v>
      </c>
      <c r="F419" s="230">
        <v>45895</v>
      </c>
      <c r="G419" s="224">
        <v>24</v>
      </c>
      <c r="H419" s="219">
        <v>23</v>
      </c>
      <c r="I419" s="237">
        <f>SUM(N419:AB419)</f>
        <v>0</v>
      </c>
      <c r="J419" s="221">
        <f t="shared" si="19"/>
        <v>-4.1666666666666664E-2</v>
      </c>
      <c r="K419" s="216">
        <v>1</v>
      </c>
      <c r="L419" s="221" t="str">
        <f t="shared" si="20"/>
        <v>Normal</v>
      </c>
      <c r="M419" s="161"/>
      <c r="N419" s="224"/>
      <c r="O419" s="224"/>
      <c r="P419" s="224"/>
      <c r="Q419" s="224"/>
      <c r="R419" s="161"/>
      <c r="S419" s="161"/>
      <c r="T419" s="161"/>
      <c r="U419" s="161"/>
      <c r="V419" s="161"/>
      <c r="W419" s="226"/>
      <c r="X419" s="226"/>
      <c r="Y419" s="226"/>
      <c r="Z419" s="226"/>
      <c r="AA419" s="226"/>
      <c r="AB419" s="226"/>
      <c r="AC419" s="226"/>
      <c r="AD419" s="226"/>
      <c r="AE419" s="226"/>
      <c r="AF419" s="226"/>
      <c r="AG419" s="226"/>
      <c r="AH419" s="226"/>
      <c r="AI419" s="226"/>
      <c r="AJ419" s="226"/>
    </row>
    <row r="420" spans="1:66" customFormat="1" ht="50.25" hidden="1" customHeight="1">
      <c r="A420" s="224" t="s">
        <v>250</v>
      </c>
      <c r="B420" s="228" t="s">
        <v>991</v>
      </c>
      <c r="C420" s="233" t="s">
        <v>992</v>
      </c>
      <c r="D420" s="216" t="s">
        <v>298</v>
      </c>
      <c r="E420" s="230">
        <v>45923</v>
      </c>
      <c r="F420" s="230">
        <v>45924</v>
      </c>
      <c r="G420" s="224">
        <v>24</v>
      </c>
      <c r="H420" s="219">
        <v>28</v>
      </c>
      <c r="I420" s="237">
        <f>SUM(N420:AB420)</f>
        <v>0</v>
      </c>
      <c r="J420" s="221">
        <f t="shared" si="19"/>
        <v>0.16666666666666666</v>
      </c>
      <c r="K420" s="216">
        <v>1</v>
      </c>
      <c r="L420" s="221" t="str">
        <f t="shared" si="20"/>
        <v>Normal</v>
      </c>
      <c r="M420" s="161"/>
      <c r="N420" s="224"/>
      <c r="O420" s="224"/>
      <c r="P420" s="224"/>
      <c r="Q420" s="224"/>
      <c r="R420" s="161"/>
      <c r="S420" s="161"/>
      <c r="T420" s="161"/>
      <c r="U420" s="161"/>
      <c r="V420" s="161"/>
      <c r="W420" s="226"/>
      <c r="X420" s="226"/>
      <c r="Y420" s="226"/>
      <c r="Z420" s="226"/>
      <c r="AA420" s="226"/>
      <c r="AB420" s="226"/>
      <c r="AC420" s="226"/>
      <c r="AD420" s="226"/>
      <c r="AE420" s="226"/>
      <c r="AF420" s="226"/>
      <c r="AG420" s="226"/>
      <c r="AH420" s="226"/>
      <c r="AI420" s="226"/>
      <c r="AJ420" s="226"/>
    </row>
    <row r="421" spans="1:66" customFormat="1" ht="50.25" hidden="1" customHeight="1">
      <c r="A421" s="224" t="s">
        <v>250</v>
      </c>
      <c r="B421" s="228" t="s">
        <v>993</v>
      </c>
      <c r="C421" s="233" t="s">
        <v>994</v>
      </c>
      <c r="D421" s="216" t="s">
        <v>298</v>
      </c>
      <c r="E421" s="230">
        <v>45889</v>
      </c>
      <c r="F421" s="230">
        <v>45891</v>
      </c>
      <c r="G421" s="224">
        <v>5</v>
      </c>
      <c r="H421" s="219">
        <v>5</v>
      </c>
      <c r="I421" s="237">
        <f>SUM(N421:AB421)</f>
        <v>0</v>
      </c>
      <c r="J421" s="221">
        <f t="shared" si="19"/>
        <v>0</v>
      </c>
      <c r="K421" s="216">
        <v>1</v>
      </c>
      <c r="L421" s="221" t="str">
        <f t="shared" si="20"/>
        <v>Normal</v>
      </c>
      <c r="M421" s="161"/>
      <c r="N421" s="224"/>
      <c r="O421" s="224"/>
      <c r="P421" s="224"/>
      <c r="Q421" s="224"/>
      <c r="R421" s="161"/>
      <c r="S421" s="161"/>
      <c r="T421" s="161"/>
      <c r="U421" s="161"/>
      <c r="V421" s="161"/>
      <c r="W421" s="226"/>
      <c r="X421" s="226"/>
      <c r="Y421" s="226"/>
      <c r="Z421" s="226"/>
      <c r="AA421" s="226"/>
      <c r="AB421" s="226"/>
      <c r="AC421" s="226"/>
      <c r="AD421" s="226"/>
      <c r="AE421" s="226"/>
      <c r="AF421" s="226"/>
      <c r="AG421" s="226"/>
      <c r="AH421" s="226"/>
      <c r="AI421" s="226"/>
      <c r="AJ421" s="226"/>
    </row>
    <row r="422" spans="1:66" customFormat="1" ht="50.25" hidden="1" customHeight="1">
      <c r="A422" s="224" t="s">
        <v>250</v>
      </c>
      <c r="B422" s="228" t="s">
        <v>995</v>
      </c>
      <c r="C422" s="233" t="s">
        <v>996</v>
      </c>
      <c r="D422" s="216" t="s">
        <v>298</v>
      </c>
      <c r="E422" s="230">
        <v>45891</v>
      </c>
      <c r="F422" s="230">
        <v>45895</v>
      </c>
      <c r="G422" s="224">
        <v>16</v>
      </c>
      <c r="H422" s="219">
        <v>6</v>
      </c>
      <c r="I422" s="237">
        <f>SUM(N422:AB422)</f>
        <v>0</v>
      </c>
      <c r="J422" s="221">
        <f t="shared" si="19"/>
        <v>-0.625</v>
      </c>
      <c r="K422" s="216">
        <v>1</v>
      </c>
      <c r="L422" s="221" t="str">
        <f t="shared" si="20"/>
        <v>Normal</v>
      </c>
      <c r="M422" s="161"/>
      <c r="N422" s="224"/>
      <c r="O422" s="224"/>
      <c r="P422" s="224"/>
      <c r="Q422" s="224"/>
      <c r="R422" s="161"/>
      <c r="S422" s="161"/>
      <c r="T422" s="227"/>
      <c r="U422" s="222"/>
      <c r="V422" s="222"/>
      <c r="W422" s="227"/>
      <c r="X422" s="227"/>
      <c r="Y422" s="227"/>
      <c r="Z422" s="227"/>
      <c r="AA422" s="227"/>
      <c r="AB422" s="227"/>
      <c r="AC422" s="227"/>
      <c r="AD422" s="227"/>
      <c r="AE422" s="227"/>
      <c r="AF422" s="227"/>
      <c r="AG422" s="227"/>
      <c r="AH422" s="227"/>
      <c r="AI422" s="227"/>
      <c r="AJ422" s="227"/>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row>
    <row r="423" spans="1:66" customFormat="1" ht="50.25" hidden="1" customHeight="1">
      <c r="A423" s="224" t="s">
        <v>250</v>
      </c>
      <c r="B423" s="228" t="s">
        <v>997</v>
      </c>
      <c r="C423" s="233" t="s">
        <v>998</v>
      </c>
      <c r="D423" s="216" t="s">
        <v>298</v>
      </c>
      <c r="E423" s="230">
        <v>45894</v>
      </c>
      <c r="F423" s="230">
        <v>45897</v>
      </c>
      <c r="G423" s="224">
        <v>24</v>
      </c>
      <c r="H423" s="219">
        <v>14</v>
      </c>
      <c r="I423" s="237">
        <f>SUM(N423:AB423)</f>
        <v>0</v>
      </c>
      <c r="J423" s="221">
        <f t="shared" si="19"/>
        <v>-0.41666666666666669</v>
      </c>
      <c r="K423" s="216">
        <v>1</v>
      </c>
      <c r="L423" s="221" t="str">
        <f t="shared" si="20"/>
        <v>Normal</v>
      </c>
      <c r="M423" s="161"/>
      <c r="N423" s="224"/>
      <c r="O423" s="224"/>
      <c r="P423" s="224"/>
      <c r="Q423" s="224"/>
      <c r="R423" s="161"/>
      <c r="S423" s="161"/>
      <c r="T423" s="227"/>
      <c r="U423" s="222"/>
      <c r="V423" s="222"/>
      <c r="W423" s="227"/>
      <c r="X423" s="227"/>
      <c r="Y423" s="227"/>
      <c r="Z423" s="227"/>
      <c r="AA423" s="227"/>
      <c r="AB423" s="227"/>
      <c r="AC423" s="227"/>
      <c r="AD423" s="227"/>
      <c r="AE423" s="227"/>
      <c r="AF423" s="227"/>
      <c r="AG423" s="227"/>
      <c r="AH423" s="227"/>
      <c r="AI423" s="227"/>
      <c r="AJ423" s="227"/>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row>
    <row r="424" spans="1:66" customFormat="1" ht="50.25" hidden="1" customHeight="1">
      <c r="A424" s="224" t="s">
        <v>250</v>
      </c>
      <c r="B424" s="228" t="s">
        <v>999</v>
      </c>
      <c r="C424" s="233" t="s">
        <v>1000</v>
      </c>
      <c r="D424" s="216" t="s">
        <v>298</v>
      </c>
      <c r="E424" s="230">
        <v>45923</v>
      </c>
      <c r="F424" s="230">
        <v>45924</v>
      </c>
      <c r="G424" s="224">
        <v>12</v>
      </c>
      <c r="H424" s="219">
        <v>13</v>
      </c>
      <c r="I424" s="237">
        <f>SUM(N424:AB424)</f>
        <v>0</v>
      </c>
      <c r="J424" s="221">
        <f t="shared" si="19"/>
        <v>8.3333333333333329E-2</v>
      </c>
      <c r="K424" s="216">
        <v>1</v>
      </c>
      <c r="L424" s="221" t="str">
        <f t="shared" si="20"/>
        <v>Normal</v>
      </c>
      <c r="M424" s="161"/>
      <c r="N424" s="224"/>
      <c r="O424" s="224"/>
      <c r="P424" s="224"/>
      <c r="Q424" s="224"/>
      <c r="R424" s="161"/>
      <c r="S424" s="161"/>
      <c r="T424" s="227"/>
      <c r="U424" s="222"/>
      <c r="V424" s="222"/>
      <c r="W424" s="227"/>
      <c r="X424" s="227"/>
      <c r="Y424" s="227"/>
      <c r="Z424" s="227"/>
      <c r="AA424" s="227"/>
      <c r="AB424" s="227"/>
      <c r="AC424" s="227"/>
      <c r="AD424" s="227"/>
      <c r="AE424" s="227"/>
      <c r="AF424" s="227"/>
      <c r="AG424" s="227"/>
      <c r="AH424" s="227"/>
      <c r="AI424" s="227"/>
      <c r="AJ424" s="227"/>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row>
    <row r="425" spans="1:66" customFormat="1" ht="50.25" hidden="1" customHeight="1">
      <c r="A425" s="224" t="s">
        <v>250</v>
      </c>
      <c r="B425" s="228" t="s">
        <v>1001</v>
      </c>
      <c r="C425" s="233" t="s">
        <v>1002</v>
      </c>
      <c r="D425" s="216" t="s">
        <v>298</v>
      </c>
      <c r="E425" s="230">
        <v>45937</v>
      </c>
      <c r="F425" s="230">
        <v>45936</v>
      </c>
      <c r="G425" s="224">
        <v>12</v>
      </c>
      <c r="H425" s="219">
        <v>12</v>
      </c>
      <c r="I425" s="237">
        <f>SUM(N425:AB425)</f>
        <v>0</v>
      </c>
      <c r="J425" s="221">
        <f t="shared" si="19"/>
        <v>0</v>
      </c>
      <c r="K425" s="232">
        <v>1</v>
      </c>
      <c r="L425" s="221" t="str">
        <f t="shared" si="20"/>
        <v>Normal</v>
      </c>
      <c r="M425" s="161"/>
      <c r="N425" s="224"/>
      <c r="O425" s="224"/>
      <c r="P425" s="224"/>
      <c r="Q425" s="224"/>
      <c r="R425" s="161"/>
      <c r="S425" s="161"/>
      <c r="T425" s="227"/>
      <c r="U425" s="222"/>
      <c r="V425" s="222"/>
      <c r="W425" s="227"/>
      <c r="X425" s="227"/>
      <c r="Y425" s="227"/>
      <c r="Z425" s="227"/>
      <c r="AA425" s="227"/>
      <c r="AB425" s="227"/>
      <c r="AC425" s="227"/>
      <c r="AD425" s="227"/>
      <c r="AE425" s="227"/>
      <c r="AF425" s="227"/>
      <c r="AG425" s="227"/>
      <c r="AH425" s="227"/>
      <c r="AI425" s="227"/>
      <c r="AJ425" s="227"/>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row>
    <row r="426" spans="1:66" customFormat="1" ht="50.25" hidden="1" customHeight="1">
      <c r="A426" s="224" t="s">
        <v>250</v>
      </c>
      <c r="B426" s="228" t="s">
        <v>1003</v>
      </c>
      <c r="C426" s="233" t="s">
        <v>1004</v>
      </c>
      <c r="D426" s="216" t="s">
        <v>298</v>
      </c>
      <c r="E426" s="230">
        <v>45896</v>
      </c>
      <c r="F426" s="230">
        <v>45898</v>
      </c>
      <c r="G426" s="224">
        <v>24</v>
      </c>
      <c r="H426" s="219">
        <v>17</v>
      </c>
      <c r="I426" s="237">
        <f>SUM(N426:AB426)</f>
        <v>0</v>
      </c>
      <c r="J426" s="221">
        <f t="shared" si="19"/>
        <v>-0.29166666666666669</v>
      </c>
      <c r="K426" s="216">
        <v>1</v>
      </c>
      <c r="L426" s="221" t="str">
        <f t="shared" si="20"/>
        <v>Normal</v>
      </c>
      <c r="M426" s="161"/>
      <c r="N426" s="224"/>
      <c r="O426" s="224"/>
      <c r="P426" s="224"/>
      <c r="Q426" s="224"/>
      <c r="R426" s="161"/>
      <c r="S426" s="161"/>
      <c r="T426" s="227"/>
      <c r="U426" s="222"/>
      <c r="V426" s="222"/>
      <c r="W426" s="227"/>
      <c r="X426" s="227"/>
      <c r="Y426" s="227"/>
      <c r="Z426" s="227"/>
      <c r="AA426" s="227"/>
      <c r="AB426" s="227"/>
      <c r="AC426" s="227"/>
      <c r="AD426" s="227"/>
      <c r="AE426" s="227"/>
      <c r="AF426" s="227"/>
      <c r="AG426" s="227"/>
      <c r="AH426" s="227"/>
      <c r="AI426" s="227"/>
      <c r="AJ426" s="227"/>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row>
    <row r="427" spans="1:66" customFormat="1" ht="50.25" hidden="1" customHeight="1">
      <c r="A427" s="224" t="s">
        <v>250</v>
      </c>
      <c r="B427" s="228" t="s">
        <v>1005</v>
      </c>
      <c r="C427" s="233" t="s">
        <v>1006</v>
      </c>
      <c r="D427" s="216" t="s">
        <v>298</v>
      </c>
      <c r="E427" s="230">
        <v>45897</v>
      </c>
      <c r="F427" s="230">
        <v>45901</v>
      </c>
      <c r="G427" s="224">
        <v>5</v>
      </c>
      <c r="H427" s="219">
        <v>3</v>
      </c>
      <c r="I427" s="237">
        <f>SUM(N427:AB427)</f>
        <v>0</v>
      </c>
      <c r="J427" s="221">
        <f t="shared" si="19"/>
        <v>-0.4</v>
      </c>
      <c r="K427" s="216">
        <v>1</v>
      </c>
      <c r="L427" s="221" t="str">
        <f t="shared" si="20"/>
        <v>Normal</v>
      </c>
      <c r="M427" s="161"/>
      <c r="N427" s="224"/>
      <c r="O427" s="224"/>
      <c r="P427" s="224"/>
      <c r="Q427" s="224"/>
      <c r="R427" s="161"/>
      <c r="S427" s="161"/>
      <c r="T427" s="227"/>
      <c r="U427" s="222"/>
      <c r="V427" s="222"/>
      <c r="W427" s="227"/>
      <c r="X427" s="227"/>
      <c r="Y427" s="227"/>
      <c r="Z427" s="227"/>
      <c r="AA427" s="227"/>
      <c r="AB427" s="227"/>
      <c r="AC427" s="227"/>
      <c r="AD427" s="227"/>
      <c r="AE427" s="227"/>
      <c r="AF427" s="227"/>
      <c r="AG427" s="227"/>
      <c r="AH427" s="227"/>
      <c r="AI427" s="227"/>
      <c r="AJ427" s="227"/>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row>
    <row r="428" spans="1:66" customFormat="1" ht="50.25" hidden="1" customHeight="1">
      <c r="A428" s="224" t="s">
        <v>250</v>
      </c>
      <c r="B428" s="228" t="s">
        <v>1007</v>
      </c>
      <c r="C428" s="233" t="s">
        <v>1008</v>
      </c>
      <c r="D428" s="216" t="s">
        <v>298</v>
      </c>
      <c r="E428" s="230">
        <v>45898</v>
      </c>
      <c r="F428" s="230">
        <v>45898</v>
      </c>
      <c r="G428" s="224">
        <v>5</v>
      </c>
      <c r="H428" s="219">
        <v>4</v>
      </c>
      <c r="I428" s="237">
        <f>SUM(N428:AB428)</f>
        <v>0</v>
      </c>
      <c r="J428" s="221">
        <f t="shared" si="19"/>
        <v>-0.2</v>
      </c>
      <c r="K428" s="216">
        <v>1</v>
      </c>
      <c r="L428" s="221" t="str">
        <f t="shared" si="20"/>
        <v>Normal</v>
      </c>
      <c r="M428" s="161"/>
      <c r="N428" s="224"/>
      <c r="O428" s="224"/>
      <c r="P428" s="224"/>
      <c r="Q428" s="224"/>
      <c r="R428" s="161"/>
      <c r="S428" s="161"/>
      <c r="T428" s="227"/>
      <c r="U428" s="222"/>
      <c r="V428" s="222"/>
      <c r="W428" s="227"/>
      <c r="X428" s="227"/>
      <c r="Y428" s="227"/>
      <c r="Z428" s="227"/>
      <c r="AA428" s="227"/>
      <c r="AB428" s="227"/>
      <c r="AC428" s="227"/>
      <c r="AD428" s="227"/>
      <c r="AE428" s="227"/>
      <c r="AF428" s="227"/>
      <c r="AG428" s="227"/>
      <c r="AH428" s="227"/>
      <c r="AI428" s="227"/>
      <c r="AJ428" s="227"/>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row>
    <row r="429" spans="1:66" customFormat="1" ht="50.25" hidden="1" customHeight="1">
      <c r="A429" s="224" t="s">
        <v>250</v>
      </c>
      <c r="B429" s="228" t="s">
        <v>701</v>
      </c>
      <c r="C429" s="233" t="s">
        <v>702</v>
      </c>
      <c r="D429" s="216" t="s">
        <v>298</v>
      </c>
      <c r="E429" s="230">
        <v>45930</v>
      </c>
      <c r="F429" s="230">
        <v>45930</v>
      </c>
      <c r="G429" s="224">
        <v>11</v>
      </c>
      <c r="H429" s="219">
        <v>11</v>
      </c>
      <c r="I429" s="237">
        <f>SUM(N429:AB429)</f>
        <v>0</v>
      </c>
      <c r="J429" s="221">
        <f t="shared" si="19"/>
        <v>0</v>
      </c>
      <c r="K429" s="216">
        <v>0</v>
      </c>
      <c r="L429" s="221" t="str">
        <f t="shared" si="20"/>
        <v>Normal</v>
      </c>
      <c r="M429" s="161"/>
      <c r="N429" s="224"/>
      <c r="O429" s="224"/>
      <c r="P429" s="224"/>
      <c r="Q429" s="224"/>
      <c r="R429" s="161"/>
      <c r="S429" s="161"/>
      <c r="T429" s="227"/>
      <c r="U429" s="222"/>
      <c r="V429" s="222"/>
      <c r="W429" s="227"/>
      <c r="X429" s="227"/>
      <c r="Y429" s="227"/>
      <c r="Z429" s="227"/>
      <c r="AA429" s="227"/>
      <c r="AB429" s="227"/>
      <c r="AC429" s="227"/>
      <c r="AD429" s="227"/>
      <c r="AE429" s="227"/>
      <c r="AF429" s="227"/>
      <c r="AG429" s="227"/>
      <c r="AH429" s="227"/>
      <c r="AI429" s="227"/>
      <c r="AJ429" s="227"/>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row>
    <row r="430" spans="1:66" customFormat="1" ht="50.25" hidden="1" customHeight="1">
      <c r="A430" s="224" t="s">
        <v>250</v>
      </c>
      <c r="B430" s="228" t="s">
        <v>1009</v>
      </c>
      <c r="C430" s="233" t="s">
        <v>1010</v>
      </c>
      <c r="D430" s="216" t="s">
        <v>298</v>
      </c>
      <c r="E430" s="230">
        <v>45917</v>
      </c>
      <c r="F430" s="230">
        <v>45916</v>
      </c>
      <c r="G430" s="224">
        <v>40</v>
      </c>
      <c r="H430" s="219">
        <v>38</v>
      </c>
      <c r="I430" s="237">
        <f>SUM(N430:AB430)</f>
        <v>0</v>
      </c>
      <c r="J430" s="221">
        <f t="shared" si="19"/>
        <v>-0.05</v>
      </c>
      <c r="K430" s="216">
        <v>1</v>
      </c>
      <c r="L430" s="221" t="str">
        <f t="shared" si="20"/>
        <v>Normal</v>
      </c>
      <c r="M430" s="161"/>
      <c r="N430" s="224"/>
      <c r="O430" s="224"/>
      <c r="P430" s="224"/>
      <c r="Q430" s="224"/>
      <c r="R430" s="161"/>
      <c r="S430" s="161"/>
      <c r="T430" s="227"/>
      <c r="U430" s="222"/>
      <c r="V430" s="222"/>
      <c r="W430" s="227"/>
      <c r="X430" s="227"/>
      <c r="Y430" s="227"/>
      <c r="Z430" s="227"/>
      <c r="AA430" s="227"/>
      <c r="AB430" s="227"/>
      <c r="AC430" s="227"/>
      <c r="AD430" s="227"/>
      <c r="AE430" s="227"/>
      <c r="AF430" s="227"/>
      <c r="AG430" s="227"/>
      <c r="AH430" s="227"/>
      <c r="AI430" s="227"/>
      <c r="AJ430" s="227"/>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row>
    <row r="431" spans="1:66" customFormat="1" ht="50.25" hidden="1" customHeight="1">
      <c r="A431" s="224" t="s">
        <v>250</v>
      </c>
      <c r="B431" s="228" t="s">
        <v>1011</v>
      </c>
      <c r="C431" s="233" t="s">
        <v>1012</v>
      </c>
      <c r="D431" s="216" t="s">
        <v>298</v>
      </c>
      <c r="E431" s="230">
        <v>45915</v>
      </c>
      <c r="F431" s="230">
        <v>45915</v>
      </c>
      <c r="G431" s="224">
        <v>6</v>
      </c>
      <c r="H431" s="219">
        <v>6</v>
      </c>
      <c r="I431" s="237">
        <f>SUM(N431:AB431)</f>
        <v>0</v>
      </c>
      <c r="J431" s="221">
        <f t="shared" si="19"/>
        <v>0</v>
      </c>
      <c r="K431" s="216">
        <v>1</v>
      </c>
      <c r="L431" s="221" t="str">
        <f t="shared" si="20"/>
        <v>Normal</v>
      </c>
      <c r="M431" s="161"/>
      <c r="N431" s="224"/>
      <c r="O431" s="224"/>
      <c r="P431" s="224"/>
      <c r="Q431" s="224"/>
      <c r="R431" s="161"/>
      <c r="S431" s="161"/>
      <c r="T431" s="227"/>
      <c r="U431" s="222"/>
      <c r="V431" s="222"/>
      <c r="W431" s="227"/>
      <c r="X431" s="227"/>
      <c r="Y431" s="227"/>
      <c r="Z431" s="227"/>
      <c r="AA431" s="227"/>
      <c r="AB431" s="227"/>
      <c r="AC431" s="227"/>
      <c r="AD431" s="227"/>
      <c r="AE431" s="227"/>
      <c r="AF431" s="227"/>
      <c r="AG431" s="227"/>
      <c r="AH431" s="227"/>
      <c r="AI431" s="227"/>
      <c r="AJ431" s="227"/>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row>
    <row r="432" spans="1:66" customFormat="1" ht="50.25" hidden="1" customHeight="1">
      <c r="A432" s="224" t="s">
        <v>250</v>
      </c>
      <c r="B432" s="228" t="s">
        <v>1013</v>
      </c>
      <c r="C432" s="233" t="s">
        <v>1014</v>
      </c>
      <c r="D432" s="216" t="s">
        <v>298</v>
      </c>
      <c r="E432" s="230">
        <v>45919</v>
      </c>
      <c r="F432" s="230">
        <v>45918</v>
      </c>
      <c r="G432" s="224">
        <v>16</v>
      </c>
      <c r="H432" s="219">
        <v>20</v>
      </c>
      <c r="I432" s="237">
        <f>SUM(N432:AB432)</f>
        <v>0</v>
      </c>
      <c r="J432" s="221">
        <f t="shared" si="19"/>
        <v>0.25</v>
      </c>
      <c r="K432" s="216">
        <v>1</v>
      </c>
      <c r="L432" s="221" t="str">
        <f t="shared" si="20"/>
        <v>Normal</v>
      </c>
      <c r="M432" s="161"/>
      <c r="N432" s="224"/>
      <c r="O432" s="224"/>
      <c r="P432" s="224"/>
      <c r="Q432" s="224"/>
      <c r="R432" s="161"/>
      <c r="S432" s="161"/>
      <c r="T432" s="227"/>
      <c r="U432" s="222"/>
      <c r="V432" s="222"/>
      <c r="W432" s="227"/>
      <c r="X432" s="227"/>
      <c r="Y432" s="227"/>
      <c r="Z432" s="227"/>
      <c r="AA432" s="227"/>
      <c r="AB432" s="227"/>
      <c r="AC432" s="227"/>
      <c r="AD432" s="227"/>
      <c r="AE432" s="227"/>
      <c r="AF432" s="227"/>
      <c r="AG432" s="227"/>
      <c r="AH432" s="227"/>
      <c r="AI432" s="227"/>
      <c r="AJ432" s="227"/>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row>
    <row r="433" spans="1:66" customFormat="1" ht="50.25" hidden="1" customHeight="1">
      <c r="A433" s="224" t="s">
        <v>250</v>
      </c>
      <c r="B433" s="224" t="s">
        <v>1015</v>
      </c>
      <c r="C433" s="215" t="s">
        <v>1016</v>
      </c>
      <c r="D433" s="216" t="s">
        <v>298</v>
      </c>
      <c r="E433" s="230">
        <v>46034</v>
      </c>
      <c r="F433" s="230">
        <v>46030</v>
      </c>
      <c r="G433" s="224">
        <v>40</v>
      </c>
      <c r="H433" s="219">
        <v>40</v>
      </c>
      <c r="I433" s="237">
        <f>SUM(N433:AB433)</f>
        <v>0</v>
      </c>
      <c r="J433" s="221">
        <f t="shared" si="19"/>
        <v>0</v>
      </c>
      <c r="K433" s="224">
        <v>1</v>
      </c>
      <c r="L433" s="221" t="str">
        <f t="shared" si="20"/>
        <v>Normal</v>
      </c>
      <c r="M433" s="224"/>
      <c r="N433" s="224"/>
      <c r="O433" s="224"/>
      <c r="P433" s="224"/>
      <c r="Q433" s="224"/>
      <c r="R433" s="161"/>
      <c r="S433" s="161"/>
      <c r="T433" s="226"/>
      <c r="U433" s="161"/>
      <c r="V433" s="161"/>
      <c r="W433" s="226"/>
      <c r="X433" s="226"/>
      <c r="Y433" s="226"/>
      <c r="Z433" s="226"/>
      <c r="AA433" s="226"/>
      <c r="AB433" s="226"/>
      <c r="AC433" s="226"/>
      <c r="AD433" s="226"/>
      <c r="AE433" s="226"/>
      <c r="AF433" s="226"/>
      <c r="AG433" s="226"/>
      <c r="AH433" s="226"/>
      <c r="AI433" s="226"/>
      <c r="AJ433" s="226"/>
    </row>
    <row r="434" spans="1:66" customFormat="1" ht="50.25" hidden="1" customHeight="1">
      <c r="A434" s="224" t="s">
        <v>250</v>
      </c>
      <c r="B434" s="228" t="s">
        <v>667</v>
      </c>
      <c r="C434" s="215" t="s">
        <v>668</v>
      </c>
      <c r="D434" s="216" t="s">
        <v>307</v>
      </c>
      <c r="E434" s="230">
        <v>46052</v>
      </c>
      <c r="F434" s="230">
        <v>46052</v>
      </c>
      <c r="G434" s="224">
        <v>10</v>
      </c>
      <c r="H434" s="219">
        <v>10</v>
      </c>
      <c r="I434" s="237">
        <f>SUM(N434:AB434)</f>
        <v>0</v>
      </c>
      <c r="J434" s="221">
        <f t="shared" si="19"/>
        <v>0</v>
      </c>
      <c r="K434" s="224">
        <v>0</v>
      </c>
      <c r="L434" s="221" t="str">
        <f t="shared" si="20"/>
        <v>Normal</v>
      </c>
      <c r="M434" s="224"/>
      <c r="N434" s="224"/>
      <c r="O434" s="224"/>
      <c r="P434" s="224"/>
      <c r="Q434" s="224"/>
      <c r="R434" s="224"/>
      <c r="S434" s="224"/>
      <c r="T434" s="224"/>
      <c r="U434" s="224"/>
      <c r="V434" s="224"/>
      <c r="W434" s="225"/>
      <c r="X434" s="225"/>
      <c r="Y434" s="225"/>
      <c r="Z434" s="225"/>
      <c r="AA434" s="225"/>
      <c r="AB434" s="225"/>
      <c r="AC434" s="225"/>
      <c r="AD434" s="225"/>
      <c r="AE434" s="225"/>
      <c r="AF434" s="225"/>
      <c r="AG434" s="225"/>
      <c r="AH434" s="225"/>
      <c r="AI434" s="225"/>
      <c r="AJ434" s="225"/>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row>
    <row r="435" spans="1:66" ht="50.25" hidden="1" customHeight="1">
      <c r="A435" s="224" t="s">
        <v>250</v>
      </c>
      <c r="B435" s="224" t="s">
        <v>1017</v>
      </c>
      <c r="C435" s="215" t="s">
        <v>1018</v>
      </c>
      <c r="D435" s="216" t="s">
        <v>298</v>
      </c>
      <c r="E435" s="230">
        <v>46035</v>
      </c>
      <c r="F435" s="230">
        <v>46035</v>
      </c>
      <c r="G435" s="224">
        <v>24</v>
      </c>
      <c r="H435" s="219">
        <v>16</v>
      </c>
      <c r="I435" s="237">
        <f>SUM(N435:AB435)</f>
        <v>0</v>
      </c>
      <c r="J435" s="221">
        <f t="shared" si="19"/>
        <v>-0.33333333333333331</v>
      </c>
      <c r="K435" s="224">
        <v>1</v>
      </c>
      <c r="L435" s="221" t="str">
        <f t="shared" si="20"/>
        <v>Normal</v>
      </c>
      <c r="M435" s="224"/>
      <c r="N435" s="224"/>
      <c r="O435" s="224"/>
      <c r="P435" s="224"/>
      <c r="Q435" s="224"/>
      <c r="R435" s="224"/>
      <c r="S435" s="224"/>
      <c r="T435" s="224"/>
      <c r="U435" s="224"/>
      <c r="V435" s="224"/>
      <c r="W435" s="225"/>
      <c r="X435" s="225"/>
      <c r="Y435" s="225"/>
      <c r="Z435" s="225"/>
      <c r="AA435" s="225"/>
      <c r="AB435" s="225"/>
      <c r="AC435" s="225"/>
      <c r="AD435" s="225"/>
      <c r="AE435" s="225"/>
      <c r="AF435" s="225"/>
      <c r="AG435" s="225"/>
      <c r="AH435" s="225"/>
      <c r="AI435" s="225"/>
      <c r="AJ435" s="225"/>
      <c r="AK435" s="51"/>
      <c r="AL435" s="51"/>
      <c r="AM435" s="51"/>
      <c r="AN435" s="51"/>
      <c r="AO435" s="51"/>
      <c r="AP435" s="51"/>
      <c r="AQ435" s="51"/>
      <c r="AR435" s="51"/>
    </row>
    <row r="436" spans="1:66" ht="50.25" hidden="1" customHeight="1">
      <c r="A436" s="224" t="s">
        <v>250</v>
      </c>
      <c r="B436" s="224" t="s">
        <v>1019</v>
      </c>
      <c r="C436" s="215" t="s">
        <v>1020</v>
      </c>
      <c r="D436" s="216" t="s">
        <v>298</v>
      </c>
      <c r="E436" s="230">
        <v>46041</v>
      </c>
      <c r="F436" s="230">
        <v>46042</v>
      </c>
      <c r="G436" s="224">
        <v>12</v>
      </c>
      <c r="H436" s="219">
        <v>10</v>
      </c>
      <c r="I436" s="237">
        <f>SUM(N436:AB436)</f>
        <v>0</v>
      </c>
      <c r="J436" s="221">
        <f t="shared" si="19"/>
        <v>-0.16666666666666666</v>
      </c>
      <c r="K436" s="224">
        <v>1</v>
      </c>
      <c r="L436" s="221" t="str">
        <f t="shared" si="20"/>
        <v>Normal</v>
      </c>
      <c r="M436" s="224"/>
      <c r="N436" s="224"/>
      <c r="O436" s="224"/>
      <c r="P436" s="224"/>
      <c r="Q436" s="224"/>
      <c r="R436" s="224"/>
      <c r="S436" s="224"/>
      <c r="T436" s="224"/>
      <c r="U436" s="224"/>
      <c r="V436" s="224"/>
      <c r="W436" s="225"/>
      <c r="X436" s="225"/>
      <c r="Y436" s="225"/>
      <c r="Z436" s="225"/>
      <c r="AA436" s="225"/>
      <c r="AB436" s="225"/>
      <c r="AC436" s="225"/>
      <c r="AD436" s="225"/>
      <c r="AE436" s="225"/>
      <c r="AF436" s="225"/>
      <c r="AG436" s="225"/>
      <c r="AH436" s="225"/>
      <c r="AI436" s="225"/>
      <c r="AJ436" s="225"/>
      <c r="AK436" s="51"/>
      <c r="AL436" s="51"/>
      <c r="AM436" s="51"/>
      <c r="AN436" s="51"/>
      <c r="AO436" s="51"/>
      <c r="AP436" s="51"/>
      <c r="AQ436" s="51"/>
      <c r="AR436" s="51"/>
    </row>
    <row r="437" spans="1:66" ht="50.25" hidden="1" customHeight="1">
      <c r="A437" s="224" t="s">
        <v>250</v>
      </c>
      <c r="B437" s="224" t="s">
        <v>1021</v>
      </c>
      <c r="C437" s="215" t="s">
        <v>1022</v>
      </c>
      <c r="D437" s="216" t="s">
        <v>298</v>
      </c>
      <c r="E437" s="230">
        <v>46041</v>
      </c>
      <c r="F437" s="230">
        <v>46042</v>
      </c>
      <c r="G437" s="224">
        <v>16</v>
      </c>
      <c r="H437" s="219">
        <v>16</v>
      </c>
      <c r="I437" s="237">
        <f>SUM(N437:AB437)</f>
        <v>0</v>
      </c>
      <c r="J437" s="221">
        <f t="shared" si="19"/>
        <v>0</v>
      </c>
      <c r="K437" s="224">
        <v>1</v>
      </c>
      <c r="L437" s="221" t="str">
        <f t="shared" si="20"/>
        <v>Normal</v>
      </c>
      <c r="M437" s="224"/>
      <c r="N437" s="224"/>
      <c r="O437" s="224"/>
      <c r="P437" s="224"/>
      <c r="Q437" s="224"/>
      <c r="R437" s="224"/>
      <c r="S437" s="224"/>
      <c r="T437" s="224"/>
      <c r="U437" s="224"/>
      <c r="V437" s="224"/>
      <c r="W437" s="225"/>
      <c r="X437" s="225"/>
      <c r="Y437" s="225"/>
      <c r="Z437" s="225"/>
      <c r="AA437" s="225"/>
      <c r="AB437" s="225"/>
      <c r="AC437" s="225"/>
      <c r="AD437" s="225"/>
      <c r="AE437" s="225"/>
      <c r="AF437" s="225"/>
      <c r="AG437" s="225"/>
      <c r="AH437" s="225"/>
      <c r="AI437" s="225"/>
      <c r="AJ437" s="225"/>
      <c r="AK437" s="51"/>
      <c r="AL437" s="51"/>
      <c r="AM437" s="51"/>
      <c r="AN437" s="51"/>
      <c r="AO437" s="51"/>
      <c r="AP437" s="51"/>
      <c r="AQ437" s="51"/>
      <c r="AR437" s="51"/>
    </row>
    <row r="438" spans="1:66" ht="50.25" hidden="1" customHeight="1">
      <c r="A438" s="224" t="s">
        <v>250</v>
      </c>
      <c r="B438" s="224" t="s">
        <v>1023</v>
      </c>
      <c r="C438" s="215" t="s">
        <v>1024</v>
      </c>
      <c r="D438" s="216" t="s">
        <v>298</v>
      </c>
      <c r="E438" s="230">
        <v>46045</v>
      </c>
      <c r="F438" s="230">
        <v>46048</v>
      </c>
      <c r="G438" s="224">
        <v>24</v>
      </c>
      <c r="H438" s="219">
        <v>27</v>
      </c>
      <c r="I438" s="237">
        <f>SUM(N438:AB438)</f>
        <v>0</v>
      </c>
      <c r="J438" s="221">
        <f t="shared" si="19"/>
        <v>0.125</v>
      </c>
      <c r="K438" s="224">
        <v>0</v>
      </c>
      <c r="L438" s="221" t="str">
        <f t="shared" si="20"/>
        <v>Normal</v>
      </c>
      <c r="M438" s="224"/>
      <c r="N438" s="224"/>
      <c r="O438" s="224"/>
      <c r="P438" s="224"/>
      <c r="Q438" s="224"/>
      <c r="R438" s="224"/>
      <c r="S438" s="224"/>
      <c r="T438" s="224"/>
      <c r="U438" s="224"/>
      <c r="V438" s="224"/>
      <c r="W438" s="225"/>
      <c r="X438" s="225"/>
      <c r="Y438" s="225"/>
      <c r="Z438" s="225"/>
      <c r="AA438" s="225"/>
      <c r="AB438" s="225"/>
      <c r="AC438" s="225"/>
      <c r="AD438" s="225"/>
      <c r="AE438" s="225"/>
      <c r="AF438" s="225"/>
      <c r="AG438" s="225"/>
      <c r="AH438" s="225"/>
      <c r="AI438" s="225"/>
      <c r="AJ438" s="225"/>
      <c r="AK438" s="51"/>
      <c r="AL438" s="51"/>
      <c r="AM438" s="51"/>
      <c r="AN438" s="51"/>
      <c r="AO438" s="51"/>
      <c r="AP438" s="51"/>
      <c r="AQ438" s="51"/>
      <c r="AR438" s="51"/>
    </row>
    <row r="439" spans="1:66" ht="50.25" hidden="1" customHeight="1">
      <c r="A439" s="224" t="s">
        <v>250</v>
      </c>
      <c r="B439" s="224" t="s">
        <v>1025</v>
      </c>
      <c r="C439" s="215" t="s">
        <v>1026</v>
      </c>
      <c r="D439" s="216" t="s">
        <v>298</v>
      </c>
      <c r="E439" s="230">
        <v>46045</v>
      </c>
      <c r="F439" s="230">
        <v>46045</v>
      </c>
      <c r="G439" s="224">
        <v>2</v>
      </c>
      <c r="H439" s="219">
        <v>2</v>
      </c>
      <c r="I439" s="237">
        <f>SUM(N439:AB439)</f>
        <v>0</v>
      </c>
      <c r="J439" s="221">
        <f t="shared" si="19"/>
        <v>0</v>
      </c>
      <c r="K439" s="224">
        <v>0</v>
      </c>
      <c r="L439" s="221" t="str">
        <f t="shared" si="20"/>
        <v>Normal</v>
      </c>
      <c r="M439" s="224"/>
      <c r="N439" s="224"/>
      <c r="O439" s="224"/>
      <c r="P439" s="224"/>
      <c r="Q439" s="224"/>
      <c r="R439" s="224"/>
      <c r="S439" s="224"/>
      <c r="T439" s="224"/>
      <c r="U439" s="224"/>
      <c r="V439" s="224"/>
      <c r="W439" s="225"/>
      <c r="X439" s="225"/>
      <c r="Y439" s="225"/>
      <c r="Z439" s="225"/>
      <c r="AA439" s="225"/>
      <c r="AB439" s="225"/>
      <c r="AC439" s="225"/>
      <c r="AD439" s="225"/>
      <c r="AE439" s="225"/>
      <c r="AF439" s="225"/>
      <c r="AG439" s="225"/>
      <c r="AH439" s="225"/>
      <c r="AI439" s="225"/>
      <c r="AJ439" s="225"/>
      <c r="AK439" s="51"/>
      <c r="AL439" s="51"/>
      <c r="AM439" s="51"/>
      <c r="AN439" s="51"/>
      <c r="AO439" s="51"/>
      <c r="AP439" s="51"/>
      <c r="AQ439" s="51"/>
      <c r="AR439" s="51"/>
    </row>
    <row r="440" spans="1:66" ht="50.25" hidden="1" customHeight="1">
      <c r="A440" s="224" t="s">
        <v>250</v>
      </c>
      <c r="B440" s="224" t="s">
        <v>715</v>
      </c>
      <c r="C440" s="215" t="s">
        <v>716</v>
      </c>
      <c r="D440" s="216" t="s">
        <v>307</v>
      </c>
      <c r="E440" s="230">
        <v>46045</v>
      </c>
      <c r="F440" s="230">
        <v>46045</v>
      </c>
      <c r="G440" s="224">
        <v>2.5</v>
      </c>
      <c r="H440" s="219">
        <v>1</v>
      </c>
      <c r="I440" s="237">
        <f>SUM(N440:AB440)</f>
        <v>0</v>
      </c>
      <c r="J440" s="221">
        <f t="shared" si="19"/>
        <v>-0.6</v>
      </c>
      <c r="K440" s="224">
        <v>0</v>
      </c>
      <c r="L440" s="221" t="str">
        <f t="shared" si="20"/>
        <v>Normal</v>
      </c>
      <c r="M440" s="224"/>
      <c r="N440" s="224"/>
      <c r="O440" s="224"/>
      <c r="P440" s="224"/>
      <c r="Q440" s="224"/>
      <c r="R440" s="224"/>
      <c r="S440" s="224"/>
      <c r="T440" s="224"/>
      <c r="U440" s="224"/>
      <c r="V440" s="224"/>
      <c r="W440" s="225"/>
      <c r="X440" s="225"/>
      <c r="Y440" s="225"/>
      <c r="Z440" s="225"/>
      <c r="AA440" s="225"/>
      <c r="AB440" s="225"/>
      <c r="AC440" s="225"/>
      <c r="AD440" s="225"/>
      <c r="AE440" s="225"/>
      <c r="AF440" s="225"/>
      <c r="AG440" s="225"/>
      <c r="AH440" s="225"/>
      <c r="AI440" s="225"/>
      <c r="AJ440" s="225"/>
      <c r="AK440" s="51"/>
      <c r="AL440" s="51"/>
      <c r="AM440" s="51"/>
      <c r="AN440" s="51"/>
      <c r="AO440" s="51"/>
      <c r="AP440" s="51"/>
      <c r="AQ440" s="51"/>
      <c r="AR440" s="51"/>
    </row>
    <row r="441" spans="1:66" ht="50.25" hidden="1" customHeight="1">
      <c r="A441" s="224" t="s">
        <v>250</v>
      </c>
      <c r="B441" s="224" t="s">
        <v>1027</v>
      </c>
      <c r="C441" s="215" t="s">
        <v>1028</v>
      </c>
      <c r="D441" s="216" t="s">
        <v>298</v>
      </c>
      <c r="E441" s="230">
        <v>46058</v>
      </c>
      <c r="F441" s="230">
        <v>46055</v>
      </c>
      <c r="G441" s="224">
        <v>24</v>
      </c>
      <c r="H441" s="219">
        <v>0</v>
      </c>
      <c r="I441" s="237">
        <f>SUM(N441:AB441)</f>
        <v>0</v>
      </c>
      <c r="J441" s="221">
        <f t="shared" si="19"/>
        <v>-1</v>
      </c>
      <c r="K441" s="224">
        <v>0</v>
      </c>
      <c r="L441" s="221" t="str">
        <f t="shared" si="20"/>
        <v>Normal</v>
      </c>
      <c r="M441" s="224"/>
      <c r="N441" s="224"/>
      <c r="O441" s="224"/>
      <c r="P441" s="224"/>
      <c r="Q441" s="224"/>
      <c r="R441" s="224"/>
      <c r="S441" s="224"/>
      <c r="T441" s="224"/>
      <c r="U441" s="224"/>
      <c r="V441" s="224"/>
      <c r="W441" s="225"/>
      <c r="X441" s="225"/>
      <c r="Y441" s="225"/>
      <c r="Z441" s="225"/>
      <c r="AA441" s="225"/>
      <c r="AB441" s="225"/>
      <c r="AC441" s="225"/>
      <c r="AD441" s="225"/>
      <c r="AE441" s="225"/>
      <c r="AF441" s="225"/>
      <c r="AG441" s="225"/>
      <c r="AH441" s="225"/>
      <c r="AI441" s="225"/>
      <c r="AJ441" s="225"/>
      <c r="AK441" s="51"/>
      <c r="AL441" s="51"/>
      <c r="AM441" s="51"/>
      <c r="AN441" s="51"/>
      <c r="AO441" s="51"/>
      <c r="AP441" s="51"/>
      <c r="AQ441" s="51"/>
      <c r="AR441" s="51"/>
    </row>
    <row r="442" spans="1:66" ht="50.25" hidden="1" customHeight="1">
      <c r="A442" s="224" t="s">
        <v>250</v>
      </c>
      <c r="B442" s="224" t="s">
        <v>1029</v>
      </c>
      <c r="C442" s="215" t="s">
        <v>1030</v>
      </c>
      <c r="D442" s="216" t="s">
        <v>298</v>
      </c>
      <c r="E442" s="230">
        <v>46056</v>
      </c>
      <c r="F442" s="230">
        <v>46055</v>
      </c>
      <c r="G442" s="224">
        <v>12</v>
      </c>
      <c r="H442" s="219">
        <v>0</v>
      </c>
      <c r="I442" s="237">
        <f>SUM(N442:AB442)</f>
        <v>0</v>
      </c>
      <c r="J442" s="221">
        <f t="shared" si="19"/>
        <v>-1</v>
      </c>
      <c r="K442" s="224">
        <v>0</v>
      </c>
      <c r="L442" s="221" t="str">
        <f t="shared" si="20"/>
        <v>Normal</v>
      </c>
      <c r="M442" s="224"/>
      <c r="N442" s="224"/>
      <c r="O442" s="224"/>
      <c r="P442" s="224"/>
      <c r="Q442" s="224"/>
      <c r="R442" s="224"/>
      <c r="S442" s="224"/>
      <c r="T442" s="224"/>
      <c r="U442" s="224"/>
      <c r="V442" s="224"/>
      <c r="W442" s="225"/>
      <c r="X442" s="225"/>
      <c r="Y442" s="225"/>
      <c r="Z442" s="225"/>
      <c r="AA442" s="225"/>
      <c r="AB442" s="225"/>
      <c r="AC442" s="225"/>
      <c r="AD442" s="225"/>
      <c r="AE442" s="225"/>
      <c r="AF442" s="225"/>
      <c r="AG442" s="225"/>
      <c r="AH442" s="225"/>
      <c r="AI442" s="225"/>
      <c r="AJ442" s="225"/>
      <c r="AK442" s="51"/>
      <c r="AL442" s="51"/>
      <c r="AM442" s="51"/>
      <c r="AN442" s="51"/>
      <c r="AO442" s="51"/>
      <c r="AP442" s="51"/>
      <c r="AQ442" s="51"/>
      <c r="AR442" s="51"/>
    </row>
    <row r="443" spans="1:66" ht="50.25" hidden="1" customHeight="1">
      <c r="A443" s="224" t="s">
        <v>250</v>
      </c>
      <c r="B443" s="224" t="s">
        <v>1031</v>
      </c>
      <c r="C443" s="215" t="s">
        <v>1032</v>
      </c>
      <c r="D443" s="216" t="s">
        <v>298</v>
      </c>
      <c r="E443" s="230">
        <v>46056</v>
      </c>
      <c r="F443" s="230">
        <v>46057</v>
      </c>
      <c r="G443" s="224">
        <v>12</v>
      </c>
      <c r="H443" s="219">
        <v>15</v>
      </c>
      <c r="I443" s="237">
        <f>SUM(N443:AB443)</f>
        <v>0</v>
      </c>
      <c r="J443" s="221">
        <f t="shared" si="19"/>
        <v>0.25</v>
      </c>
      <c r="K443" s="224">
        <v>1</v>
      </c>
      <c r="L443" s="221" t="str">
        <f t="shared" si="20"/>
        <v>Normal</v>
      </c>
      <c r="M443" s="224"/>
      <c r="N443" s="224"/>
      <c r="O443" s="224"/>
      <c r="P443" s="224"/>
      <c r="Q443" s="224"/>
      <c r="R443" s="224"/>
      <c r="S443" s="224"/>
      <c r="T443" s="218"/>
      <c r="U443" s="224"/>
      <c r="V443" s="224"/>
      <c r="W443" s="225"/>
      <c r="X443" s="225"/>
      <c r="Y443" s="225"/>
      <c r="Z443" s="225"/>
      <c r="AA443" s="225"/>
      <c r="AB443" s="225"/>
      <c r="AC443" s="225"/>
      <c r="AD443" s="225"/>
      <c r="AE443" s="225"/>
      <c r="AF443" s="225"/>
      <c r="AG443" s="225"/>
      <c r="AH443" s="225"/>
      <c r="AI443" s="225"/>
      <c r="AJ443" s="225"/>
      <c r="AK443" s="51"/>
      <c r="AL443" s="51"/>
      <c r="AM443" s="51"/>
      <c r="AN443" s="51"/>
      <c r="AO443" s="51"/>
      <c r="AP443" s="51"/>
      <c r="AQ443" s="51"/>
      <c r="AR443" s="51"/>
    </row>
    <row r="444" spans="1:66" ht="50.25" hidden="1" customHeight="1">
      <c r="A444" s="224" t="s">
        <v>250</v>
      </c>
      <c r="B444" s="224" t="s">
        <v>1033</v>
      </c>
      <c r="C444" s="215" t="s">
        <v>1034</v>
      </c>
      <c r="D444" s="216" t="s">
        <v>141</v>
      </c>
      <c r="E444" s="230">
        <v>46147</v>
      </c>
      <c r="F444" s="230"/>
      <c r="G444" s="224">
        <v>64</v>
      </c>
      <c r="H444" s="219">
        <v>48</v>
      </c>
      <c r="I444" s="237">
        <f>SUM(N444:AB444)</f>
        <v>0</v>
      </c>
      <c r="J444" s="221">
        <f t="shared" si="19"/>
        <v>-0.25</v>
      </c>
      <c r="K444" s="224">
        <v>0</v>
      </c>
      <c r="L444" s="221" t="str">
        <f t="shared" si="20"/>
        <v>Normal</v>
      </c>
      <c r="M444" s="224"/>
      <c r="N444" s="224"/>
      <c r="O444" s="224"/>
      <c r="P444" s="224"/>
      <c r="Q444" s="224"/>
      <c r="R444" s="224"/>
      <c r="S444" s="224"/>
      <c r="T444" s="218"/>
      <c r="U444" s="224"/>
      <c r="V444" s="224"/>
      <c r="W444" s="225"/>
      <c r="X444" s="225"/>
      <c r="Y444" s="225"/>
      <c r="Z444" s="225"/>
      <c r="AA444" s="225"/>
      <c r="AB444" s="225"/>
      <c r="AC444" s="225"/>
      <c r="AD444" s="225"/>
      <c r="AE444" s="225"/>
      <c r="AF444" s="225"/>
      <c r="AG444" s="225"/>
      <c r="AH444" s="225"/>
      <c r="AI444" s="225"/>
      <c r="AJ444" s="225"/>
      <c r="AK444" s="51"/>
      <c r="AL444" s="51"/>
      <c r="AM444" s="51"/>
      <c r="AN444" s="51"/>
      <c r="AO444" s="51"/>
      <c r="AP444" s="51"/>
      <c r="AQ444" s="51"/>
      <c r="AR444" s="51"/>
    </row>
    <row r="445" spans="1:66" ht="50.25" hidden="1" customHeight="1">
      <c r="A445" s="224" t="s">
        <v>250</v>
      </c>
      <c r="B445" s="224" t="s">
        <v>1035</v>
      </c>
      <c r="C445" s="215" t="s">
        <v>1036</v>
      </c>
      <c r="D445" s="216" t="s">
        <v>298</v>
      </c>
      <c r="E445" s="230">
        <v>46059</v>
      </c>
      <c r="F445" s="230">
        <v>46059</v>
      </c>
      <c r="G445" s="224">
        <v>20</v>
      </c>
      <c r="H445" s="219">
        <v>22</v>
      </c>
      <c r="I445" s="237">
        <f>SUM(N445:AB445)</f>
        <v>0</v>
      </c>
      <c r="J445" s="221">
        <f t="shared" si="19"/>
        <v>0.1</v>
      </c>
      <c r="K445" s="224">
        <v>1</v>
      </c>
      <c r="L445" s="221" t="str">
        <f t="shared" si="20"/>
        <v>Normal</v>
      </c>
      <c r="M445" s="224"/>
      <c r="N445" s="224"/>
      <c r="O445" s="224"/>
      <c r="P445" s="224"/>
      <c r="Q445" s="224"/>
      <c r="R445" s="224"/>
      <c r="S445" s="224"/>
      <c r="T445" s="218"/>
      <c r="U445" s="224"/>
      <c r="V445" s="224"/>
      <c r="W445" s="225"/>
      <c r="X445" s="225"/>
      <c r="Y445" s="225"/>
      <c r="Z445" s="225"/>
      <c r="AA445" s="225"/>
      <c r="AB445" s="225"/>
      <c r="AC445" s="225"/>
      <c r="AD445" s="225"/>
      <c r="AE445" s="225"/>
      <c r="AF445" s="225"/>
      <c r="AG445" s="225"/>
      <c r="AH445" s="225"/>
      <c r="AI445" s="225"/>
      <c r="AJ445" s="225"/>
      <c r="AK445" s="51"/>
      <c r="AL445" s="51"/>
      <c r="AM445" s="51"/>
      <c r="AN445" s="51"/>
      <c r="AO445" s="51"/>
      <c r="AP445" s="51"/>
      <c r="AQ445" s="51"/>
      <c r="AR445" s="51"/>
    </row>
    <row r="446" spans="1:66" ht="50.25" hidden="1" customHeight="1">
      <c r="A446" s="224" t="s">
        <v>250</v>
      </c>
      <c r="B446" s="224" t="s">
        <v>723</v>
      </c>
      <c r="C446" s="215" t="s">
        <v>724</v>
      </c>
      <c r="D446" s="216" t="s">
        <v>298</v>
      </c>
      <c r="E446" s="230">
        <v>46080</v>
      </c>
      <c r="F446" s="230">
        <v>46080</v>
      </c>
      <c r="G446" s="224">
        <v>10</v>
      </c>
      <c r="H446" s="219">
        <v>10</v>
      </c>
      <c r="I446" s="237">
        <f>SUM(N446:AB446)</f>
        <v>0</v>
      </c>
      <c r="J446" s="221">
        <f t="shared" si="19"/>
        <v>0</v>
      </c>
      <c r="K446" s="216">
        <v>0</v>
      </c>
      <c r="L446" s="221" t="str">
        <f t="shared" si="20"/>
        <v>Normal</v>
      </c>
      <c r="M446" s="224"/>
      <c r="N446" s="216"/>
      <c r="O446" s="216"/>
      <c r="P446" s="216"/>
      <c r="Q446" s="216"/>
      <c r="R446" s="216"/>
      <c r="S446" s="216"/>
      <c r="T446" s="250"/>
      <c r="U446" s="222"/>
      <c r="V446" s="222"/>
      <c r="W446" s="227"/>
      <c r="X446" s="227"/>
      <c r="Y446" s="227"/>
      <c r="Z446" s="227"/>
      <c r="AA446" s="227"/>
      <c r="AB446" s="227"/>
      <c r="AC446" s="227"/>
      <c r="AD446" s="227"/>
      <c r="AE446" s="227"/>
      <c r="AF446" s="227"/>
      <c r="AG446" s="227"/>
      <c r="AH446" s="227"/>
      <c r="AI446" s="227"/>
      <c r="AJ446" s="227"/>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row>
    <row r="447" spans="1:66" ht="50.25" hidden="1" customHeight="1">
      <c r="A447" s="224" t="s">
        <v>250</v>
      </c>
      <c r="B447" s="224" t="s">
        <v>1037</v>
      </c>
      <c r="C447" s="215" t="s">
        <v>1038</v>
      </c>
      <c r="D447" s="216" t="s">
        <v>298</v>
      </c>
      <c r="E447" s="230">
        <v>46066</v>
      </c>
      <c r="F447" s="230">
        <v>46066</v>
      </c>
      <c r="G447" s="224">
        <v>16</v>
      </c>
      <c r="H447" s="219">
        <v>11</v>
      </c>
      <c r="I447" s="237">
        <f>SUM(N447:AB447)</f>
        <v>0</v>
      </c>
      <c r="J447" s="221">
        <f t="shared" si="19"/>
        <v>-0.3125</v>
      </c>
      <c r="K447" s="216">
        <v>0</v>
      </c>
      <c r="L447" s="221" t="str">
        <f t="shared" si="20"/>
        <v>Normal</v>
      </c>
      <c r="M447" s="224"/>
      <c r="N447" s="216"/>
      <c r="O447" s="216"/>
      <c r="P447" s="216"/>
      <c r="Q447" s="216"/>
      <c r="R447" s="216"/>
      <c r="S447" s="216"/>
      <c r="T447" s="250"/>
      <c r="U447" s="222"/>
      <c r="V447" s="222"/>
      <c r="W447" s="227"/>
      <c r="X447" s="227"/>
      <c r="Y447" s="227"/>
      <c r="Z447" s="227"/>
      <c r="AA447" s="227"/>
      <c r="AB447" s="227"/>
      <c r="AC447" s="227"/>
      <c r="AD447" s="227"/>
      <c r="AE447" s="227"/>
      <c r="AF447" s="227"/>
      <c r="AG447" s="227"/>
      <c r="AH447" s="227"/>
      <c r="AI447" s="227"/>
      <c r="AJ447" s="227"/>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row>
    <row r="448" spans="1:66" ht="50.25" hidden="1" customHeight="1">
      <c r="A448" s="224" t="s">
        <v>250</v>
      </c>
      <c r="B448" s="224" t="s">
        <v>1039</v>
      </c>
      <c r="C448" s="215" t="s">
        <v>1040</v>
      </c>
      <c r="D448" s="216" t="s">
        <v>298</v>
      </c>
      <c r="E448" s="230">
        <v>46064</v>
      </c>
      <c r="F448" s="230">
        <v>46064</v>
      </c>
      <c r="G448" s="224">
        <v>6</v>
      </c>
      <c r="H448" s="219">
        <v>5</v>
      </c>
      <c r="I448" s="237">
        <f>SUM(N448:AB448)</f>
        <v>0</v>
      </c>
      <c r="J448" s="221">
        <f t="shared" si="19"/>
        <v>-0.16666666666666666</v>
      </c>
      <c r="K448" s="216">
        <v>1</v>
      </c>
      <c r="L448" s="221" t="str">
        <f t="shared" si="20"/>
        <v>Normal</v>
      </c>
      <c r="M448" s="224"/>
      <c r="N448" s="216"/>
      <c r="O448" s="216"/>
      <c r="P448" s="216"/>
      <c r="Q448" s="216"/>
      <c r="R448" s="216"/>
      <c r="S448" s="216"/>
      <c r="T448" s="250"/>
      <c r="U448" s="222"/>
      <c r="V448" s="222"/>
      <c r="W448" s="227"/>
      <c r="X448" s="227"/>
      <c r="Y448" s="227"/>
      <c r="Z448" s="227"/>
      <c r="AA448" s="227"/>
      <c r="AB448" s="227"/>
      <c r="AC448" s="227"/>
      <c r="AD448" s="227"/>
      <c r="AE448" s="227"/>
      <c r="AF448" s="227"/>
      <c r="AG448" s="227"/>
      <c r="AH448" s="227"/>
      <c r="AI448" s="227"/>
      <c r="AJ448" s="227"/>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row>
    <row r="449" spans="1:66" ht="50.25" hidden="1" customHeight="1">
      <c r="A449" s="224" t="s">
        <v>250</v>
      </c>
      <c r="B449" s="224" t="s">
        <v>1041</v>
      </c>
      <c r="C449" s="215" t="s">
        <v>1042</v>
      </c>
      <c r="D449" s="216" t="s">
        <v>298</v>
      </c>
      <c r="E449" s="230">
        <v>46066</v>
      </c>
      <c r="F449" s="230">
        <v>46066</v>
      </c>
      <c r="G449" s="224">
        <v>4</v>
      </c>
      <c r="H449" s="219">
        <v>4</v>
      </c>
      <c r="I449" s="237">
        <f>SUM(N449:AB449)</f>
        <v>0</v>
      </c>
      <c r="J449" s="221">
        <f t="shared" si="19"/>
        <v>0</v>
      </c>
      <c r="K449" s="216">
        <v>1</v>
      </c>
      <c r="L449" s="221" t="str">
        <f t="shared" si="20"/>
        <v>Normal</v>
      </c>
      <c r="M449" s="224"/>
      <c r="N449" s="216"/>
      <c r="O449" s="216"/>
      <c r="P449" s="216"/>
      <c r="Q449" s="216"/>
      <c r="R449" s="216"/>
      <c r="S449" s="216"/>
      <c r="T449" s="250"/>
      <c r="U449" s="222"/>
      <c r="V449" s="222"/>
      <c r="W449" s="227"/>
      <c r="X449" s="227"/>
      <c r="Y449" s="227"/>
      <c r="Z449" s="227"/>
      <c r="AA449" s="227"/>
      <c r="AB449" s="227"/>
      <c r="AC449" s="227"/>
      <c r="AD449" s="227"/>
      <c r="AE449" s="227"/>
      <c r="AF449" s="227"/>
      <c r="AG449" s="227"/>
      <c r="AH449" s="227"/>
      <c r="AI449" s="227"/>
      <c r="AJ449" s="227"/>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row>
    <row r="450" spans="1:66" ht="50.25" hidden="1" customHeight="1">
      <c r="A450" s="224" t="s">
        <v>250</v>
      </c>
      <c r="B450" s="224" t="s">
        <v>1043</v>
      </c>
      <c r="C450" s="215" t="s">
        <v>1044</v>
      </c>
      <c r="D450" s="216" t="s">
        <v>298</v>
      </c>
      <c r="E450" s="230">
        <v>46066</v>
      </c>
      <c r="F450" s="230">
        <v>46066</v>
      </c>
      <c r="G450" s="224">
        <v>3</v>
      </c>
      <c r="H450" s="219">
        <v>3</v>
      </c>
      <c r="I450" s="237">
        <f>SUM(N450:AB450)</f>
        <v>0</v>
      </c>
      <c r="J450" s="221">
        <f t="shared" si="19"/>
        <v>0</v>
      </c>
      <c r="K450" s="216">
        <v>1</v>
      </c>
      <c r="L450" s="221" t="str">
        <f t="shared" si="20"/>
        <v>Normal</v>
      </c>
      <c r="M450" s="224"/>
      <c r="N450" s="216"/>
      <c r="O450" s="216"/>
      <c r="P450" s="216"/>
      <c r="Q450" s="216"/>
      <c r="R450" s="216"/>
      <c r="S450" s="216"/>
      <c r="T450" s="250"/>
      <c r="U450" s="222"/>
      <c r="V450" s="222"/>
      <c r="W450" s="227"/>
      <c r="X450" s="227"/>
      <c r="Y450" s="227"/>
      <c r="Z450" s="227"/>
      <c r="AA450" s="227"/>
      <c r="AB450" s="227"/>
      <c r="AC450" s="227"/>
      <c r="AD450" s="227"/>
      <c r="AE450" s="227"/>
      <c r="AF450" s="227"/>
      <c r="AG450" s="227"/>
      <c r="AH450" s="227"/>
      <c r="AI450" s="227"/>
      <c r="AJ450" s="227"/>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row>
    <row r="451" spans="1:66" ht="50.25" hidden="1" customHeight="1">
      <c r="A451" s="224" t="s">
        <v>250</v>
      </c>
      <c r="B451" s="224" t="s">
        <v>1045</v>
      </c>
      <c r="C451" s="215" t="s">
        <v>1046</v>
      </c>
      <c r="D451" s="216" t="s">
        <v>298</v>
      </c>
      <c r="E451" s="230">
        <v>46071</v>
      </c>
      <c r="F451" s="230">
        <v>46071</v>
      </c>
      <c r="G451" s="224">
        <v>20</v>
      </c>
      <c r="H451" s="219">
        <v>26</v>
      </c>
      <c r="I451" s="237">
        <f>SUM(N451:AB451)</f>
        <v>0</v>
      </c>
      <c r="J451" s="221">
        <f t="shared" ref="J451:J514" si="21">IFERROR((H451+I451-G451)/G451,"")</f>
        <v>0.3</v>
      </c>
      <c r="K451" s="216">
        <v>1</v>
      </c>
      <c r="L451" s="221" t="str">
        <f t="shared" ref="L451:L514" si="22">IF(OR(J451="",J451="Sin estimado"),"Sin estimación",IF(J451&gt;=30%,"Desviado","Normal"))</f>
        <v>Desviado</v>
      </c>
      <c r="M451" s="224"/>
      <c r="N451" s="216"/>
      <c r="O451" s="216"/>
      <c r="P451" s="216"/>
      <c r="Q451" s="216"/>
      <c r="R451" s="216"/>
      <c r="S451" s="216"/>
      <c r="T451" s="250"/>
      <c r="U451" s="222"/>
      <c r="V451" s="222"/>
      <c r="W451" s="227"/>
      <c r="X451" s="227"/>
      <c r="Y451" s="227"/>
      <c r="Z451" s="227"/>
      <c r="AA451" s="227"/>
      <c r="AB451" s="227"/>
      <c r="AC451" s="227"/>
      <c r="AD451" s="227"/>
      <c r="AE451" s="227"/>
      <c r="AF451" s="227"/>
      <c r="AG451" s="227"/>
      <c r="AH451" s="227"/>
      <c r="AI451" s="227"/>
      <c r="AJ451" s="227"/>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row>
    <row r="452" spans="1:66" ht="50.25" hidden="1" customHeight="1">
      <c r="A452" s="224" t="s">
        <v>250</v>
      </c>
      <c r="B452" s="224" t="s">
        <v>1047</v>
      </c>
      <c r="C452" s="215" t="s">
        <v>1048</v>
      </c>
      <c r="D452" s="216" t="s">
        <v>298</v>
      </c>
      <c r="E452" s="230">
        <v>46069</v>
      </c>
      <c r="F452" s="230">
        <v>46070</v>
      </c>
      <c r="G452" s="224">
        <v>4</v>
      </c>
      <c r="H452" s="219">
        <v>4</v>
      </c>
      <c r="I452" s="237">
        <f>SUM(N452:AB452)</f>
        <v>0</v>
      </c>
      <c r="J452" s="221">
        <f t="shared" si="21"/>
        <v>0</v>
      </c>
      <c r="K452" s="216">
        <v>1</v>
      </c>
      <c r="L452" s="221" t="str">
        <f t="shared" si="22"/>
        <v>Normal</v>
      </c>
      <c r="M452" s="224"/>
      <c r="N452" s="216"/>
      <c r="O452" s="216"/>
      <c r="P452" s="216"/>
      <c r="Q452" s="216"/>
      <c r="R452" s="216"/>
      <c r="S452" s="216"/>
      <c r="T452" s="250"/>
      <c r="U452" s="222"/>
      <c r="V452" s="222"/>
      <c r="W452" s="227"/>
      <c r="X452" s="227"/>
      <c r="Y452" s="227"/>
      <c r="Z452" s="227"/>
      <c r="AA452" s="227"/>
      <c r="AB452" s="227"/>
      <c r="AC452" s="227"/>
      <c r="AD452" s="227"/>
      <c r="AE452" s="227"/>
      <c r="AF452" s="227"/>
      <c r="AG452" s="227"/>
      <c r="AH452" s="227"/>
      <c r="AI452" s="227"/>
      <c r="AJ452" s="227"/>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row>
    <row r="453" spans="1:66" ht="50.25" hidden="1" customHeight="1">
      <c r="A453" s="224" t="s">
        <v>250</v>
      </c>
      <c r="B453" s="224" t="s">
        <v>1049</v>
      </c>
      <c r="C453" s="215" t="s">
        <v>1050</v>
      </c>
      <c r="D453" s="216" t="s">
        <v>298</v>
      </c>
      <c r="E453" s="230">
        <v>46080</v>
      </c>
      <c r="F453" s="230">
        <v>46074</v>
      </c>
      <c r="G453" s="224">
        <v>16</v>
      </c>
      <c r="H453" s="219">
        <v>18</v>
      </c>
      <c r="I453" s="237">
        <f>SUM(N453:AB453)</f>
        <v>0</v>
      </c>
      <c r="J453" s="221">
        <f t="shared" si="21"/>
        <v>0.125</v>
      </c>
      <c r="K453" s="216">
        <v>1</v>
      </c>
      <c r="L453" s="221" t="str">
        <f t="shared" si="22"/>
        <v>Normal</v>
      </c>
      <c r="M453" s="224"/>
      <c r="N453" s="216"/>
      <c r="O453" s="216"/>
      <c r="P453" s="216"/>
      <c r="Q453" s="216"/>
      <c r="R453" s="216"/>
      <c r="S453" s="216"/>
      <c r="T453" s="250"/>
      <c r="U453" s="222"/>
      <c r="V453" s="222"/>
      <c r="W453" s="227"/>
      <c r="X453" s="227"/>
      <c r="Y453" s="227"/>
      <c r="Z453" s="227"/>
      <c r="AA453" s="227"/>
      <c r="AB453" s="227"/>
      <c r="AC453" s="227"/>
      <c r="AD453" s="227"/>
      <c r="AE453" s="227"/>
      <c r="AF453" s="227"/>
      <c r="AG453" s="227"/>
      <c r="AH453" s="227"/>
      <c r="AI453" s="227"/>
      <c r="AJ453" s="227"/>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row>
    <row r="454" spans="1:66" ht="50.25" hidden="1" customHeight="1">
      <c r="A454" s="224" t="s">
        <v>250</v>
      </c>
      <c r="B454" s="224" t="s">
        <v>1051</v>
      </c>
      <c r="C454" s="215" t="s">
        <v>1052</v>
      </c>
      <c r="D454" s="216" t="s">
        <v>298</v>
      </c>
      <c r="E454" s="230">
        <v>46083</v>
      </c>
      <c r="F454" s="230">
        <v>46080</v>
      </c>
      <c r="G454" s="224">
        <v>26</v>
      </c>
      <c r="H454" s="219">
        <v>37</v>
      </c>
      <c r="I454" s="237">
        <f>SUM(N454:AB454)</f>
        <v>0</v>
      </c>
      <c r="J454" s="221">
        <f t="shared" si="21"/>
        <v>0.42307692307692307</v>
      </c>
      <c r="K454" s="216">
        <v>1</v>
      </c>
      <c r="L454" s="221" t="str">
        <f t="shared" si="22"/>
        <v>Desviado</v>
      </c>
      <c r="M454" s="221"/>
      <c r="N454" s="216"/>
      <c r="O454" s="216"/>
      <c r="P454" s="216"/>
      <c r="Q454" s="216"/>
      <c r="R454" s="216"/>
      <c r="S454" s="216"/>
      <c r="T454" s="250"/>
      <c r="U454" s="222"/>
      <c r="V454" s="222"/>
      <c r="W454" s="227"/>
      <c r="X454" s="227"/>
      <c r="Y454" s="227"/>
      <c r="Z454" s="227"/>
      <c r="AA454" s="227"/>
      <c r="AB454" s="227"/>
      <c r="AC454" s="227"/>
      <c r="AD454" s="227"/>
      <c r="AE454" s="227"/>
      <c r="AF454" s="227"/>
      <c r="AG454" s="227"/>
      <c r="AH454" s="227"/>
      <c r="AI454" s="227"/>
      <c r="AJ454" s="227"/>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row>
    <row r="455" spans="1:66" ht="50.25" hidden="1" customHeight="1">
      <c r="A455" s="224" t="s">
        <v>250</v>
      </c>
      <c r="B455" s="224" t="s">
        <v>1053</v>
      </c>
      <c r="C455" s="215" t="s">
        <v>1054</v>
      </c>
      <c r="D455" s="216" t="s">
        <v>298</v>
      </c>
      <c r="E455" s="230">
        <v>46076</v>
      </c>
      <c r="F455" s="230">
        <v>46074</v>
      </c>
      <c r="G455" s="224">
        <v>2.2999999999999998</v>
      </c>
      <c r="H455" s="219">
        <v>0</v>
      </c>
      <c r="I455" s="237">
        <f>SUM(N455:AB455)</f>
        <v>0</v>
      </c>
      <c r="J455" s="221">
        <f t="shared" si="21"/>
        <v>-1</v>
      </c>
      <c r="K455" s="216">
        <v>1</v>
      </c>
      <c r="L455" s="221" t="str">
        <f t="shared" si="22"/>
        <v>Normal</v>
      </c>
      <c r="M455" s="224"/>
      <c r="N455" s="216"/>
      <c r="O455" s="216"/>
      <c r="P455" s="216"/>
      <c r="Q455" s="216"/>
      <c r="R455" s="216"/>
      <c r="S455" s="216"/>
      <c r="T455" s="250"/>
      <c r="U455" s="222"/>
      <c r="V455" s="222"/>
      <c r="W455" s="227"/>
      <c r="X455" s="227"/>
      <c r="Y455" s="227"/>
      <c r="Z455" s="227"/>
      <c r="AA455" s="227"/>
      <c r="AB455" s="227"/>
      <c r="AC455" s="227"/>
      <c r="AD455" s="227"/>
      <c r="AE455" s="227"/>
      <c r="AF455" s="227"/>
      <c r="AG455" s="227"/>
      <c r="AH455" s="227"/>
      <c r="AI455" s="227"/>
      <c r="AJ455" s="227"/>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row>
    <row r="456" spans="1:66" ht="50.25" hidden="1" customHeight="1">
      <c r="A456" s="224" t="s">
        <v>250</v>
      </c>
      <c r="B456" s="224" t="s">
        <v>1055</v>
      </c>
      <c r="C456" s="215" t="s">
        <v>1056</v>
      </c>
      <c r="D456" s="216" t="s">
        <v>298</v>
      </c>
      <c r="E456" s="230">
        <v>46076</v>
      </c>
      <c r="F456" s="230">
        <v>46074</v>
      </c>
      <c r="G456" s="224">
        <v>1.3</v>
      </c>
      <c r="H456" s="219">
        <v>0</v>
      </c>
      <c r="I456" s="237">
        <f>SUM(N456:AB456)</f>
        <v>0</v>
      </c>
      <c r="J456" s="221">
        <f t="shared" si="21"/>
        <v>-1</v>
      </c>
      <c r="K456" s="216">
        <v>1</v>
      </c>
      <c r="L456" s="221" t="str">
        <f t="shared" si="22"/>
        <v>Normal</v>
      </c>
      <c r="M456" s="224"/>
      <c r="N456" s="216"/>
      <c r="O456" s="216"/>
      <c r="P456" s="216"/>
      <c r="Q456" s="216"/>
      <c r="R456" s="216"/>
      <c r="S456" s="216"/>
      <c r="T456" s="250"/>
      <c r="U456" s="222"/>
      <c r="V456" s="222"/>
      <c r="W456" s="227"/>
      <c r="X456" s="227"/>
      <c r="Y456" s="227"/>
      <c r="Z456" s="227"/>
      <c r="AA456" s="227"/>
      <c r="AB456" s="227"/>
      <c r="AC456" s="227"/>
      <c r="AD456" s="227"/>
      <c r="AE456" s="227"/>
      <c r="AF456" s="227"/>
      <c r="AG456" s="227"/>
      <c r="AH456" s="227"/>
      <c r="AI456" s="227"/>
      <c r="AJ456" s="227"/>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row>
    <row r="457" spans="1:66" ht="50.25" hidden="1" customHeight="1">
      <c r="A457" s="224" t="s">
        <v>250</v>
      </c>
      <c r="B457" s="224" t="s">
        <v>1057</v>
      </c>
      <c r="C457" s="215" t="s">
        <v>1058</v>
      </c>
      <c r="D457" s="216" t="s">
        <v>298</v>
      </c>
      <c r="E457" s="230">
        <v>46078</v>
      </c>
      <c r="F457" s="230">
        <v>46080</v>
      </c>
      <c r="G457" s="224">
        <v>4</v>
      </c>
      <c r="H457" s="219">
        <v>4</v>
      </c>
      <c r="I457" s="237">
        <f>SUM(N457:AB457)</f>
        <v>0</v>
      </c>
      <c r="J457" s="221">
        <f t="shared" si="21"/>
        <v>0</v>
      </c>
      <c r="K457" s="216">
        <v>1</v>
      </c>
      <c r="L457" s="221" t="str">
        <f t="shared" si="22"/>
        <v>Normal</v>
      </c>
      <c r="M457" s="224"/>
      <c r="N457" s="216"/>
      <c r="O457" s="216"/>
      <c r="P457" s="216"/>
      <c r="Q457" s="216"/>
      <c r="R457" s="216"/>
      <c r="S457" s="216"/>
      <c r="T457" s="250"/>
      <c r="U457" s="222"/>
      <c r="V457" s="222"/>
      <c r="W457" s="227"/>
      <c r="X457" s="227"/>
      <c r="Y457" s="227"/>
      <c r="Z457" s="227"/>
      <c r="AA457" s="227"/>
      <c r="AB457" s="227"/>
      <c r="AC457" s="227"/>
      <c r="AD457" s="227"/>
      <c r="AE457" s="227"/>
      <c r="AF457" s="227"/>
      <c r="AG457" s="227"/>
      <c r="AH457" s="227"/>
      <c r="AI457" s="227"/>
      <c r="AJ457" s="227"/>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row>
    <row r="458" spans="1:66" ht="50.25" hidden="1" customHeight="1">
      <c r="A458" s="224" t="s">
        <v>250</v>
      </c>
      <c r="B458" s="224" t="s">
        <v>1059</v>
      </c>
      <c r="C458" s="215" t="s">
        <v>1060</v>
      </c>
      <c r="D458" s="216" t="s">
        <v>298</v>
      </c>
      <c r="E458" s="230">
        <v>46080</v>
      </c>
      <c r="F458" s="230">
        <v>46080</v>
      </c>
      <c r="G458" s="224">
        <v>8</v>
      </c>
      <c r="H458" s="219">
        <v>10</v>
      </c>
      <c r="I458" s="237">
        <f>SUM(N458:AB458)</f>
        <v>0</v>
      </c>
      <c r="J458" s="221">
        <f t="shared" si="21"/>
        <v>0.25</v>
      </c>
      <c r="K458" s="216">
        <v>1</v>
      </c>
      <c r="L458" s="221" t="str">
        <f t="shared" si="22"/>
        <v>Normal</v>
      </c>
      <c r="M458" s="224"/>
      <c r="N458" s="216"/>
      <c r="O458" s="216"/>
      <c r="P458" s="216"/>
      <c r="Q458" s="216"/>
      <c r="R458" s="216"/>
      <c r="S458" s="216"/>
      <c r="T458" s="250"/>
      <c r="U458" s="222"/>
      <c r="V458" s="222"/>
      <c r="W458" s="227"/>
      <c r="X458" s="227"/>
      <c r="Y458" s="227"/>
      <c r="Z458" s="227"/>
      <c r="AA458" s="227"/>
      <c r="AB458" s="227"/>
      <c r="AC458" s="227"/>
      <c r="AD458" s="227"/>
      <c r="AE458" s="227"/>
      <c r="AF458" s="227"/>
      <c r="AG458" s="227"/>
      <c r="AH458" s="227"/>
      <c r="AI458" s="227"/>
      <c r="AJ458" s="227"/>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row>
    <row r="459" spans="1:66" ht="50.25" hidden="1" customHeight="1">
      <c r="A459" s="224" t="s">
        <v>250</v>
      </c>
      <c r="B459" s="224" t="s">
        <v>1061</v>
      </c>
      <c r="C459" s="215" t="s">
        <v>1062</v>
      </c>
      <c r="D459" s="216" t="s">
        <v>196</v>
      </c>
      <c r="E459" s="230">
        <v>46094</v>
      </c>
      <c r="F459" s="230"/>
      <c r="G459" s="224">
        <v>40</v>
      </c>
      <c r="H459" s="219">
        <v>30</v>
      </c>
      <c r="I459" s="237">
        <f>SUM(N459:AB459)</f>
        <v>0</v>
      </c>
      <c r="J459" s="221">
        <f t="shared" si="21"/>
        <v>-0.25</v>
      </c>
      <c r="K459" s="224">
        <v>0</v>
      </c>
      <c r="L459" s="221" t="str">
        <f t="shared" si="22"/>
        <v>Normal</v>
      </c>
      <c r="M459" s="224"/>
      <c r="N459" s="224"/>
      <c r="O459" s="224"/>
      <c r="P459" s="224"/>
      <c r="Q459" s="224"/>
      <c r="R459" s="224"/>
      <c r="S459" s="224"/>
      <c r="T459" s="218"/>
      <c r="U459" s="224"/>
      <c r="V459" s="224"/>
      <c r="W459" s="225"/>
      <c r="X459" s="225"/>
      <c r="Y459" s="225"/>
      <c r="Z459" s="225"/>
      <c r="AA459" s="225"/>
      <c r="AB459" s="225"/>
      <c r="AC459" s="225"/>
      <c r="AD459" s="225"/>
      <c r="AE459" s="225"/>
      <c r="AF459" s="225"/>
      <c r="AG459" s="225"/>
      <c r="AH459" s="225"/>
      <c r="AI459" s="225"/>
      <c r="AJ459" s="225"/>
      <c r="AK459" s="51"/>
      <c r="AL459" s="51"/>
      <c r="AM459" s="51"/>
      <c r="AN459" s="51"/>
      <c r="AO459" s="51"/>
      <c r="AP459" s="51"/>
      <c r="AQ459" s="51"/>
      <c r="AR459" s="51"/>
    </row>
    <row r="460" spans="1:66" ht="50.25" hidden="1" customHeight="1">
      <c r="A460" s="224" t="s">
        <v>250</v>
      </c>
      <c r="B460" s="224" t="s">
        <v>739</v>
      </c>
      <c r="C460" s="215" t="s">
        <v>740</v>
      </c>
      <c r="D460" s="216" t="s">
        <v>298</v>
      </c>
      <c r="E460" s="230">
        <v>46112</v>
      </c>
      <c r="F460" s="230">
        <v>46112</v>
      </c>
      <c r="G460" s="224">
        <v>10.5</v>
      </c>
      <c r="H460" s="219">
        <v>0</v>
      </c>
      <c r="I460" s="237">
        <f>SUM(N460:AB460)</f>
        <v>0</v>
      </c>
      <c r="J460" s="221">
        <f t="shared" si="21"/>
        <v>-1</v>
      </c>
      <c r="K460" s="224">
        <v>0</v>
      </c>
      <c r="L460" s="221" t="str">
        <f t="shared" si="22"/>
        <v>Normal</v>
      </c>
      <c r="M460" s="224"/>
      <c r="N460" s="216"/>
      <c r="O460" s="216"/>
      <c r="P460" s="216"/>
      <c r="Q460" s="216"/>
      <c r="R460" s="216"/>
      <c r="S460" s="216"/>
      <c r="T460" s="216"/>
      <c r="U460" s="224"/>
      <c r="V460" s="224"/>
      <c r="W460" s="225"/>
      <c r="X460" s="225"/>
      <c r="Y460" s="225"/>
      <c r="Z460" s="225"/>
      <c r="AA460" s="225"/>
      <c r="AB460" s="225"/>
      <c r="AC460" s="225"/>
      <c r="AD460" s="225"/>
      <c r="AE460" s="225"/>
      <c r="AF460" s="225"/>
      <c r="AG460" s="225"/>
      <c r="AH460" s="225"/>
      <c r="AI460" s="225"/>
      <c r="AJ460" s="225"/>
      <c r="AK460" s="51"/>
      <c r="AL460" s="51"/>
      <c r="AM460" s="51"/>
      <c r="AN460" s="51"/>
      <c r="AO460" s="51"/>
      <c r="AP460" s="51"/>
      <c r="AQ460" s="51"/>
      <c r="AR460" s="51"/>
    </row>
    <row r="461" spans="1:66" ht="50.25" hidden="1" customHeight="1">
      <c r="A461" s="224" t="s">
        <v>250</v>
      </c>
      <c r="B461" s="224" t="s">
        <v>1063</v>
      </c>
      <c r="C461" s="215" t="s">
        <v>1064</v>
      </c>
      <c r="D461" s="216" t="s">
        <v>106</v>
      </c>
      <c r="E461" s="230">
        <v>46086</v>
      </c>
      <c r="F461" s="230">
        <v>46086</v>
      </c>
      <c r="G461" s="224">
        <v>16</v>
      </c>
      <c r="H461" s="219">
        <v>16</v>
      </c>
      <c r="I461" s="237">
        <f>SUM(N461:AB461)</f>
        <v>0</v>
      </c>
      <c r="J461" s="221">
        <f t="shared" si="21"/>
        <v>0</v>
      </c>
      <c r="K461" s="224">
        <v>0</v>
      </c>
      <c r="L461" s="221" t="str">
        <f t="shared" si="22"/>
        <v>Normal</v>
      </c>
      <c r="M461" s="224"/>
      <c r="N461" s="216"/>
      <c r="O461" s="216"/>
      <c r="P461" s="216"/>
      <c r="Q461" s="224"/>
      <c r="R461" s="224"/>
      <c r="S461" s="224"/>
      <c r="T461" s="218"/>
      <c r="U461" s="224"/>
      <c r="V461" s="224"/>
      <c r="W461" s="225"/>
      <c r="X461" s="225"/>
      <c r="Y461" s="225"/>
      <c r="Z461" s="225"/>
      <c r="AA461" s="225"/>
      <c r="AB461" s="225"/>
      <c r="AC461" s="225"/>
      <c r="AD461" s="225"/>
      <c r="AE461" s="225"/>
      <c r="AF461" s="225"/>
      <c r="AG461" s="225"/>
      <c r="AH461" s="225"/>
      <c r="AI461" s="225"/>
      <c r="AJ461" s="225"/>
      <c r="AK461" s="51"/>
      <c r="AL461" s="51"/>
      <c r="AM461" s="51"/>
      <c r="AN461" s="51"/>
      <c r="AO461" s="51"/>
      <c r="AP461" s="51"/>
      <c r="AQ461" s="51"/>
      <c r="AR461" s="51"/>
    </row>
    <row r="462" spans="1:66" ht="50.25" hidden="1" customHeight="1">
      <c r="A462" s="224" t="s">
        <v>250</v>
      </c>
      <c r="B462" s="224" t="s">
        <v>1065</v>
      </c>
      <c r="C462" s="215" t="s">
        <v>1066</v>
      </c>
      <c r="D462" s="216" t="s">
        <v>298</v>
      </c>
      <c r="E462" s="230">
        <v>46101</v>
      </c>
      <c r="F462" s="230">
        <v>46101</v>
      </c>
      <c r="G462" s="224">
        <v>4</v>
      </c>
      <c r="H462" s="219">
        <v>4</v>
      </c>
      <c r="I462" s="237">
        <f>SUM(N462:AB462)</f>
        <v>0</v>
      </c>
      <c r="J462" s="221">
        <f t="shared" si="21"/>
        <v>0</v>
      </c>
      <c r="K462" s="224">
        <v>0</v>
      </c>
      <c r="L462" s="221" t="str">
        <f t="shared" si="22"/>
        <v>Normal</v>
      </c>
      <c r="M462" s="224"/>
      <c r="N462" s="216"/>
      <c r="O462" s="216"/>
      <c r="P462" s="216"/>
      <c r="Q462" s="224"/>
      <c r="R462" s="224"/>
      <c r="S462" s="224"/>
      <c r="T462" s="218"/>
      <c r="U462" s="224"/>
      <c r="V462" s="224"/>
      <c r="W462" s="225"/>
      <c r="X462" s="225"/>
      <c r="Y462" s="225"/>
      <c r="Z462" s="225"/>
      <c r="AA462" s="225"/>
      <c r="AB462" s="225"/>
      <c r="AC462" s="225"/>
      <c r="AD462" s="225"/>
      <c r="AE462" s="225"/>
      <c r="AF462" s="225"/>
      <c r="AG462" s="225"/>
      <c r="AH462" s="225"/>
      <c r="AI462" s="225"/>
      <c r="AJ462" s="225"/>
      <c r="AK462" s="51"/>
      <c r="AL462" s="51"/>
      <c r="AM462" s="51"/>
      <c r="AN462" s="51"/>
      <c r="AO462" s="51"/>
      <c r="AP462" s="51"/>
      <c r="AQ462" s="51"/>
      <c r="AR462" s="51"/>
    </row>
    <row r="463" spans="1:66" ht="50.25" hidden="1" customHeight="1">
      <c r="A463" s="224" t="s">
        <v>250</v>
      </c>
      <c r="B463" s="224" t="s">
        <v>1067</v>
      </c>
      <c r="C463" s="215" t="s">
        <v>1068</v>
      </c>
      <c r="D463" s="216" t="s">
        <v>106</v>
      </c>
      <c r="E463" s="230">
        <v>46133</v>
      </c>
      <c r="F463" s="230">
        <v>46106</v>
      </c>
      <c r="G463" s="224">
        <v>44</v>
      </c>
      <c r="H463" s="219">
        <v>42</v>
      </c>
      <c r="I463" s="237">
        <f>SUM(N463:AB463)</f>
        <v>0</v>
      </c>
      <c r="J463" s="221">
        <f t="shared" si="21"/>
        <v>-4.5454545454545456E-2</v>
      </c>
      <c r="K463" s="224">
        <v>0</v>
      </c>
      <c r="L463" s="221" t="str">
        <f t="shared" si="22"/>
        <v>Normal</v>
      </c>
      <c r="M463" s="224"/>
      <c r="N463" s="216"/>
      <c r="O463" s="216"/>
      <c r="P463" s="216"/>
      <c r="Q463" s="224"/>
      <c r="R463" s="224"/>
      <c r="S463" s="224"/>
      <c r="T463" s="218"/>
      <c r="U463" s="224"/>
      <c r="V463" s="224"/>
      <c r="W463" s="225"/>
      <c r="X463" s="225"/>
      <c r="Y463" s="225"/>
      <c r="Z463" s="225"/>
      <c r="AA463" s="225"/>
      <c r="AB463" s="225"/>
      <c r="AC463" s="225"/>
      <c r="AD463" s="225"/>
      <c r="AE463" s="225"/>
      <c r="AF463" s="225"/>
      <c r="AG463" s="225"/>
      <c r="AH463" s="225"/>
      <c r="AI463" s="225"/>
      <c r="AJ463" s="225"/>
      <c r="AK463" s="51"/>
      <c r="AL463" s="51"/>
      <c r="AM463" s="51"/>
      <c r="AN463" s="51"/>
      <c r="AO463" s="51"/>
      <c r="AP463" s="51"/>
      <c r="AQ463" s="51"/>
      <c r="AR463" s="51"/>
    </row>
    <row r="464" spans="1:66" ht="50.25" hidden="1" customHeight="1">
      <c r="A464" s="224" t="s">
        <v>250</v>
      </c>
      <c r="B464" s="224" t="s">
        <v>1069</v>
      </c>
      <c r="C464" s="215" t="s">
        <v>1070</v>
      </c>
      <c r="D464" s="216" t="s">
        <v>106</v>
      </c>
      <c r="E464" s="230">
        <v>46101</v>
      </c>
      <c r="F464" s="230">
        <v>46101</v>
      </c>
      <c r="G464" s="224">
        <v>10</v>
      </c>
      <c r="H464" s="219">
        <v>12</v>
      </c>
      <c r="I464" s="237">
        <f>SUM(N464:AB464)</f>
        <v>0</v>
      </c>
      <c r="J464" s="221">
        <f t="shared" si="21"/>
        <v>0.2</v>
      </c>
      <c r="K464" s="224">
        <v>0</v>
      </c>
      <c r="L464" s="221" t="str">
        <f t="shared" si="22"/>
        <v>Normal</v>
      </c>
      <c r="M464" s="224"/>
      <c r="N464" s="216"/>
      <c r="O464" s="216"/>
      <c r="P464" s="216"/>
      <c r="Q464" s="224"/>
      <c r="R464" s="224"/>
      <c r="S464" s="224"/>
      <c r="T464" s="218"/>
      <c r="U464" s="224"/>
      <c r="V464" s="224"/>
      <c r="W464" s="225"/>
      <c r="X464" s="225"/>
      <c r="Y464" s="225"/>
      <c r="Z464" s="225"/>
      <c r="AA464" s="225"/>
      <c r="AB464" s="225"/>
      <c r="AC464" s="225"/>
      <c r="AD464" s="225"/>
      <c r="AE464" s="225"/>
      <c r="AF464" s="225"/>
      <c r="AG464" s="225"/>
      <c r="AH464" s="225"/>
      <c r="AI464" s="225"/>
      <c r="AJ464" s="225"/>
      <c r="AK464" s="51"/>
      <c r="AL464" s="51"/>
      <c r="AM464" s="51"/>
      <c r="AN464" s="51"/>
      <c r="AO464" s="51"/>
      <c r="AP464" s="51"/>
      <c r="AQ464" s="51"/>
      <c r="AR464" s="51"/>
    </row>
    <row r="465" spans="1:44" ht="50.25" hidden="1" customHeight="1">
      <c r="A465" s="224" t="s">
        <v>250</v>
      </c>
      <c r="B465" s="224" t="s">
        <v>1071</v>
      </c>
      <c r="C465" s="215" t="s">
        <v>1072</v>
      </c>
      <c r="D465" s="216" t="s">
        <v>298</v>
      </c>
      <c r="E465" s="230">
        <v>46101</v>
      </c>
      <c r="F465" s="230">
        <v>46101</v>
      </c>
      <c r="G465" s="224">
        <v>6</v>
      </c>
      <c r="H465" s="219">
        <v>6</v>
      </c>
      <c r="I465" s="237">
        <f>SUM(N465:AB465)</f>
        <v>0</v>
      </c>
      <c r="J465" s="221">
        <f t="shared" si="21"/>
        <v>0</v>
      </c>
      <c r="K465" s="224">
        <v>0</v>
      </c>
      <c r="L465" s="221" t="str">
        <f t="shared" si="22"/>
        <v>Normal</v>
      </c>
      <c r="M465" s="224"/>
      <c r="N465" s="216"/>
      <c r="O465" s="216"/>
      <c r="P465" s="216"/>
      <c r="Q465" s="224"/>
      <c r="R465" s="224"/>
      <c r="S465" s="224"/>
      <c r="T465" s="218"/>
      <c r="U465" s="224"/>
      <c r="V465" s="224"/>
      <c r="W465" s="225"/>
      <c r="X465" s="225"/>
      <c r="Y465" s="225"/>
      <c r="Z465" s="225"/>
      <c r="AA465" s="225"/>
      <c r="AB465" s="225"/>
      <c r="AC465" s="225"/>
      <c r="AD465" s="225"/>
      <c r="AE465" s="225"/>
      <c r="AF465" s="225"/>
      <c r="AG465" s="225"/>
      <c r="AH465" s="225"/>
      <c r="AI465" s="225"/>
      <c r="AJ465" s="225"/>
      <c r="AK465" s="51"/>
      <c r="AL465" s="51"/>
      <c r="AM465" s="51"/>
      <c r="AN465" s="51"/>
      <c r="AO465" s="51"/>
      <c r="AP465" s="51"/>
      <c r="AQ465" s="51"/>
      <c r="AR465" s="51"/>
    </row>
    <row r="466" spans="1:44" ht="50.25" hidden="1" customHeight="1">
      <c r="A466" s="224" t="s">
        <v>250</v>
      </c>
      <c r="B466" s="224" t="s">
        <v>1073</v>
      </c>
      <c r="C466" s="215" t="s">
        <v>1074</v>
      </c>
      <c r="D466" s="216" t="s">
        <v>298</v>
      </c>
      <c r="E466" s="230">
        <v>46107</v>
      </c>
      <c r="F466" s="230">
        <v>46107</v>
      </c>
      <c r="G466" s="224">
        <v>4</v>
      </c>
      <c r="H466" s="219">
        <v>5</v>
      </c>
      <c r="I466" s="237">
        <f>SUM(N466:AB466)</f>
        <v>0</v>
      </c>
      <c r="J466" s="221">
        <f t="shared" si="21"/>
        <v>0.25</v>
      </c>
      <c r="K466" s="224">
        <v>0</v>
      </c>
      <c r="L466" s="221" t="str">
        <f t="shared" si="22"/>
        <v>Normal</v>
      </c>
      <c r="M466" s="224"/>
      <c r="N466" s="216"/>
      <c r="O466" s="216"/>
      <c r="P466" s="216"/>
      <c r="Q466" s="224"/>
      <c r="R466" s="224"/>
      <c r="S466" s="224"/>
      <c r="T466" s="218"/>
      <c r="U466" s="224"/>
      <c r="V466" s="224"/>
      <c r="W466" s="225"/>
      <c r="X466" s="225"/>
      <c r="Y466" s="225"/>
      <c r="Z466" s="225"/>
      <c r="AA466" s="225"/>
      <c r="AB466" s="225"/>
      <c r="AC466" s="225"/>
      <c r="AD466" s="225"/>
      <c r="AE466" s="225"/>
      <c r="AF466" s="225"/>
      <c r="AG466" s="225"/>
      <c r="AH466" s="225"/>
      <c r="AI466" s="225"/>
      <c r="AJ466" s="225"/>
      <c r="AK466" s="51"/>
      <c r="AL466" s="51"/>
      <c r="AM466" s="51"/>
      <c r="AN466" s="51"/>
      <c r="AO466" s="51"/>
      <c r="AP466" s="51"/>
      <c r="AQ466" s="51"/>
      <c r="AR466" s="51"/>
    </row>
    <row r="467" spans="1:44" ht="50.25" hidden="1" customHeight="1">
      <c r="A467" s="224" t="s">
        <v>250</v>
      </c>
      <c r="B467" s="224" t="s">
        <v>1075</v>
      </c>
      <c r="C467" s="215" t="s">
        <v>1076</v>
      </c>
      <c r="D467" s="216" t="s">
        <v>106</v>
      </c>
      <c r="E467" s="230">
        <v>46120</v>
      </c>
      <c r="F467" s="230">
        <v>46120</v>
      </c>
      <c r="G467" s="224">
        <v>68</v>
      </c>
      <c r="H467" s="219">
        <v>63</v>
      </c>
      <c r="I467" s="237">
        <f>SUM(N467:AB467)</f>
        <v>0</v>
      </c>
      <c r="J467" s="221">
        <f t="shared" si="21"/>
        <v>-7.3529411764705885E-2</v>
      </c>
      <c r="K467" s="224">
        <v>0</v>
      </c>
      <c r="L467" s="221" t="str">
        <f t="shared" si="22"/>
        <v>Normal</v>
      </c>
      <c r="M467" s="224"/>
      <c r="N467" s="216"/>
      <c r="O467" s="216"/>
      <c r="P467" s="216"/>
      <c r="Q467" s="224"/>
      <c r="R467" s="224"/>
      <c r="S467" s="224"/>
      <c r="T467" s="218"/>
      <c r="U467" s="224"/>
      <c r="V467" s="224"/>
      <c r="W467" s="225"/>
      <c r="X467" s="225"/>
      <c r="Y467" s="225"/>
      <c r="Z467" s="225"/>
      <c r="AA467" s="225"/>
      <c r="AB467" s="225"/>
      <c r="AC467" s="225"/>
      <c r="AD467" s="225"/>
      <c r="AE467" s="225"/>
      <c r="AF467" s="225"/>
      <c r="AG467" s="225"/>
      <c r="AH467" s="225"/>
      <c r="AI467" s="225"/>
      <c r="AJ467" s="225"/>
      <c r="AK467" s="51"/>
      <c r="AL467" s="51"/>
      <c r="AM467" s="51"/>
      <c r="AN467" s="51"/>
      <c r="AO467" s="51"/>
      <c r="AP467" s="51"/>
      <c r="AQ467" s="51"/>
      <c r="AR467" s="51"/>
    </row>
    <row r="468" spans="1:44" ht="50.25" hidden="1" customHeight="1">
      <c r="A468" s="234" t="s">
        <v>250</v>
      </c>
      <c r="B468" s="216" t="s">
        <v>1077</v>
      </c>
      <c r="C468" s="215" t="s">
        <v>1078</v>
      </c>
      <c r="D468" s="232" t="s">
        <v>96</v>
      </c>
      <c r="E468" s="230">
        <v>46125</v>
      </c>
      <c r="F468" s="230">
        <v>46120</v>
      </c>
      <c r="G468" s="224">
        <v>24</v>
      </c>
      <c r="H468" s="219">
        <v>28</v>
      </c>
      <c r="I468" s="237">
        <f>SUM(N468:AB468)</f>
        <v>0</v>
      </c>
      <c r="J468" s="221">
        <f t="shared" si="21"/>
        <v>0.16666666666666666</v>
      </c>
      <c r="K468" s="224">
        <v>0</v>
      </c>
      <c r="L468" s="221" t="str">
        <f t="shared" si="22"/>
        <v>Normal</v>
      </c>
      <c r="M468" s="224"/>
      <c r="N468" s="216"/>
      <c r="O468" s="216"/>
      <c r="P468" s="216"/>
      <c r="Q468" s="224"/>
      <c r="R468" s="224"/>
      <c r="S468" s="224"/>
      <c r="T468" s="218"/>
      <c r="U468" s="224"/>
      <c r="V468" s="224"/>
      <c r="W468" s="225"/>
      <c r="X468" s="225"/>
      <c r="Y468" s="225"/>
      <c r="Z468" s="225"/>
      <c r="AA468" s="225"/>
      <c r="AB468" s="225"/>
      <c r="AC468" s="225"/>
      <c r="AD468" s="225"/>
      <c r="AE468" s="225"/>
      <c r="AF468" s="225"/>
      <c r="AG468" s="225"/>
      <c r="AH468" s="225"/>
      <c r="AI468" s="225"/>
      <c r="AJ468" s="225"/>
      <c r="AK468" s="51"/>
      <c r="AL468" s="51"/>
      <c r="AM468" s="51"/>
      <c r="AN468" s="51"/>
      <c r="AO468" s="51"/>
      <c r="AP468" s="51"/>
      <c r="AQ468" s="51"/>
      <c r="AR468" s="51"/>
    </row>
    <row r="469" spans="1:44" ht="50.25" hidden="1" customHeight="1">
      <c r="A469" s="234" t="s">
        <v>250</v>
      </c>
      <c r="B469" s="216" t="s">
        <v>1079</v>
      </c>
      <c r="C469" s="215" t="s">
        <v>1080</v>
      </c>
      <c r="D469" s="232" t="s">
        <v>106</v>
      </c>
      <c r="E469" s="230">
        <v>46125</v>
      </c>
      <c r="F469" s="230">
        <v>46125</v>
      </c>
      <c r="G469" s="224">
        <v>8</v>
      </c>
      <c r="H469" s="219">
        <v>8</v>
      </c>
      <c r="I469" s="237">
        <f>SUM(N469:AB469)</f>
        <v>0</v>
      </c>
      <c r="J469" s="221">
        <f t="shared" si="21"/>
        <v>0</v>
      </c>
      <c r="K469" s="224">
        <v>0</v>
      </c>
      <c r="L469" s="221" t="str">
        <f t="shared" si="22"/>
        <v>Normal</v>
      </c>
      <c r="M469" s="224"/>
      <c r="N469" s="216"/>
      <c r="O469" s="216"/>
      <c r="P469" s="216"/>
      <c r="Q469" s="224"/>
      <c r="R469" s="224"/>
      <c r="S469" s="224"/>
      <c r="T469" s="218"/>
      <c r="U469" s="224"/>
      <c r="V469" s="224"/>
      <c r="W469" s="225"/>
      <c r="X469" s="225"/>
      <c r="Y469" s="225"/>
      <c r="Z469" s="225"/>
      <c r="AA469" s="225"/>
      <c r="AB469" s="225"/>
      <c r="AC469" s="225"/>
      <c r="AD469" s="225"/>
      <c r="AE469" s="225"/>
      <c r="AF469" s="225"/>
      <c r="AG469" s="225"/>
      <c r="AH469" s="225"/>
      <c r="AI469" s="225"/>
      <c r="AJ469" s="225"/>
      <c r="AK469" s="51"/>
      <c r="AL469" s="51"/>
      <c r="AM469" s="51"/>
      <c r="AN469" s="51"/>
      <c r="AO469" s="51"/>
      <c r="AP469" s="51"/>
      <c r="AQ469" s="51"/>
      <c r="AR469" s="51"/>
    </row>
    <row r="470" spans="1:44" ht="50.25" hidden="1" customHeight="1">
      <c r="A470" s="234" t="s">
        <v>250</v>
      </c>
      <c r="B470" s="224" t="s">
        <v>1081</v>
      </c>
      <c r="C470" s="215" t="s">
        <v>1082</v>
      </c>
      <c r="D470" s="216" t="s">
        <v>196</v>
      </c>
      <c r="E470" s="230">
        <v>46125</v>
      </c>
      <c r="F470" s="230"/>
      <c r="G470" s="224">
        <v>24</v>
      </c>
      <c r="H470" s="219">
        <v>16</v>
      </c>
      <c r="I470" s="237">
        <f>SUM(N470:AB470)</f>
        <v>0</v>
      </c>
      <c r="J470" s="221">
        <f t="shared" si="21"/>
        <v>-0.33333333333333331</v>
      </c>
      <c r="K470" s="224">
        <v>0</v>
      </c>
      <c r="L470" s="221" t="str">
        <f t="shared" si="22"/>
        <v>Normal</v>
      </c>
      <c r="M470" s="224"/>
      <c r="N470" s="216"/>
      <c r="O470" s="216"/>
      <c r="P470" s="216"/>
      <c r="Q470" s="224"/>
      <c r="R470" s="224"/>
      <c r="S470" s="224"/>
      <c r="T470" s="218"/>
      <c r="U470" s="224"/>
      <c r="V470" s="224"/>
      <c r="W470" s="225"/>
      <c r="X470" s="225"/>
      <c r="Y470" s="225"/>
      <c r="Z470" s="225"/>
      <c r="AA470" s="225"/>
      <c r="AB470" s="225"/>
      <c r="AC470" s="225"/>
      <c r="AD470" s="225"/>
      <c r="AE470" s="225"/>
      <c r="AF470" s="225"/>
      <c r="AG470" s="225"/>
      <c r="AH470" s="225"/>
      <c r="AI470" s="225"/>
      <c r="AJ470" s="225"/>
      <c r="AK470" s="51"/>
      <c r="AL470" s="51"/>
      <c r="AM470" s="51"/>
      <c r="AN470" s="51"/>
      <c r="AO470" s="51"/>
      <c r="AP470" s="51"/>
      <c r="AQ470" s="51"/>
      <c r="AR470" s="51"/>
    </row>
    <row r="471" spans="1:44" ht="50.25" hidden="1" customHeight="1">
      <c r="A471" s="234" t="s">
        <v>250</v>
      </c>
      <c r="B471" s="224" t="s">
        <v>757</v>
      </c>
      <c r="C471" s="215" t="s">
        <v>758</v>
      </c>
      <c r="D471" s="216" t="s">
        <v>298</v>
      </c>
      <c r="E471" s="230">
        <v>46142</v>
      </c>
      <c r="F471" s="230">
        <v>46142</v>
      </c>
      <c r="G471" s="224">
        <v>10</v>
      </c>
      <c r="H471" s="219">
        <v>0</v>
      </c>
      <c r="I471" s="237">
        <f>SUM(N471:AB471)</f>
        <v>0</v>
      </c>
      <c r="J471" s="221">
        <f t="shared" si="21"/>
        <v>-1</v>
      </c>
      <c r="K471" s="224">
        <v>0</v>
      </c>
      <c r="L471" s="221" t="str">
        <f t="shared" si="22"/>
        <v>Normal</v>
      </c>
      <c r="M471" s="224"/>
      <c r="N471" s="216"/>
      <c r="O471" s="216"/>
      <c r="P471" s="216"/>
      <c r="Q471" s="216"/>
      <c r="R471" s="216"/>
      <c r="S471" s="216"/>
      <c r="T471" s="216"/>
      <c r="U471" s="224"/>
      <c r="V471" s="224"/>
      <c r="W471" s="225"/>
      <c r="X471" s="225"/>
      <c r="Y471" s="225"/>
      <c r="Z471" s="225"/>
      <c r="AA471" s="225"/>
      <c r="AB471" s="225"/>
      <c r="AC471" s="225"/>
      <c r="AD471" s="225"/>
      <c r="AE471" s="225"/>
      <c r="AF471" s="225"/>
      <c r="AG471" s="225"/>
      <c r="AH471" s="225"/>
      <c r="AI471" s="225"/>
      <c r="AJ471" s="225"/>
      <c r="AK471" s="51"/>
      <c r="AL471" s="51"/>
      <c r="AM471" s="51"/>
      <c r="AN471" s="51"/>
      <c r="AO471" s="51"/>
      <c r="AP471" s="51"/>
      <c r="AQ471" s="51"/>
      <c r="AR471" s="51"/>
    </row>
    <row r="472" spans="1:44" ht="50.25" hidden="1" customHeight="1">
      <c r="A472" s="234" t="s">
        <v>250</v>
      </c>
      <c r="B472" s="224" t="s">
        <v>1083</v>
      </c>
      <c r="C472" s="215" t="s">
        <v>1084</v>
      </c>
      <c r="D472" s="216" t="s">
        <v>106</v>
      </c>
      <c r="E472" s="230">
        <v>46126</v>
      </c>
      <c r="F472" s="230">
        <v>46126</v>
      </c>
      <c r="G472" s="224">
        <v>8</v>
      </c>
      <c r="H472" s="219">
        <v>8</v>
      </c>
      <c r="I472" s="237">
        <f>SUM(N472:AB472)</f>
        <v>0</v>
      </c>
      <c r="J472" s="221">
        <f t="shared" si="21"/>
        <v>0</v>
      </c>
      <c r="K472" s="224">
        <v>0</v>
      </c>
      <c r="L472" s="221" t="str">
        <f t="shared" si="22"/>
        <v>Normal</v>
      </c>
      <c r="M472" s="224"/>
      <c r="N472" s="216"/>
      <c r="O472" s="216"/>
      <c r="P472" s="216"/>
      <c r="Q472" s="216"/>
      <c r="R472" s="216"/>
      <c r="S472" s="224"/>
      <c r="T472" s="218"/>
      <c r="U472" s="224"/>
      <c r="V472" s="224"/>
      <c r="W472" s="225"/>
      <c r="X472" s="225"/>
      <c r="Y472" s="225"/>
      <c r="Z472" s="225"/>
      <c r="AA472" s="225"/>
      <c r="AB472" s="225"/>
      <c r="AC472" s="225"/>
      <c r="AD472" s="225"/>
      <c r="AE472" s="225"/>
      <c r="AF472" s="225"/>
      <c r="AG472" s="225"/>
      <c r="AH472" s="225"/>
      <c r="AI472" s="225"/>
      <c r="AJ472" s="225"/>
      <c r="AK472" s="51"/>
      <c r="AL472" s="51"/>
      <c r="AM472" s="51"/>
      <c r="AN472" s="51"/>
      <c r="AO472" s="51"/>
      <c r="AP472" s="51"/>
      <c r="AQ472" s="51"/>
      <c r="AR472" s="51"/>
    </row>
    <row r="473" spans="1:44" ht="50.25" hidden="1" customHeight="1">
      <c r="A473" s="234" t="s">
        <v>250</v>
      </c>
      <c r="B473" s="216" t="s">
        <v>1085</v>
      </c>
      <c r="C473" s="215" t="s">
        <v>1086</v>
      </c>
      <c r="D473" s="232" t="s">
        <v>106</v>
      </c>
      <c r="E473" s="230">
        <v>46129</v>
      </c>
      <c r="F473" s="230">
        <v>46129</v>
      </c>
      <c r="G473" s="224">
        <v>8</v>
      </c>
      <c r="H473" s="219">
        <v>8</v>
      </c>
      <c r="I473" s="237">
        <f>SUM(N473:AB473)</f>
        <v>0</v>
      </c>
      <c r="J473" s="221">
        <f t="shared" si="21"/>
        <v>0</v>
      </c>
      <c r="K473" s="224">
        <v>0</v>
      </c>
      <c r="L473" s="221" t="str">
        <f t="shared" si="22"/>
        <v>Normal</v>
      </c>
      <c r="M473" s="224"/>
      <c r="N473" s="216"/>
      <c r="O473" s="216"/>
      <c r="P473" s="216"/>
      <c r="Q473" s="216"/>
      <c r="R473" s="216"/>
      <c r="S473" s="224"/>
      <c r="T473" s="218"/>
      <c r="U473" s="224"/>
      <c r="V473" s="224"/>
      <c r="W473" s="225"/>
      <c r="X473" s="225"/>
      <c r="Y473" s="225"/>
      <c r="Z473" s="225"/>
      <c r="AA473" s="225"/>
      <c r="AB473" s="225"/>
      <c r="AC473" s="225"/>
      <c r="AD473" s="225"/>
      <c r="AE473" s="225"/>
      <c r="AF473" s="225"/>
      <c r="AG473" s="225"/>
      <c r="AH473" s="225"/>
      <c r="AI473" s="225"/>
      <c r="AJ473" s="225"/>
      <c r="AK473" s="51"/>
      <c r="AL473" s="51"/>
      <c r="AM473" s="51"/>
      <c r="AN473" s="51"/>
      <c r="AO473" s="51"/>
      <c r="AP473" s="51"/>
      <c r="AQ473" s="51"/>
      <c r="AR473" s="51"/>
    </row>
    <row r="474" spans="1:44" ht="50.25" hidden="1" customHeight="1">
      <c r="A474" s="234" t="s">
        <v>250</v>
      </c>
      <c r="B474" s="216" t="s">
        <v>1087</v>
      </c>
      <c r="C474" s="215" t="s">
        <v>1088</v>
      </c>
      <c r="D474" s="232" t="s">
        <v>298</v>
      </c>
      <c r="E474" s="230">
        <v>46133</v>
      </c>
      <c r="F474" s="230">
        <v>46132</v>
      </c>
      <c r="G474" s="224">
        <v>12</v>
      </c>
      <c r="H474" s="219">
        <v>12</v>
      </c>
      <c r="I474" s="237">
        <f>SUM(N474:AB474)</f>
        <v>0</v>
      </c>
      <c r="J474" s="221">
        <f t="shared" si="21"/>
        <v>0</v>
      </c>
      <c r="K474" s="224">
        <v>0</v>
      </c>
      <c r="L474" s="221" t="str">
        <f t="shared" si="22"/>
        <v>Normal</v>
      </c>
      <c r="M474" s="224"/>
      <c r="N474" s="216"/>
      <c r="O474" s="216"/>
      <c r="P474" s="216"/>
      <c r="Q474" s="216"/>
      <c r="R474" s="216"/>
      <c r="S474" s="224"/>
      <c r="T474" s="218"/>
      <c r="U474" s="224"/>
      <c r="V474" s="224"/>
      <c r="W474" s="225"/>
      <c r="X474" s="225"/>
      <c r="Y474" s="225"/>
      <c r="Z474" s="225"/>
      <c r="AA474" s="225"/>
      <c r="AB474" s="225"/>
      <c r="AC474" s="225"/>
      <c r="AD474" s="225"/>
      <c r="AE474" s="225"/>
      <c r="AF474" s="225"/>
      <c r="AG474" s="225"/>
      <c r="AH474" s="225"/>
      <c r="AI474" s="225"/>
      <c r="AJ474" s="225"/>
      <c r="AK474" s="51"/>
      <c r="AL474" s="51"/>
      <c r="AM474" s="51"/>
      <c r="AN474" s="51"/>
      <c r="AO474" s="51"/>
      <c r="AP474" s="51"/>
      <c r="AQ474" s="51"/>
      <c r="AR474" s="51"/>
    </row>
    <row r="475" spans="1:44" ht="50.25" hidden="1" customHeight="1">
      <c r="A475" s="234" t="s">
        <v>250</v>
      </c>
      <c r="B475" s="216" t="s">
        <v>1089</v>
      </c>
      <c r="C475" s="215" t="s">
        <v>1090</v>
      </c>
      <c r="D475" s="232" t="s">
        <v>106</v>
      </c>
      <c r="E475" s="230">
        <v>46153</v>
      </c>
      <c r="F475" s="230">
        <v>46149</v>
      </c>
      <c r="G475" s="224">
        <v>32</v>
      </c>
      <c r="H475" s="219">
        <v>33</v>
      </c>
      <c r="I475" s="237">
        <f>SUM(N475:AB475)</f>
        <v>0</v>
      </c>
      <c r="J475" s="221">
        <f t="shared" si="21"/>
        <v>3.125E-2</v>
      </c>
      <c r="K475" s="224">
        <v>0</v>
      </c>
      <c r="L475" s="221" t="str">
        <f t="shared" si="22"/>
        <v>Normal</v>
      </c>
      <c r="M475" s="224"/>
      <c r="N475" s="224"/>
      <c r="O475" s="224"/>
      <c r="P475" s="224"/>
      <c r="Q475" s="224"/>
      <c r="R475" s="224"/>
      <c r="S475" s="224"/>
      <c r="T475" s="218"/>
      <c r="U475" s="224"/>
      <c r="V475" s="224"/>
      <c r="W475" s="225"/>
      <c r="X475" s="225"/>
      <c r="Y475" s="225"/>
      <c r="Z475" s="225"/>
      <c r="AA475" s="225"/>
      <c r="AB475" s="225"/>
      <c r="AC475" s="225"/>
      <c r="AD475" s="225"/>
      <c r="AE475" s="225"/>
      <c r="AF475" s="225"/>
      <c r="AG475" s="225"/>
      <c r="AH475" s="225"/>
      <c r="AI475" s="225"/>
      <c r="AJ475" s="225"/>
      <c r="AK475" s="51"/>
      <c r="AL475" s="51"/>
      <c r="AM475" s="51"/>
      <c r="AN475" s="51"/>
      <c r="AO475" s="51"/>
      <c r="AP475" s="51"/>
      <c r="AQ475" s="51"/>
      <c r="AR475" s="51"/>
    </row>
    <row r="476" spans="1:44" ht="50.25" hidden="1" customHeight="1">
      <c r="A476" s="234" t="s">
        <v>250</v>
      </c>
      <c r="B476" s="224" t="s">
        <v>1091</v>
      </c>
      <c r="C476" s="215" t="s">
        <v>1092</v>
      </c>
      <c r="D476" s="216" t="s">
        <v>298</v>
      </c>
      <c r="E476" s="230">
        <v>46141</v>
      </c>
      <c r="F476" s="230">
        <v>46141</v>
      </c>
      <c r="G476" s="224">
        <v>4</v>
      </c>
      <c r="H476" s="219">
        <v>4</v>
      </c>
      <c r="I476" s="237">
        <f>SUM(N476:AB476)</f>
        <v>0</v>
      </c>
      <c r="J476" s="221">
        <f t="shared" si="21"/>
        <v>0</v>
      </c>
      <c r="K476" s="224">
        <v>0</v>
      </c>
      <c r="L476" s="221" t="str">
        <f t="shared" si="22"/>
        <v>Normal</v>
      </c>
      <c r="M476" s="224"/>
      <c r="N476" s="224"/>
      <c r="O476" s="224"/>
      <c r="P476" s="224"/>
      <c r="Q476" s="224"/>
      <c r="R476" s="224"/>
      <c r="S476" s="224"/>
      <c r="T476" s="218"/>
      <c r="U476" s="224"/>
      <c r="V476" s="224"/>
      <c r="W476" s="225"/>
      <c r="X476" s="225"/>
      <c r="Y476" s="225"/>
      <c r="Z476" s="225"/>
      <c r="AA476" s="225"/>
      <c r="AB476" s="225"/>
      <c r="AC476" s="225"/>
      <c r="AD476" s="225"/>
      <c r="AE476" s="225"/>
      <c r="AF476" s="225"/>
      <c r="AG476" s="225"/>
      <c r="AH476" s="225"/>
      <c r="AI476" s="225"/>
      <c r="AJ476" s="225"/>
      <c r="AK476" s="51"/>
      <c r="AL476" s="51"/>
      <c r="AM476" s="51"/>
      <c r="AN476" s="51"/>
      <c r="AO476" s="51"/>
      <c r="AP476" s="51"/>
      <c r="AQ476" s="51"/>
      <c r="AR476" s="51"/>
    </row>
    <row r="477" spans="1:44" ht="50.25" hidden="1" customHeight="1">
      <c r="A477" s="234" t="s">
        <v>250</v>
      </c>
      <c r="B477" s="224" t="s">
        <v>1093</v>
      </c>
      <c r="C477" s="215" t="s">
        <v>1094</v>
      </c>
      <c r="D477" s="216" t="s">
        <v>106</v>
      </c>
      <c r="E477" s="230">
        <v>46142</v>
      </c>
      <c r="F477" s="230">
        <v>46142</v>
      </c>
      <c r="G477" s="224">
        <v>5</v>
      </c>
      <c r="H477" s="219">
        <v>5</v>
      </c>
      <c r="I477" s="237">
        <f>SUM(N477:AB477)</f>
        <v>0</v>
      </c>
      <c r="J477" s="221">
        <f t="shared" si="21"/>
        <v>0</v>
      </c>
      <c r="K477" s="224">
        <v>0</v>
      </c>
      <c r="L477" s="221" t="str">
        <f t="shared" si="22"/>
        <v>Normal</v>
      </c>
      <c r="M477" s="224"/>
      <c r="N477" s="224"/>
      <c r="O477" s="224"/>
      <c r="P477" s="224"/>
      <c r="Q477" s="224"/>
      <c r="R477" s="224"/>
      <c r="S477" s="224"/>
      <c r="T477" s="218"/>
      <c r="U477" s="224"/>
      <c r="V477" s="224"/>
      <c r="W477" s="225"/>
      <c r="X477" s="225"/>
      <c r="Y477" s="225"/>
      <c r="Z477" s="225"/>
      <c r="AA477" s="225"/>
      <c r="AB477" s="225"/>
      <c r="AC477" s="225"/>
      <c r="AD477" s="225"/>
      <c r="AE477" s="225"/>
      <c r="AF477" s="225"/>
      <c r="AG477" s="225"/>
      <c r="AH477" s="225"/>
      <c r="AI477" s="225"/>
      <c r="AJ477" s="225"/>
      <c r="AK477" s="51"/>
      <c r="AL477" s="51"/>
      <c r="AM477" s="51"/>
      <c r="AN477" s="51"/>
      <c r="AO477" s="51"/>
      <c r="AP477" s="51"/>
      <c r="AQ477" s="51"/>
      <c r="AR477" s="51"/>
    </row>
    <row r="478" spans="1:44" ht="50.25" hidden="1" customHeight="1">
      <c r="A478" s="234" t="s">
        <v>250</v>
      </c>
      <c r="B478" s="224" t="s">
        <v>771</v>
      </c>
      <c r="C478" s="215" t="s">
        <v>772</v>
      </c>
      <c r="D478" s="216" t="s">
        <v>298</v>
      </c>
      <c r="E478" s="230">
        <v>46171</v>
      </c>
      <c r="F478" s="230">
        <v>46171</v>
      </c>
      <c r="G478" s="224">
        <v>9.5</v>
      </c>
      <c r="H478" s="219">
        <v>9.5</v>
      </c>
      <c r="I478" s="237">
        <f>SUM(N478:AB478)</f>
        <v>0</v>
      </c>
      <c r="J478" s="221">
        <f t="shared" si="21"/>
        <v>0</v>
      </c>
      <c r="K478" s="224">
        <v>0</v>
      </c>
      <c r="L478" s="221" t="str">
        <f t="shared" si="22"/>
        <v>Normal</v>
      </c>
      <c r="M478" s="224"/>
      <c r="N478" s="224"/>
      <c r="O478" s="224"/>
      <c r="P478" s="224"/>
      <c r="Q478" s="216"/>
      <c r="R478" s="216"/>
      <c r="S478" s="216"/>
      <c r="T478" s="216"/>
      <c r="U478" s="224"/>
      <c r="V478" s="224"/>
      <c r="W478" s="225"/>
      <c r="X478" s="225"/>
      <c r="Y478" s="225"/>
      <c r="Z478" s="225"/>
      <c r="AA478" s="225"/>
      <c r="AB478" s="225"/>
      <c r="AC478" s="225"/>
      <c r="AD478" s="225"/>
      <c r="AE478" s="225"/>
      <c r="AF478" s="225"/>
      <c r="AG478" s="225"/>
      <c r="AH478" s="225"/>
      <c r="AI478" s="225"/>
      <c r="AJ478" s="225"/>
      <c r="AK478" s="51"/>
      <c r="AL478" s="51"/>
      <c r="AM478" s="51"/>
      <c r="AN478" s="51"/>
      <c r="AO478" s="51"/>
      <c r="AP478" s="51"/>
      <c r="AQ478" s="51"/>
      <c r="AR478" s="51"/>
    </row>
    <row r="479" spans="1:44" ht="50.25" hidden="1" customHeight="1">
      <c r="A479" s="234" t="s">
        <v>250</v>
      </c>
      <c r="B479" s="224" t="s">
        <v>1095</v>
      </c>
      <c r="C479" s="215" t="s">
        <v>1096</v>
      </c>
      <c r="D479" s="216" t="s">
        <v>298</v>
      </c>
      <c r="E479" s="230">
        <v>46155</v>
      </c>
      <c r="F479" s="230">
        <v>46154</v>
      </c>
      <c r="G479" s="224">
        <v>16</v>
      </c>
      <c r="H479" s="219">
        <v>12</v>
      </c>
      <c r="I479" s="237">
        <f>SUM(N479:AB479)</f>
        <v>0</v>
      </c>
      <c r="J479" s="221">
        <f t="shared" si="21"/>
        <v>-0.25</v>
      </c>
      <c r="K479" s="224">
        <v>0</v>
      </c>
      <c r="L479" s="221" t="str">
        <f t="shared" si="22"/>
        <v>Normal</v>
      </c>
      <c r="M479" s="224"/>
      <c r="N479" s="224"/>
      <c r="O479" s="224"/>
      <c r="P479" s="224"/>
      <c r="Q479" s="216"/>
      <c r="R479" s="216"/>
      <c r="S479" s="216"/>
      <c r="T479" s="218"/>
      <c r="U479" s="224"/>
      <c r="V479" s="224"/>
      <c r="W479" s="224"/>
      <c r="X479" s="224"/>
      <c r="Y479" s="224"/>
      <c r="Z479" s="225"/>
      <c r="AA479" s="225"/>
      <c r="AB479" s="225"/>
      <c r="AC479" s="225"/>
      <c r="AD479" s="225"/>
      <c r="AE479" s="225"/>
      <c r="AF479" s="225"/>
      <c r="AG479" s="225"/>
      <c r="AH479" s="225"/>
      <c r="AI479" s="225"/>
      <c r="AJ479" s="225"/>
      <c r="AK479" s="51"/>
      <c r="AL479" s="51"/>
      <c r="AM479" s="51"/>
      <c r="AN479" s="51"/>
      <c r="AO479" s="51"/>
      <c r="AP479" s="51"/>
      <c r="AQ479" s="51"/>
      <c r="AR479" s="51"/>
    </row>
    <row r="480" spans="1:44" ht="50.25" hidden="1" customHeight="1">
      <c r="A480" s="234" t="s">
        <v>250</v>
      </c>
      <c r="B480" s="224" t="s">
        <v>1097</v>
      </c>
      <c r="C480" s="215" t="s">
        <v>1098</v>
      </c>
      <c r="D480" s="216" t="s">
        <v>298</v>
      </c>
      <c r="E480" s="230">
        <v>46160</v>
      </c>
      <c r="F480" s="230">
        <v>46157</v>
      </c>
      <c r="G480" s="224">
        <v>40</v>
      </c>
      <c r="H480" s="219">
        <v>40</v>
      </c>
      <c r="I480" s="237">
        <f>SUM(N480:AB480)</f>
        <v>0</v>
      </c>
      <c r="J480" s="221">
        <f t="shared" si="21"/>
        <v>0</v>
      </c>
      <c r="K480" s="224">
        <v>0</v>
      </c>
      <c r="L480" s="221" t="str">
        <f t="shared" si="22"/>
        <v>Normal</v>
      </c>
      <c r="M480" s="224"/>
      <c r="N480" s="224"/>
      <c r="O480" s="224"/>
      <c r="P480" s="224"/>
      <c r="Q480" s="216"/>
      <c r="R480" s="216"/>
      <c r="S480" s="216"/>
      <c r="T480" s="218"/>
      <c r="U480" s="224"/>
      <c r="V480" s="224"/>
      <c r="W480" s="225"/>
      <c r="X480" s="225"/>
      <c r="Y480" s="225"/>
      <c r="Z480" s="225"/>
      <c r="AA480" s="225"/>
      <c r="AB480" s="225"/>
      <c r="AC480" s="225"/>
      <c r="AD480" s="225"/>
      <c r="AE480" s="225"/>
      <c r="AF480" s="225"/>
      <c r="AG480" s="225"/>
      <c r="AH480" s="225"/>
      <c r="AI480" s="225"/>
      <c r="AJ480" s="225"/>
      <c r="AK480" s="51"/>
      <c r="AL480" s="51"/>
      <c r="AM480" s="51"/>
      <c r="AN480" s="51"/>
      <c r="AO480" s="51"/>
      <c r="AP480" s="51"/>
      <c r="AQ480" s="51"/>
      <c r="AR480" s="51"/>
    </row>
    <row r="481" spans="1:44" ht="50.25" hidden="1" customHeight="1">
      <c r="A481" s="234" t="s">
        <v>250</v>
      </c>
      <c r="B481" s="224" t="s">
        <v>1099</v>
      </c>
      <c r="C481" s="215" t="s">
        <v>1100</v>
      </c>
      <c r="D481" s="216" t="s">
        <v>96</v>
      </c>
      <c r="E481" s="230">
        <v>46174</v>
      </c>
      <c r="F481" s="230">
        <v>46170</v>
      </c>
      <c r="G481" s="224">
        <v>20</v>
      </c>
      <c r="H481" s="219">
        <v>23</v>
      </c>
      <c r="I481" s="237">
        <f>SUM(N481:AB481)</f>
        <v>0</v>
      </c>
      <c r="J481" s="221">
        <f t="shared" si="21"/>
        <v>0.15</v>
      </c>
      <c r="K481" s="224">
        <v>0</v>
      </c>
      <c r="L481" s="221" t="str">
        <f t="shared" si="22"/>
        <v>Normal</v>
      </c>
      <c r="M481" s="224"/>
      <c r="N481" s="224"/>
      <c r="O481" s="224"/>
      <c r="P481" s="224"/>
      <c r="Q481" s="216"/>
      <c r="R481" s="216"/>
      <c r="S481" s="216"/>
      <c r="T481" s="218"/>
      <c r="U481" s="224"/>
      <c r="V481" s="224"/>
      <c r="W481" s="224"/>
      <c r="X481" s="224"/>
      <c r="Y481" s="224"/>
      <c r="Z481" s="225"/>
      <c r="AA481" s="225"/>
      <c r="AB481" s="225"/>
      <c r="AC481" s="225"/>
      <c r="AD481" s="225"/>
      <c r="AE481" s="225"/>
      <c r="AF481" s="225"/>
      <c r="AG481" s="225"/>
      <c r="AH481" s="225"/>
      <c r="AI481" s="225"/>
      <c r="AJ481" s="225"/>
      <c r="AK481" s="51"/>
      <c r="AL481" s="51"/>
      <c r="AM481" s="51"/>
      <c r="AN481" s="51"/>
      <c r="AO481" s="51"/>
      <c r="AP481" s="51"/>
      <c r="AQ481" s="51"/>
      <c r="AR481" s="51"/>
    </row>
    <row r="482" spans="1:44" s="208" customFormat="1" ht="50.25" customHeight="1">
      <c r="A482" s="241" t="s">
        <v>250</v>
      </c>
      <c r="B482" s="241" t="s">
        <v>1101</v>
      </c>
      <c r="C482" s="242" t="s">
        <v>1102</v>
      </c>
      <c r="D482" s="241" t="s">
        <v>96</v>
      </c>
      <c r="E482" s="243">
        <v>46248</v>
      </c>
      <c r="F482" s="243">
        <v>46258</v>
      </c>
      <c r="G482" s="241">
        <v>32</v>
      </c>
      <c r="H482" s="244">
        <v>24</v>
      </c>
      <c r="I482" s="245">
        <f t="shared" ref="I482:I484" si="23">SUM(N482:AJ482)</f>
        <v>8</v>
      </c>
      <c r="J482" s="221">
        <f t="shared" si="21"/>
        <v>0</v>
      </c>
      <c r="K482" s="241">
        <v>0</v>
      </c>
      <c r="L482" s="221" t="str">
        <f t="shared" si="22"/>
        <v>Normal</v>
      </c>
      <c r="M482" s="233"/>
      <c r="N482" s="241"/>
      <c r="O482" s="241"/>
      <c r="P482" s="241"/>
      <c r="Q482" s="241"/>
      <c r="R482" s="241"/>
      <c r="S482" s="241"/>
      <c r="T482" s="241"/>
      <c r="U482" s="241"/>
      <c r="V482" s="241"/>
      <c r="W482" s="241">
        <v>8</v>
      </c>
      <c r="X482" s="241"/>
      <c r="Y482" s="241"/>
      <c r="Z482" s="241"/>
      <c r="AA482" s="241"/>
      <c r="AB482" s="241"/>
      <c r="AC482" s="241"/>
      <c r="AD482" s="241"/>
      <c r="AE482" s="241"/>
      <c r="AF482" s="241"/>
      <c r="AG482" s="241"/>
      <c r="AH482" s="241"/>
      <c r="AI482" s="241"/>
      <c r="AJ482" s="241"/>
      <c r="AK482" s="205"/>
      <c r="AL482" s="205"/>
      <c r="AM482" s="205"/>
      <c r="AN482" s="205"/>
      <c r="AO482" s="205"/>
      <c r="AP482" s="205"/>
      <c r="AQ482" s="205"/>
      <c r="AR482" s="205"/>
    </row>
    <row r="483" spans="1:44" s="206" customFormat="1" ht="50.25" customHeight="1">
      <c r="A483" s="241" t="s">
        <v>250</v>
      </c>
      <c r="B483" s="241" t="s">
        <v>1103</v>
      </c>
      <c r="C483" s="242" t="s">
        <v>1104</v>
      </c>
      <c r="D483" s="241" t="s">
        <v>96</v>
      </c>
      <c r="E483" s="243">
        <v>46265</v>
      </c>
      <c r="F483" s="243">
        <v>46260</v>
      </c>
      <c r="G483" s="241">
        <v>32</v>
      </c>
      <c r="H483" s="244">
        <v>16</v>
      </c>
      <c r="I483" s="245">
        <f t="shared" si="23"/>
        <v>16</v>
      </c>
      <c r="J483" s="221">
        <f t="shared" si="21"/>
        <v>0</v>
      </c>
      <c r="K483" s="241">
        <v>0</v>
      </c>
      <c r="L483" s="221" t="str">
        <f t="shared" si="22"/>
        <v>Normal</v>
      </c>
      <c r="M483" s="233"/>
      <c r="N483" s="241"/>
      <c r="O483" s="241"/>
      <c r="P483" s="241"/>
      <c r="Q483" s="241"/>
      <c r="R483" s="241"/>
      <c r="S483" s="241"/>
      <c r="T483" s="241"/>
      <c r="U483" s="241"/>
      <c r="V483" s="241"/>
      <c r="W483" s="241"/>
      <c r="X483" s="241"/>
      <c r="Y483" s="241"/>
      <c r="Z483" s="241"/>
      <c r="AA483" s="241"/>
      <c r="AB483" s="241">
        <v>8</v>
      </c>
      <c r="AC483" s="241"/>
      <c r="AD483" s="241"/>
      <c r="AE483" s="241">
        <v>8</v>
      </c>
      <c r="AF483" s="241"/>
      <c r="AG483" s="241"/>
      <c r="AH483" s="241"/>
      <c r="AI483" s="241"/>
      <c r="AJ483" s="241"/>
      <c r="AK483" s="205"/>
      <c r="AL483" s="205"/>
      <c r="AM483" s="205"/>
      <c r="AN483" s="205"/>
      <c r="AO483" s="205"/>
      <c r="AP483" s="205"/>
      <c r="AQ483" s="205"/>
      <c r="AR483" s="205"/>
    </row>
    <row r="484" spans="1:44" s="206" customFormat="1" ht="50.25" customHeight="1">
      <c r="A484" s="241" t="s">
        <v>250</v>
      </c>
      <c r="B484" s="241" t="s">
        <v>1105</v>
      </c>
      <c r="C484" s="242" t="s">
        <v>1106</v>
      </c>
      <c r="D484" s="241" t="s">
        <v>96</v>
      </c>
      <c r="E484" s="243">
        <v>46262</v>
      </c>
      <c r="F484" s="243">
        <v>46260</v>
      </c>
      <c r="G484" s="241">
        <v>20</v>
      </c>
      <c r="H484" s="244">
        <v>0</v>
      </c>
      <c r="I484" s="245">
        <f t="shared" si="23"/>
        <v>17.5</v>
      </c>
      <c r="J484" s="221">
        <f t="shared" si="21"/>
        <v>-0.125</v>
      </c>
      <c r="K484" s="241">
        <v>0</v>
      </c>
      <c r="L484" s="221" t="str">
        <f t="shared" si="22"/>
        <v>Normal</v>
      </c>
      <c r="M484" s="233"/>
      <c r="N484" s="241"/>
      <c r="O484" s="241"/>
      <c r="P484" s="241"/>
      <c r="Q484" s="241"/>
      <c r="R484" s="241"/>
      <c r="S484" s="241"/>
      <c r="T484" s="241"/>
      <c r="U484" s="241"/>
      <c r="V484" s="241"/>
      <c r="W484" s="241"/>
      <c r="X484" s="241"/>
      <c r="Y484" s="241"/>
      <c r="Z484" s="241"/>
      <c r="AA484" s="241"/>
      <c r="AB484" s="241"/>
      <c r="AC484" s="241">
        <v>8</v>
      </c>
      <c r="AD484" s="241">
        <v>8</v>
      </c>
      <c r="AE484" s="241">
        <v>0.5</v>
      </c>
      <c r="AF484" s="241"/>
      <c r="AG484" s="241">
        <v>0.5</v>
      </c>
      <c r="AH484" s="241"/>
      <c r="AI484" s="241"/>
      <c r="AJ484" s="241">
        <v>0.5</v>
      </c>
      <c r="AK484" s="205"/>
      <c r="AL484" s="205"/>
      <c r="AM484" s="205"/>
      <c r="AN484" s="205"/>
      <c r="AO484" s="205"/>
      <c r="AP484" s="205"/>
      <c r="AQ484" s="205"/>
      <c r="AR484" s="205"/>
    </row>
    <row r="485" spans="1:44" ht="50.25" hidden="1" customHeight="1">
      <c r="A485" s="234" t="s">
        <v>250</v>
      </c>
      <c r="B485" s="224" t="s">
        <v>1107</v>
      </c>
      <c r="C485" s="215" t="s">
        <v>1108</v>
      </c>
      <c r="D485" s="216" t="s">
        <v>141</v>
      </c>
      <c r="E485" s="230">
        <v>46174</v>
      </c>
      <c r="F485" s="230"/>
      <c r="G485" s="224">
        <v>16</v>
      </c>
      <c r="H485" s="219">
        <v>16</v>
      </c>
      <c r="I485" s="237">
        <f>SUM(N485:AB485)</f>
        <v>0</v>
      </c>
      <c r="J485" s="221">
        <f t="shared" si="21"/>
        <v>0</v>
      </c>
      <c r="K485" s="224">
        <v>0</v>
      </c>
      <c r="L485" s="221" t="str">
        <f t="shared" si="22"/>
        <v>Normal</v>
      </c>
      <c r="M485" s="224"/>
      <c r="N485" s="224"/>
      <c r="O485" s="224"/>
      <c r="P485" s="224"/>
      <c r="Q485" s="216"/>
      <c r="R485" s="216"/>
      <c r="S485" s="216"/>
      <c r="T485" s="218"/>
      <c r="U485" s="224"/>
      <c r="V485" s="224"/>
      <c r="W485" s="225"/>
      <c r="X485" s="225"/>
      <c r="Y485" s="225"/>
      <c r="Z485" s="225"/>
      <c r="AA485" s="225"/>
      <c r="AB485" s="225"/>
      <c r="AC485" s="225"/>
      <c r="AD485" s="225"/>
      <c r="AE485" s="225"/>
      <c r="AF485" s="225"/>
      <c r="AG485" s="225"/>
      <c r="AH485" s="225"/>
      <c r="AI485" s="225"/>
      <c r="AJ485" s="225"/>
      <c r="AK485" s="51"/>
      <c r="AL485" s="51"/>
      <c r="AM485" s="51"/>
      <c r="AN485" s="51"/>
      <c r="AO485" s="51"/>
      <c r="AP485" s="51"/>
      <c r="AQ485" s="51"/>
      <c r="AR485" s="51"/>
    </row>
    <row r="486" spans="1:44" ht="50.25" hidden="1" customHeight="1">
      <c r="A486" s="234" t="s">
        <v>250</v>
      </c>
      <c r="B486" s="224" t="s">
        <v>1109</v>
      </c>
      <c r="C486" s="215" t="s">
        <v>1110</v>
      </c>
      <c r="D486" s="268" t="s">
        <v>96</v>
      </c>
      <c r="E486" s="230">
        <v>46185</v>
      </c>
      <c r="F486" s="230">
        <v>46176</v>
      </c>
      <c r="G486" s="224">
        <v>16</v>
      </c>
      <c r="H486" s="256">
        <v>8</v>
      </c>
      <c r="I486" s="237">
        <f>SUM(N486:AB486)</f>
        <v>0</v>
      </c>
      <c r="J486" s="221">
        <f t="shared" si="21"/>
        <v>-0.5</v>
      </c>
      <c r="K486" s="224">
        <v>0</v>
      </c>
      <c r="L486" s="221" t="str">
        <f t="shared" si="22"/>
        <v>Normal</v>
      </c>
      <c r="M486" s="224"/>
      <c r="N486" s="224"/>
      <c r="O486" s="224"/>
      <c r="P486" s="224"/>
      <c r="Q486" s="216"/>
      <c r="R486" s="216"/>
      <c r="S486" s="216"/>
      <c r="T486" s="218"/>
      <c r="U486" s="224"/>
      <c r="V486" s="224"/>
      <c r="W486" s="224"/>
      <c r="X486" s="224"/>
      <c r="Y486" s="224"/>
      <c r="Z486" s="225"/>
      <c r="AA486" s="225"/>
      <c r="AB486" s="225"/>
      <c r="AC486" s="225"/>
      <c r="AD486" s="225"/>
      <c r="AE486" s="225"/>
      <c r="AF486" s="225"/>
      <c r="AG486" s="225">
        <v>8</v>
      </c>
      <c r="AH486" s="225"/>
      <c r="AI486" s="225"/>
      <c r="AJ486" s="225"/>
      <c r="AK486" s="51"/>
      <c r="AL486" s="51"/>
      <c r="AM486" s="51"/>
      <c r="AN486" s="51"/>
      <c r="AO486" s="51"/>
      <c r="AP486" s="51"/>
      <c r="AQ486" s="51"/>
      <c r="AR486" s="51"/>
    </row>
    <row r="487" spans="1:44" ht="50.25" hidden="1" customHeight="1">
      <c r="A487" s="234" t="s">
        <v>250</v>
      </c>
      <c r="B487" s="224" t="s">
        <v>1111</v>
      </c>
      <c r="C487" s="215" t="s">
        <v>1112</v>
      </c>
      <c r="D487" s="216" t="s">
        <v>96</v>
      </c>
      <c r="E487" s="230">
        <v>46185</v>
      </c>
      <c r="F487" s="230">
        <v>46176</v>
      </c>
      <c r="G487" s="224">
        <v>8</v>
      </c>
      <c r="H487" s="219">
        <v>8</v>
      </c>
      <c r="I487" s="237">
        <f>SUM(N487:AB487)</f>
        <v>0</v>
      </c>
      <c r="J487" s="221">
        <f t="shared" si="21"/>
        <v>0</v>
      </c>
      <c r="K487" s="224">
        <v>0</v>
      </c>
      <c r="L487" s="221" t="str">
        <f t="shared" si="22"/>
        <v>Normal</v>
      </c>
      <c r="M487" s="224"/>
      <c r="N487" s="224"/>
      <c r="O487" s="224"/>
      <c r="P487" s="224"/>
      <c r="Q487" s="216"/>
      <c r="R487" s="216"/>
      <c r="S487" s="216"/>
      <c r="T487" s="218"/>
      <c r="U487" s="224"/>
      <c r="V487" s="224"/>
      <c r="W487" s="224"/>
      <c r="X487" s="224"/>
      <c r="Y487" s="224"/>
      <c r="Z487" s="225"/>
      <c r="AA487" s="225"/>
      <c r="AB487" s="225"/>
      <c r="AC487" s="225"/>
      <c r="AD487" s="225"/>
      <c r="AE487" s="225"/>
      <c r="AF487" s="225"/>
      <c r="AG487" s="225"/>
      <c r="AH487" s="225"/>
      <c r="AI487" s="225"/>
      <c r="AJ487" s="225"/>
      <c r="AK487" s="51"/>
      <c r="AL487" s="51"/>
      <c r="AM487" s="51"/>
      <c r="AN487" s="51"/>
      <c r="AO487" s="51"/>
      <c r="AP487" s="51"/>
      <c r="AQ487" s="51"/>
      <c r="AR487" s="51"/>
    </row>
    <row r="488" spans="1:44" ht="50.25" hidden="1" customHeight="1">
      <c r="A488" s="234" t="s">
        <v>250</v>
      </c>
      <c r="B488" s="224" t="s">
        <v>1113</v>
      </c>
      <c r="C488" s="215" t="s">
        <v>1114</v>
      </c>
      <c r="D488" s="216" t="s">
        <v>96</v>
      </c>
      <c r="E488" s="230">
        <v>46181</v>
      </c>
      <c r="F488" s="230">
        <v>46178</v>
      </c>
      <c r="G488" s="224">
        <v>38</v>
      </c>
      <c r="H488" s="219">
        <v>24</v>
      </c>
      <c r="I488" s="237">
        <f>SUM(N488:AB488)</f>
        <v>0</v>
      </c>
      <c r="J488" s="221">
        <f t="shared" si="21"/>
        <v>-0.36842105263157893</v>
      </c>
      <c r="K488" s="224">
        <v>0</v>
      </c>
      <c r="L488" s="221" t="str">
        <f t="shared" si="22"/>
        <v>Normal</v>
      </c>
      <c r="M488" s="224"/>
      <c r="N488" s="224"/>
      <c r="O488" s="224"/>
      <c r="P488" s="224"/>
      <c r="Q488" s="216"/>
      <c r="R488" s="216"/>
      <c r="S488" s="216"/>
      <c r="T488" s="218"/>
      <c r="U488" s="224"/>
      <c r="V488" s="224"/>
      <c r="W488" s="224"/>
      <c r="X488" s="224"/>
      <c r="Y488" s="224"/>
      <c r="Z488" s="225"/>
      <c r="AA488" s="225"/>
      <c r="AB488" s="225"/>
      <c r="AC488" s="225"/>
      <c r="AD488" s="225"/>
      <c r="AE488" s="225"/>
      <c r="AF488" s="225"/>
      <c r="AG488" s="225"/>
      <c r="AH488" s="225"/>
      <c r="AI488" s="225"/>
      <c r="AJ488" s="225"/>
      <c r="AK488" s="51"/>
      <c r="AL488" s="51"/>
      <c r="AM488" s="51"/>
      <c r="AN488" s="51"/>
      <c r="AO488" s="51"/>
      <c r="AP488" s="51"/>
      <c r="AQ488" s="51"/>
      <c r="AR488" s="51"/>
    </row>
    <row r="489" spans="1:44" ht="50.25" hidden="1" customHeight="1">
      <c r="A489" s="234" t="s">
        <v>250</v>
      </c>
      <c r="B489" s="224" t="s">
        <v>1115</v>
      </c>
      <c r="C489" s="215" t="s">
        <v>1116</v>
      </c>
      <c r="D489" s="216" t="s">
        <v>141</v>
      </c>
      <c r="E489" s="230">
        <v>46185</v>
      </c>
      <c r="F489" s="230"/>
      <c r="G489" s="224">
        <v>24</v>
      </c>
      <c r="H489" s="219">
        <v>24</v>
      </c>
      <c r="I489" s="237">
        <f>SUM(N489:AB489)</f>
        <v>0</v>
      </c>
      <c r="J489" s="221">
        <f t="shared" si="21"/>
        <v>0</v>
      </c>
      <c r="K489" s="224">
        <v>0</v>
      </c>
      <c r="L489" s="221" t="str">
        <f t="shared" si="22"/>
        <v>Normal</v>
      </c>
      <c r="M489" s="224"/>
      <c r="N489" s="224"/>
      <c r="O489" s="224"/>
      <c r="P489" s="224"/>
      <c r="Q489" s="216"/>
      <c r="R489" s="216"/>
      <c r="S489" s="216"/>
      <c r="T489" s="218"/>
      <c r="U489" s="224"/>
      <c r="V489" s="224"/>
      <c r="W489" s="224"/>
      <c r="X489" s="224"/>
      <c r="Y489" s="224"/>
      <c r="Z489" s="225"/>
      <c r="AA489" s="225"/>
      <c r="AB489" s="225"/>
      <c r="AC489" s="225"/>
      <c r="AD489" s="225"/>
      <c r="AE489" s="225"/>
      <c r="AF489" s="225"/>
      <c r="AG489" s="225"/>
      <c r="AH489" s="225"/>
      <c r="AI489" s="225"/>
      <c r="AJ489" s="225"/>
      <c r="AK489" s="51"/>
      <c r="AL489" s="51"/>
      <c r="AM489" s="51"/>
      <c r="AN489" s="51"/>
      <c r="AO489" s="51"/>
      <c r="AP489" s="51"/>
      <c r="AQ489" s="51"/>
      <c r="AR489" s="51"/>
    </row>
    <row r="490" spans="1:44" ht="50.25" hidden="1" customHeight="1">
      <c r="A490" s="234" t="s">
        <v>250</v>
      </c>
      <c r="B490" s="224" t="s">
        <v>1117</v>
      </c>
      <c r="C490" s="215" t="s">
        <v>1118</v>
      </c>
      <c r="D490" s="216" t="s">
        <v>96</v>
      </c>
      <c r="E490" s="230">
        <v>46213</v>
      </c>
      <c r="F490" s="230">
        <v>46209</v>
      </c>
      <c r="G490" s="224">
        <v>32</v>
      </c>
      <c r="H490" s="219">
        <v>28</v>
      </c>
      <c r="I490" s="237">
        <f>SUM(N490:AB490)</f>
        <v>0</v>
      </c>
      <c r="J490" s="221">
        <f t="shared" si="21"/>
        <v>-0.125</v>
      </c>
      <c r="K490" s="224">
        <v>0</v>
      </c>
      <c r="L490" s="221" t="str">
        <f t="shared" si="22"/>
        <v>Normal</v>
      </c>
      <c r="M490" s="224"/>
      <c r="N490" s="224"/>
      <c r="O490" s="224"/>
      <c r="P490" s="224"/>
      <c r="Q490" s="216"/>
      <c r="R490" s="216"/>
      <c r="S490" s="216"/>
      <c r="T490" s="218"/>
      <c r="U490" s="224"/>
      <c r="V490" s="224"/>
      <c r="W490" s="224"/>
      <c r="X490" s="224"/>
      <c r="Y490" s="224"/>
      <c r="Z490" s="225"/>
      <c r="AA490" s="225"/>
      <c r="AB490" s="225"/>
      <c r="AC490" s="225"/>
      <c r="AD490" s="225"/>
      <c r="AE490" s="225"/>
      <c r="AF490" s="225"/>
      <c r="AG490" s="225"/>
      <c r="AH490" s="225"/>
      <c r="AI490" s="225"/>
      <c r="AJ490" s="225"/>
      <c r="AK490" s="51"/>
      <c r="AL490" s="51"/>
      <c r="AM490" s="51"/>
      <c r="AN490" s="51"/>
      <c r="AO490" s="51"/>
      <c r="AP490" s="51"/>
      <c r="AQ490" s="51"/>
      <c r="AR490" s="51"/>
    </row>
    <row r="491" spans="1:44" ht="50.25" hidden="1" customHeight="1">
      <c r="A491" s="234" t="s">
        <v>250</v>
      </c>
      <c r="B491" s="224" t="s">
        <v>1119</v>
      </c>
      <c r="C491" s="215" t="s">
        <v>1120</v>
      </c>
      <c r="D491" s="216" t="s">
        <v>96</v>
      </c>
      <c r="E491" s="230">
        <v>46199</v>
      </c>
      <c r="F491" s="230">
        <v>46197</v>
      </c>
      <c r="G491" s="224">
        <v>16</v>
      </c>
      <c r="H491" s="219">
        <v>16</v>
      </c>
      <c r="I491" s="237">
        <f>SUM(N491:AB491)</f>
        <v>0</v>
      </c>
      <c r="J491" s="221">
        <f t="shared" si="21"/>
        <v>0</v>
      </c>
      <c r="K491" s="224">
        <v>0</v>
      </c>
      <c r="L491" s="221" t="str">
        <f t="shared" si="22"/>
        <v>Normal</v>
      </c>
      <c r="M491" s="224"/>
      <c r="N491" s="224"/>
      <c r="O491" s="224"/>
      <c r="P491" s="224"/>
      <c r="Q491" s="216"/>
      <c r="R491" s="216"/>
      <c r="S491" s="216"/>
      <c r="T491" s="218"/>
      <c r="U491" s="224"/>
      <c r="V491" s="224"/>
      <c r="W491" s="224"/>
      <c r="X491" s="224"/>
      <c r="Y491" s="224"/>
      <c r="Z491" s="225"/>
      <c r="AA491" s="225"/>
      <c r="AB491" s="225"/>
      <c r="AC491" s="225"/>
      <c r="AD491" s="225"/>
      <c r="AE491" s="225"/>
      <c r="AF491" s="225"/>
      <c r="AG491" s="225"/>
      <c r="AH491" s="225"/>
      <c r="AI491" s="225"/>
      <c r="AJ491" s="225"/>
      <c r="AK491" s="51"/>
      <c r="AL491" s="51"/>
      <c r="AM491" s="51"/>
      <c r="AN491" s="51"/>
      <c r="AO491" s="51"/>
      <c r="AP491" s="51"/>
      <c r="AQ491" s="51"/>
      <c r="AR491" s="51"/>
    </row>
    <row r="492" spans="1:44" ht="50.25" hidden="1" customHeight="1">
      <c r="A492" s="234" t="s">
        <v>250</v>
      </c>
      <c r="B492" s="224" t="s">
        <v>1121</v>
      </c>
      <c r="C492" s="215" t="s">
        <v>1122</v>
      </c>
      <c r="D492" s="216" t="s">
        <v>298</v>
      </c>
      <c r="E492" s="230">
        <v>46191</v>
      </c>
      <c r="F492" s="230">
        <v>46191</v>
      </c>
      <c r="G492" s="224">
        <v>4</v>
      </c>
      <c r="H492" s="219">
        <v>4</v>
      </c>
      <c r="I492" s="237">
        <f>SUM(N492:AB492)</f>
        <v>0</v>
      </c>
      <c r="J492" s="221">
        <f t="shared" si="21"/>
        <v>0</v>
      </c>
      <c r="K492" s="224">
        <v>0</v>
      </c>
      <c r="L492" s="221" t="str">
        <f t="shared" si="22"/>
        <v>Normal</v>
      </c>
      <c r="M492" s="224"/>
      <c r="N492" s="224"/>
      <c r="O492" s="224"/>
      <c r="P492" s="224"/>
      <c r="Q492" s="216"/>
      <c r="R492" s="216"/>
      <c r="S492" s="216"/>
      <c r="T492" s="218"/>
      <c r="U492" s="224"/>
      <c r="V492" s="224"/>
      <c r="W492" s="224"/>
      <c r="X492" s="224"/>
      <c r="Y492" s="224"/>
      <c r="Z492" s="225"/>
      <c r="AA492" s="225"/>
      <c r="AB492" s="225"/>
      <c r="AC492" s="225"/>
      <c r="AD492" s="225"/>
      <c r="AE492" s="225"/>
      <c r="AF492" s="225"/>
      <c r="AG492" s="225"/>
      <c r="AH492" s="225"/>
      <c r="AI492" s="225"/>
      <c r="AJ492" s="225"/>
      <c r="AK492" s="51"/>
      <c r="AL492" s="51"/>
      <c r="AM492" s="51"/>
      <c r="AN492" s="51"/>
      <c r="AO492" s="51"/>
      <c r="AP492" s="51"/>
      <c r="AQ492" s="51"/>
      <c r="AR492" s="51"/>
    </row>
    <row r="493" spans="1:44" ht="50.25" hidden="1" customHeight="1">
      <c r="A493" s="234" t="s">
        <v>250</v>
      </c>
      <c r="B493" s="224" t="s">
        <v>1123</v>
      </c>
      <c r="C493" s="215" t="s">
        <v>1124</v>
      </c>
      <c r="D493" s="216" t="s">
        <v>196</v>
      </c>
      <c r="E493" s="230">
        <v>46191</v>
      </c>
      <c r="F493" s="230">
        <v>46191</v>
      </c>
      <c r="G493" s="224">
        <v>5</v>
      </c>
      <c r="H493" s="219">
        <v>5</v>
      </c>
      <c r="I493" s="237">
        <f>SUM(N493:AB493)</f>
        <v>0</v>
      </c>
      <c r="J493" s="221">
        <f t="shared" si="21"/>
        <v>0</v>
      </c>
      <c r="K493" s="224">
        <v>0</v>
      </c>
      <c r="L493" s="221" t="str">
        <f t="shared" si="22"/>
        <v>Normal</v>
      </c>
      <c r="M493" s="224"/>
      <c r="N493" s="224"/>
      <c r="O493" s="224"/>
      <c r="P493" s="224"/>
      <c r="Q493" s="216"/>
      <c r="R493" s="216"/>
      <c r="S493" s="216"/>
      <c r="T493" s="218"/>
      <c r="U493" s="224"/>
      <c r="V493" s="224"/>
      <c r="W493" s="224"/>
      <c r="X493" s="224"/>
      <c r="Y493" s="224"/>
      <c r="Z493" s="225"/>
      <c r="AA493" s="225"/>
      <c r="AB493" s="225"/>
      <c r="AC493" s="225"/>
      <c r="AD493" s="225"/>
      <c r="AE493" s="225"/>
      <c r="AF493" s="225"/>
      <c r="AG493" s="225"/>
      <c r="AH493" s="225"/>
      <c r="AI493" s="225"/>
      <c r="AJ493" s="225"/>
      <c r="AK493" s="51"/>
      <c r="AL493" s="51"/>
      <c r="AM493" s="51"/>
      <c r="AN493" s="51"/>
      <c r="AO493" s="51"/>
      <c r="AP493" s="51"/>
      <c r="AQ493" s="51"/>
      <c r="AR493" s="51"/>
    </row>
    <row r="494" spans="1:44" ht="50.25" hidden="1" customHeight="1">
      <c r="A494" s="234" t="s">
        <v>250</v>
      </c>
      <c r="B494" s="224" t="s">
        <v>1125</v>
      </c>
      <c r="C494" s="215" t="s">
        <v>1126</v>
      </c>
      <c r="D494" s="216" t="s">
        <v>106</v>
      </c>
      <c r="E494" s="235">
        <v>46199</v>
      </c>
      <c r="F494" s="235">
        <v>46199</v>
      </c>
      <c r="G494" s="218">
        <v>24</v>
      </c>
      <c r="H494" s="219">
        <v>24</v>
      </c>
      <c r="I494" s="236">
        <f>SUM(N494:AB494)</f>
        <v>0</v>
      </c>
      <c r="J494" s="221">
        <f t="shared" si="21"/>
        <v>0</v>
      </c>
      <c r="K494" s="218">
        <v>0</v>
      </c>
      <c r="L494" s="221" t="str">
        <f t="shared" si="22"/>
        <v>Normal</v>
      </c>
      <c r="M494" s="224"/>
      <c r="N494" s="224"/>
      <c r="O494" s="224"/>
      <c r="P494" s="224"/>
      <c r="Q494" s="216"/>
      <c r="R494" s="216"/>
      <c r="S494" s="216"/>
      <c r="T494" s="218"/>
      <c r="U494" s="224"/>
      <c r="V494" s="224"/>
      <c r="W494" s="224"/>
      <c r="X494" s="224"/>
      <c r="Y494" s="224"/>
      <c r="Z494" s="224"/>
      <c r="AA494" s="224"/>
      <c r="AB494" s="224"/>
      <c r="AC494" s="224"/>
      <c r="AD494" s="224"/>
      <c r="AE494" s="225"/>
      <c r="AF494" s="225"/>
      <c r="AG494" s="225"/>
      <c r="AH494" s="225"/>
      <c r="AI494" s="225"/>
      <c r="AJ494" s="225"/>
      <c r="AK494" s="51"/>
      <c r="AL494" s="51"/>
      <c r="AM494" s="51"/>
      <c r="AN494" s="51"/>
      <c r="AO494" s="51"/>
      <c r="AP494" s="51"/>
      <c r="AQ494" s="51"/>
      <c r="AR494" s="51"/>
    </row>
    <row r="495" spans="1:44" ht="50.25" hidden="1" customHeight="1">
      <c r="A495" s="234" t="s">
        <v>250</v>
      </c>
      <c r="B495" s="224" t="s">
        <v>1127</v>
      </c>
      <c r="C495" s="215" t="s">
        <v>1128</v>
      </c>
      <c r="D495" s="216" t="s">
        <v>96</v>
      </c>
      <c r="E495" s="235">
        <v>46206</v>
      </c>
      <c r="F495" s="235">
        <v>46209</v>
      </c>
      <c r="G495" s="218">
        <v>16</v>
      </c>
      <c r="H495" s="219">
        <v>16</v>
      </c>
      <c r="I495" s="236">
        <f>SUM(N495:AB495)</f>
        <v>0</v>
      </c>
      <c r="J495" s="221">
        <f t="shared" si="21"/>
        <v>0</v>
      </c>
      <c r="K495" s="218">
        <v>0</v>
      </c>
      <c r="L495" s="221" t="str">
        <f t="shared" si="22"/>
        <v>Normal</v>
      </c>
      <c r="M495" s="224"/>
      <c r="N495" s="224"/>
      <c r="O495" s="224"/>
      <c r="P495" s="224"/>
      <c r="Q495" s="216"/>
      <c r="R495" s="216"/>
      <c r="S495" s="216"/>
      <c r="T495" s="218"/>
      <c r="U495" s="224"/>
      <c r="V495" s="224"/>
      <c r="W495" s="224"/>
      <c r="X495" s="224"/>
      <c r="Y495" s="224"/>
      <c r="Z495" s="224"/>
      <c r="AA495" s="224"/>
      <c r="AB495" s="224"/>
      <c r="AC495" s="224"/>
      <c r="AD495" s="224"/>
      <c r="AE495" s="225"/>
      <c r="AF495" s="225"/>
      <c r="AG495" s="225"/>
      <c r="AH495" s="225"/>
      <c r="AI495" s="225"/>
      <c r="AJ495" s="225"/>
      <c r="AK495" s="51"/>
      <c r="AL495" s="51"/>
      <c r="AM495" s="51"/>
      <c r="AN495" s="51"/>
      <c r="AO495" s="51"/>
      <c r="AP495" s="51"/>
      <c r="AQ495" s="51"/>
      <c r="AR495" s="51"/>
    </row>
    <row r="496" spans="1:44" ht="50.25" hidden="1" customHeight="1">
      <c r="A496" s="234" t="s">
        <v>250</v>
      </c>
      <c r="B496" s="224" t="s">
        <v>786</v>
      </c>
      <c r="C496" s="215" t="s">
        <v>787</v>
      </c>
      <c r="D496" s="216" t="s">
        <v>298</v>
      </c>
      <c r="E496" s="230">
        <v>46203</v>
      </c>
      <c r="F496" s="230">
        <v>46203</v>
      </c>
      <c r="G496" s="224">
        <v>9.5</v>
      </c>
      <c r="H496" s="219">
        <v>9.5</v>
      </c>
      <c r="I496" s="237">
        <f>SUM(N496:AB496)</f>
        <v>0</v>
      </c>
      <c r="J496" s="221">
        <f t="shared" si="21"/>
        <v>0</v>
      </c>
      <c r="K496" s="224">
        <v>0</v>
      </c>
      <c r="L496" s="221" t="str">
        <f t="shared" si="22"/>
        <v>Normal</v>
      </c>
      <c r="M496" s="224"/>
      <c r="N496" s="224"/>
      <c r="O496" s="224"/>
      <c r="P496" s="224"/>
      <c r="Q496" s="216"/>
      <c r="R496" s="224"/>
      <c r="S496" s="224"/>
      <c r="T496" s="216"/>
      <c r="U496" s="224"/>
      <c r="V496" s="224"/>
      <c r="W496" s="224"/>
      <c r="X496" s="224"/>
      <c r="Y496" s="224"/>
      <c r="Z496" s="225"/>
      <c r="AA496" s="225"/>
      <c r="AB496" s="225"/>
      <c r="AC496" s="225"/>
      <c r="AD496" s="225"/>
      <c r="AE496" s="225"/>
      <c r="AF496" s="225"/>
      <c r="AG496" s="225"/>
      <c r="AH496" s="225"/>
      <c r="AI496" s="225"/>
      <c r="AJ496" s="225"/>
      <c r="AK496" s="51"/>
      <c r="AL496" s="51"/>
      <c r="AM496" s="51"/>
      <c r="AN496" s="51"/>
      <c r="AO496" s="51"/>
      <c r="AP496" s="51"/>
      <c r="AQ496" s="51"/>
      <c r="AR496" s="51"/>
    </row>
    <row r="497" spans="1:106" ht="50.25" hidden="1" customHeight="1">
      <c r="A497" s="234" t="s">
        <v>250</v>
      </c>
      <c r="B497" s="224" t="s">
        <v>1129</v>
      </c>
      <c r="C497" s="215" t="s">
        <v>1130</v>
      </c>
      <c r="D497" s="216" t="s">
        <v>106</v>
      </c>
      <c r="E497" s="235">
        <v>46211</v>
      </c>
      <c r="F497" s="235">
        <v>46211</v>
      </c>
      <c r="G497" s="218">
        <v>16</v>
      </c>
      <c r="H497" s="219">
        <v>16</v>
      </c>
      <c r="I497" s="236">
        <f>SUM(N497:AB497)</f>
        <v>0</v>
      </c>
      <c r="J497" s="221">
        <f t="shared" si="21"/>
        <v>0</v>
      </c>
      <c r="K497" s="250">
        <v>0</v>
      </c>
      <c r="L497" s="221" t="str">
        <f t="shared" si="22"/>
        <v>Normal</v>
      </c>
      <c r="M497" s="161"/>
      <c r="N497" s="250"/>
      <c r="O497" s="250"/>
      <c r="P497" s="250"/>
      <c r="Q497" s="250"/>
      <c r="R497" s="250"/>
      <c r="S497" s="250"/>
      <c r="T497" s="250"/>
      <c r="U497" s="250"/>
      <c r="V497" s="250"/>
      <c r="W497" s="250"/>
      <c r="X497" s="250"/>
      <c r="Y497" s="250"/>
      <c r="Z497" s="250"/>
      <c r="AA497" s="250"/>
      <c r="AB497" s="250"/>
      <c r="AC497" s="250"/>
      <c r="AD497" s="250"/>
      <c r="AE497" s="227"/>
      <c r="AF497" s="227"/>
      <c r="AG497" s="227"/>
      <c r="AH497" s="227"/>
      <c r="AI497" s="227"/>
      <c r="AJ497" s="227"/>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row>
    <row r="498" spans="1:106" ht="50.25" hidden="1" customHeight="1">
      <c r="A498" s="234" t="s">
        <v>250</v>
      </c>
      <c r="B498" s="224" t="s">
        <v>1131</v>
      </c>
      <c r="C498" s="215" t="s">
        <v>1132</v>
      </c>
      <c r="D498" s="216" t="s">
        <v>96</v>
      </c>
      <c r="E498" s="235">
        <v>46220</v>
      </c>
      <c r="F498" s="235">
        <v>46255</v>
      </c>
      <c r="G498" s="218">
        <v>24</v>
      </c>
      <c r="H498" s="219">
        <v>24</v>
      </c>
      <c r="I498" s="236">
        <f>SUM(N498:AB498)</f>
        <v>0</v>
      </c>
      <c r="J498" s="221">
        <f t="shared" si="21"/>
        <v>0</v>
      </c>
      <c r="K498" s="250">
        <v>0</v>
      </c>
      <c r="L498" s="221" t="str">
        <f t="shared" si="22"/>
        <v>Normal</v>
      </c>
      <c r="M498" s="161"/>
      <c r="N498" s="250"/>
      <c r="O498" s="250"/>
      <c r="P498" s="250"/>
      <c r="Q498" s="250"/>
      <c r="R498" s="250"/>
      <c r="S498" s="250"/>
      <c r="T498" s="250"/>
      <c r="U498" s="250"/>
      <c r="V498" s="250"/>
      <c r="W498" s="250"/>
      <c r="X498" s="250"/>
      <c r="Y498" s="250"/>
      <c r="Z498" s="250"/>
      <c r="AA498" s="250"/>
      <c r="AB498" s="250"/>
      <c r="AC498" s="250"/>
      <c r="AD498" s="250"/>
      <c r="AE498" s="227"/>
      <c r="AF498" s="227"/>
      <c r="AG498" s="227"/>
      <c r="AH498" s="227"/>
      <c r="AI498" s="227"/>
      <c r="AJ498" s="227"/>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row>
    <row r="499" spans="1:106" ht="50.25" hidden="1" customHeight="1">
      <c r="A499" s="234" t="s">
        <v>250</v>
      </c>
      <c r="B499" s="224" t="s">
        <v>1133</v>
      </c>
      <c r="C499" s="215" t="s">
        <v>1134</v>
      </c>
      <c r="D499" s="216" t="s">
        <v>96</v>
      </c>
      <c r="E499" s="235">
        <v>46220</v>
      </c>
      <c r="F499" s="235">
        <v>46255</v>
      </c>
      <c r="G499" s="218">
        <v>8</v>
      </c>
      <c r="H499" s="219">
        <v>8</v>
      </c>
      <c r="I499" s="236">
        <f>SUM(N499:AB499)</f>
        <v>0</v>
      </c>
      <c r="J499" s="221">
        <f t="shared" si="21"/>
        <v>0</v>
      </c>
      <c r="K499" s="250">
        <v>0</v>
      </c>
      <c r="L499" s="221" t="str">
        <f t="shared" si="22"/>
        <v>Normal</v>
      </c>
      <c r="M499" s="161"/>
      <c r="N499" s="250"/>
      <c r="O499" s="250"/>
      <c r="P499" s="250"/>
      <c r="Q499" s="250"/>
      <c r="R499" s="225"/>
      <c r="S499" s="250"/>
      <c r="T499" s="250"/>
      <c r="U499" s="250"/>
      <c r="V499" s="250"/>
      <c r="W499" s="250"/>
      <c r="X499" s="250"/>
      <c r="Y499" s="250"/>
      <c r="Z499" s="250"/>
      <c r="AA499" s="250"/>
      <c r="AB499" s="250"/>
      <c r="AC499" s="250"/>
      <c r="AD499" s="250"/>
      <c r="AE499" s="227"/>
      <c r="AF499" s="227"/>
      <c r="AG499" s="227"/>
      <c r="AH499" s="227"/>
      <c r="AI499" s="227"/>
      <c r="AJ499" s="227"/>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row>
    <row r="500" spans="1:106" ht="50.25" hidden="1" customHeight="1">
      <c r="A500" s="234" t="s">
        <v>250</v>
      </c>
      <c r="B500" s="224" t="s">
        <v>1135</v>
      </c>
      <c r="C500" s="215" t="s">
        <v>1136</v>
      </c>
      <c r="D500" s="216" t="s">
        <v>96</v>
      </c>
      <c r="E500" s="235">
        <v>46223</v>
      </c>
      <c r="F500" s="235">
        <v>46224</v>
      </c>
      <c r="G500" s="218">
        <v>32</v>
      </c>
      <c r="H500" s="219">
        <v>28.5</v>
      </c>
      <c r="I500" s="236">
        <f>SUM(N500:AB500)</f>
        <v>0</v>
      </c>
      <c r="J500" s="221">
        <f t="shared" si="21"/>
        <v>-0.109375</v>
      </c>
      <c r="K500" s="250">
        <v>0</v>
      </c>
      <c r="L500" s="221" t="str">
        <f t="shared" si="22"/>
        <v>Normal</v>
      </c>
      <c r="M500" s="161"/>
      <c r="N500" s="250"/>
      <c r="O500" s="250"/>
      <c r="P500" s="250"/>
      <c r="Q500" s="250"/>
      <c r="R500" s="225"/>
      <c r="S500" s="250"/>
      <c r="T500" s="250"/>
      <c r="U500" s="250"/>
      <c r="V500" s="250"/>
      <c r="W500" s="250"/>
      <c r="X500" s="250"/>
      <c r="Y500" s="250"/>
      <c r="Z500" s="250"/>
      <c r="AA500" s="250"/>
      <c r="AB500" s="250"/>
      <c r="AC500" s="250"/>
      <c r="AD500" s="250"/>
      <c r="AE500" s="227"/>
      <c r="AF500" s="227"/>
      <c r="AG500" s="227"/>
      <c r="AH500" s="227"/>
      <c r="AI500" s="227"/>
      <c r="AJ500" s="227"/>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row>
    <row r="501" spans="1:106" ht="50.25" hidden="1" customHeight="1">
      <c r="A501" s="234" t="s">
        <v>250</v>
      </c>
      <c r="B501" s="224" t="s">
        <v>1137</v>
      </c>
      <c r="C501" s="215" t="s">
        <v>1138</v>
      </c>
      <c r="D501" s="216" t="s">
        <v>96</v>
      </c>
      <c r="E501" s="235">
        <v>46219</v>
      </c>
      <c r="F501" s="235">
        <v>46219</v>
      </c>
      <c r="G501" s="218">
        <v>3.5</v>
      </c>
      <c r="H501" s="219">
        <v>3.5</v>
      </c>
      <c r="I501" s="236">
        <f>SUM(N501:AB501)</f>
        <v>0</v>
      </c>
      <c r="J501" s="221">
        <f t="shared" si="21"/>
        <v>0</v>
      </c>
      <c r="K501" s="250">
        <v>0</v>
      </c>
      <c r="L501" s="221" t="str">
        <f t="shared" si="22"/>
        <v>Normal</v>
      </c>
      <c r="M501" s="161"/>
      <c r="N501" s="250"/>
      <c r="O501" s="250"/>
      <c r="P501" s="250"/>
      <c r="Q501" s="250"/>
      <c r="R501" s="225"/>
      <c r="S501" s="250"/>
      <c r="T501" s="250"/>
      <c r="U501" s="250"/>
      <c r="V501" s="250"/>
      <c r="W501" s="250"/>
      <c r="X501" s="250"/>
      <c r="Y501" s="250"/>
      <c r="Z501" s="250"/>
      <c r="AA501" s="250"/>
      <c r="AB501" s="250"/>
      <c r="AC501" s="250"/>
      <c r="AD501" s="250"/>
      <c r="AE501" s="227"/>
      <c r="AF501" s="227"/>
      <c r="AG501" s="227"/>
      <c r="AH501" s="227"/>
      <c r="AI501" s="227"/>
      <c r="AJ501" s="227"/>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row>
    <row r="502" spans="1:106" ht="50.25" hidden="1" customHeight="1">
      <c r="A502" s="234" t="s">
        <v>250</v>
      </c>
      <c r="B502" s="224" t="s">
        <v>1139</v>
      </c>
      <c r="C502" s="215" t="s">
        <v>1140</v>
      </c>
      <c r="D502" s="216" t="s">
        <v>96</v>
      </c>
      <c r="E502" s="235">
        <v>46230</v>
      </c>
      <c r="F502" s="235">
        <v>46227</v>
      </c>
      <c r="G502" s="218">
        <v>12</v>
      </c>
      <c r="H502" s="219">
        <v>12</v>
      </c>
      <c r="I502" s="236">
        <f>SUM(N502:AB502)</f>
        <v>0</v>
      </c>
      <c r="J502" s="221">
        <f t="shared" si="21"/>
        <v>0</v>
      </c>
      <c r="K502" s="250">
        <v>0</v>
      </c>
      <c r="L502" s="221" t="str">
        <f t="shared" si="22"/>
        <v>Normal</v>
      </c>
      <c r="M502" s="161"/>
      <c r="N502" s="250"/>
      <c r="O502" s="250"/>
      <c r="P502" s="250"/>
      <c r="Q502" s="250"/>
      <c r="R502" s="225"/>
      <c r="S502" s="250"/>
      <c r="T502" s="250"/>
      <c r="U502" s="250"/>
      <c r="V502" s="250"/>
      <c r="W502" s="250"/>
      <c r="X502" s="250"/>
      <c r="Y502" s="250"/>
      <c r="Z502" s="250"/>
      <c r="AA502" s="250"/>
      <c r="AB502" s="250"/>
      <c r="AC502" s="250"/>
      <c r="AD502" s="250"/>
      <c r="AE502" s="227"/>
      <c r="AF502" s="227"/>
      <c r="AG502" s="227"/>
      <c r="AH502" s="227"/>
      <c r="AI502" s="227"/>
      <c r="AJ502" s="227"/>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row>
    <row r="503" spans="1:106" ht="50.25" hidden="1" customHeight="1">
      <c r="A503" s="234" t="s">
        <v>250</v>
      </c>
      <c r="B503" s="224" t="s">
        <v>1141</v>
      </c>
      <c r="C503" s="215" t="s">
        <v>1142</v>
      </c>
      <c r="D503" s="216" t="s">
        <v>96</v>
      </c>
      <c r="E503" s="235">
        <v>46234</v>
      </c>
      <c r="F503" s="235">
        <v>46231</v>
      </c>
      <c r="G503" s="218">
        <v>16</v>
      </c>
      <c r="H503" s="219">
        <v>16</v>
      </c>
      <c r="I503" s="236">
        <f>SUM(N503:AB503)</f>
        <v>0</v>
      </c>
      <c r="J503" s="221">
        <f t="shared" si="21"/>
        <v>0</v>
      </c>
      <c r="K503" s="250">
        <v>0</v>
      </c>
      <c r="L503" s="221" t="str">
        <f t="shared" si="22"/>
        <v>Normal</v>
      </c>
      <c r="M503" s="161"/>
      <c r="N503" s="250"/>
      <c r="O503" s="250"/>
      <c r="P503" s="250"/>
      <c r="Q503" s="250"/>
      <c r="R503" s="225"/>
      <c r="S503" s="250"/>
      <c r="T503" s="250"/>
      <c r="U503" s="250"/>
      <c r="V503" s="250"/>
      <c r="W503" s="250"/>
      <c r="X503" s="250"/>
      <c r="Y503" s="250"/>
      <c r="Z503" s="250"/>
      <c r="AA503" s="250"/>
      <c r="AB503" s="250"/>
      <c r="AC503" s="250"/>
      <c r="AD503" s="250"/>
      <c r="AE503" s="227"/>
      <c r="AF503" s="227"/>
      <c r="AG503" s="227"/>
      <c r="AH503" s="227"/>
      <c r="AI503" s="227"/>
      <c r="AJ503" s="227"/>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row>
    <row r="504" spans="1:106" ht="50.25" hidden="1" customHeight="1">
      <c r="A504" s="234" t="s">
        <v>250</v>
      </c>
      <c r="B504" s="224" t="s">
        <v>1143</v>
      </c>
      <c r="C504" s="215" t="s">
        <v>1144</v>
      </c>
      <c r="D504" s="216" t="s">
        <v>141</v>
      </c>
      <c r="E504" s="235">
        <v>46240</v>
      </c>
      <c r="F504" s="235">
        <v>46237</v>
      </c>
      <c r="G504" s="218">
        <v>28</v>
      </c>
      <c r="H504" s="219">
        <v>28</v>
      </c>
      <c r="I504" s="236">
        <f>SUM(N504:AB504)</f>
        <v>0</v>
      </c>
      <c r="J504" s="221">
        <f t="shared" si="21"/>
        <v>0</v>
      </c>
      <c r="K504" s="250">
        <v>0</v>
      </c>
      <c r="L504" s="221" t="str">
        <f t="shared" si="22"/>
        <v>Normal</v>
      </c>
      <c r="M504" s="161"/>
      <c r="N504" s="250"/>
      <c r="O504" s="250"/>
      <c r="P504" s="250"/>
      <c r="Q504" s="250"/>
      <c r="R504" s="225"/>
      <c r="S504" s="250"/>
      <c r="T504" s="250"/>
      <c r="U504" s="250"/>
      <c r="V504" s="250"/>
      <c r="W504" s="250"/>
      <c r="X504" s="250"/>
      <c r="Y504" s="250"/>
      <c r="Z504" s="250"/>
      <c r="AA504" s="250"/>
      <c r="AB504" s="250"/>
      <c r="AC504" s="250"/>
      <c r="AD504" s="250"/>
      <c r="AE504" s="227"/>
      <c r="AF504" s="227"/>
      <c r="AG504" s="227"/>
      <c r="AH504" s="227"/>
      <c r="AI504" s="227"/>
      <c r="AJ504" s="227"/>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row>
    <row r="505" spans="1:106" ht="50.25" hidden="1" customHeight="1">
      <c r="A505" s="234" t="s">
        <v>250</v>
      </c>
      <c r="B505" s="224" t="s">
        <v>810</v>
      </c>
      <c r="C505" s="215" t="s">
        <v>811</v>
      </c>
      <c r="D505" s="216" t="s">
        <v>298</v>
      </c>
      <c r="E505" s="235">
        <v>46234</v>
      </c>
      <c r="F505" s="235">
        <v>46234</v>
      </c>
      <c r="G505" s="218">
        <v>10.5</v>
      </c>
      <c r="H505" s="219">
        <v>10.5</v>
      </c>
      <c r="I505" s="236">
        <f>SUM(N505:AB505)</f>
        <v>0</v>
      </c>
      <c r="J505" s="221">
        <f t="shared" si="21"/>
        <v>0</v>
      </c>
      <c r="K505" s="250">
        <v>0</v>
      </c>
      <c r="L505" s="221" t="str">
        <f t="shared" si="22"/>
        <v>Normal</v>
      </c>
      <c r="M505" s="161"/>
      <c r="N505" s="250"/>
      <c r="O505" s="250"/>
      <c r="P505" s="250"/>
      <c r="Q505" s="250"/>
      <c r="R505" s="250"/>
      <c r="S505" s="250"/>
      <c r="T505" s="250"/>
      <c r="U505" s="250"/>
      <c r="V505" s="250"/>
      <c r="W505" s="250"/>
      <c r="X505" s="250"/>
      <c r="Y505" s="250"/>
      <c r="Z505" s="250"/>
      <c r="AA505" s="250"/>
      <c r="AB505" s="250"/>
      <c r="AC505" s="250"/>
      <c r="AD505" s="250"/>
      <c r="AE505" s="227"/>
      <c r="AF505" s="227"/>
      <c r="AG505" s="227"/>
      <c r="AH505" s="227"/>
      <c r="AI505" s="227"/>
      <c r="AJ505" s="227"/>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row>
    <row r="506" spans="1:106" s="208" customFormat="1" ht="50.25" customHeight="1">
      <c r="A506" s="241" t="s">
        <v>250</v>
      </c>
      <c r="B506" s="241" t="s">
        <v>832</v>
      </c>
      <c r="C506" s="242" t="s">
        <v>833</v>
      </c>
      <c r="D506" s="241" t="s">
        <v>97</v>
      </c>
      <c r="E506" s="243">
        <v>46265</v>
      </c>
      <c r="F506" s="243"/>
      <c r="G506" s="241">
        <v>10.5</v>
      </c>
      <c r="H506" s="244">
        <v>0</v>
      </c>
      <c r="I506" s="245">
        <f t="shared" ref="I506" si="24">SUM(N506:AJ506)</f>
        <v>8.5</v>
      </c>
      <c r="J506" s="221">
        <f t="shared" si="21"/>
        <v>-0.19047619047619047</v>
      </c>
      <c r="K506" s="241"/>
      <c r="L506" s="221" t="str">
        <f t="shared" si="22"/>
        <v>Normal</v>
      </c>
      <c r="M506" s="233"/>
      <c r="N506" s="241">
        <v>0.5</v>
      </c>
      <c r="O506" s="241">
        <v>0.5</v>
      </c>
      <c r="P506" s="241">
        <v>0.5</v>
      </c>
      <c r="Q506" s="241">
        <v>0.5</v>
      </c>
      <c r="R506" s="241"/>
      <c r="S506" s="241">
        <v>0.5</v>
      </c>
      <c r="T506" s="241">
        <v>0.5</v>
      </c>
      <c r="U506" s="241">
        <v>0.5</v>
      </c>
      <c r="V506" s="241">
        <v>0.5</v>
      </c>
      <c r="W506" s="241">
        <v>0.5</v>
      </c>
      <c r="X506" s="241"/>
      <c r="Y506" s="241">
        <v>0.5</v>
      </c>
      <c r="Z506" s="241">
        <v>0.5</v>
      </c>
      <c r="AA506" s="241">
        <v>0.5</v>
      </c>
      <c r="AB506" s="241">
        <v>0.5</v>
      </c>
      <c r="AC506" s="241">
        <v>0.5</v>
      </c>
      <c r="AD506" s="241">
        <v>0.5</v>
      </c>
      <c r="AE506" s="241">
        <v>0.5</v>
      </c>
      <c r="AF506" s="241">
        <v>0.5</v>
      </c>
      <c r="AG506" s="241"/>
      <c r="AH506" s="241"/>
      <c r="AI506" s="241"/>
      <c r="AJ506" s="241"/>
      <c r="AK506" s="205"/>
      <c r="AL506" s="205"/>
      <c r="AM506" s="205"/>
      <c r="AN506" s="205"/>
      <c r="AO506" s="205"/>
      <c r="AP506" s="205"/>
      <c r="AQ506" s="205"/>
      <c r="AR506" s="205"/>
      <c r="AS506" s="207"/>
      <c r="AT506" s="207"/>
      <c r="AU506" s="207"/>
      <c r="AV506" s="207"/>
      <c r="AW506" s="207"/>
      <c r="AX506" s="207"/>
      <c r="AY506" s="207"/>
      <c r="AZ506" s="207"/>
      <c r="BA506" s="207"/>
      <c r="BB506" s="207"/>
      <c r="BC506" s="207"/>
      <c r="BD506" s="207"/>
      <c r="BE506" s="207"/>
      <c r="BF506" s="207"/>
      <c r="BG506" s="207"/>
      <c r="BH506" s="207"/>
      <c r="BI506" s="207"/>
      <c r="BJ506" s="207"/>
      <c r="BK506" s="207"/>
      <c r="BL506" s="207"/>
      <c r="BM506" s="207"/>
      <c r="BN506" s="207"/>
      <c r="BO506" s="207"/>
      <c r="BP506" s="207"/>
      <c r="BQ506" s="207"/>
      <c r="BR506" s="207"/>
      <c r="BS506" s="207"/>
      <c r="BT506" s="207"/>
      <c r="BU506" s="207"/>
      <c r="BV506" s="207"/>
      <c r="BW506" s="207"/>
      <c r="BX506" s="207"/>
      <c r="BY506" s="207"/>
      <c r="BZ506" s="207"/>
      <c r="CA506" s="207"/>
      <c r="CB506" s="207"/>
      <c r="CC506" s="207"/>
      <c r="CD506" s="207"/>
      <c r="CE506" s="207"/>
      <c r="CF506" s="207"/>
      <c r="CG506" s="207"/>
      <c r="CH506" s="207"/>
      <c r="CI506" s="207"/>
      <c r="CJ506" s="207"/>
      <c r="CK506" s="207"/>
      <c r="CL506" s="207"/>
      <c r="CM506" s="207"/>
      <c r="CN506" s="207"/>
      <c r="CO506" s="207"/>
      <c r="CP506" s="207"/>
      <c r="CQ506" s="207"/>
      <c r="CR506" s="207"/>
      <c r="CS506" s="207"/>
      <c r="CT506" s="207"/>
      <c r="CU506" s="207"/>
      <c r="CV506" s="207"/>
      <c r="CW506" s="207"/>
      <c r="CX506" s="207"/>
      <c r="CY506" s="207"/>
      <c r="CZ506" s="207"/>
      <c r="DA506" s="207"/>
      <c r="DB506" s="207"/>
    </row>
    <row r="507" spans="1:106" s="208" customFormat="1" ht="50.25" customHeight="1">
      <c r="A507" s="241" t="s">
        <v>250</v>
      </c>
      <c r="B507" s="241" t="s">
        <v>1145</v>
      </c>
      <c r="C507" s="242" t="s">
        <v>1146</v>
      </c>
      <c r="D507" s="241" t="s">
        <v>96</v>
      </c>
      <c r="E507" s="243">
        <v>46240</v>
      </c>
      <c r="F507" s="243">
        <v>46238</v>
      </c>
      <c r="G507" s="241">
        <v>16</v>
      </c>
      <c r="H507" s="244">
        <v>0</v>
      </c>
      <c r="I507" s="245">
        <f t="shared" ref="I506:I511" si="25">SUM(N507:AJ507)</f>
        <v>16</v>
      </c>
      <c r="J507" s="221">
        <f t="shared" si="21"/>
        <v>0</v>
      </c>
      <c r="K507" s="241">
        <v>0</v>
      </c>
      <c r="L507" s="221" t="str">
        <f t="shared" si="22"/>
        <v>Normal</v>
      </c>
      <c r="M507" s="233"/>
      <c r="N507" s="241">
        <v>8</v>
      </c>
      <c r="O507" s="241">
        <v>8</v>
      </c>
      <c r="P507" s="241"/>
      <c r="Q507" s="241"/>
      <c r="R507" s="241"/>
      <c r="S507" s="241"/>
      <c r="T507" s="241"/>
      <c r="U507" s="241"/>
      <c r="V507" s="241"/>
      <c r="W507" s="241"/>
      <c r="X507" s="241"/>
      <c r="Y507" s="241"/>
      <c r="Z507" s="241"/>
      <c r="AA507" s="241"/>
      <c r="AB507" s="241"/>
      <c r="AC507" s="241"/>
      <c r="AD507" s="241"/>
      <c r="AE507" s="241"/>
      <c r="AF507" s="241"/>
      <c r="AG507" s="241"/>
      <c r="AH507" s="241"/>
      <c r="AI507" s="241"/>
      <c r="AJ507" s="241"/>
      <c r="AK507" s="205"/>
      <c r="AL507" s="205"/>
      <c r="AM507" s="205"/>
      <c r="AN507" s="205"/>
      <c r="AO507" s="205"/>
      <c r="AP507" s="205"/>
      <c r="AQ507" s="205"/>
      <c r="AR507" s="205"/>
      <c r="AS507" s="207"/>
      <c r="AT507" s="207"/>
      <c r="AU507" s="207"/>
      <c r="AV507" s="207"/>
      <c r="AW507" s="207"/>
      <c r="AX507" s="207"/>
      <c r="AY507" s="207"/>
      <c r="AZ507" s="207"/>
      <c r="BA507" s="207"/>
      <c r="BB507" s="207"/>
      <c r="BC507" s="207"/>
      <c r="BD507" s="207"/>
      <c r="BE507" s="207"/>
      <c r="BF507" s="207"/>
      <c r="BG507" s="207"/>
      <c r="BH507" s="207"/>
      <c r="BI507" s="207"/>
      <c r="BJ507" s="207"/>
      <c r="BK507" s="207"/>
      <c r="BL507" s="207"/>
      <c r="BM507" s="207"/>
      <c r="BN507" s="207"/>
      <c r="BO507" s="207"/>
      <c r="BP507" s="207"/>
      <c r="BQ507" s="207"/>
      <c r="BR507" s="207"/>
      <c r="BS507" s="207"/>
      <c r="BT507" s="207"/>
      <c r="BU507" s="207"/>
      <c r="BV507" s="207"/>
      <c r="BW507" s="207"/>
      <c r="BX507" s="207"/>
      <c r="BY507" s="207"/>
      <c r="BZ507" s="207"/>
      <c r="CA507" s="207"/>
      <c r="CB507" s="207"/>
      <c r="CC507" s="207"/>
      <c r="CD507" s="207"/>
      <c r="CE507" s="207"/>
      <c r="CF507" s="207"/>
      <c r="CG507" s="207"/>
      <c r="CH507" s="207"/>
      <c r="CI507" s="207"/>
      <c r="CJ507" s="207"/>
      <c r="CK507" s="207"/>
      <c r="CL507" s="207"/>
      <c r="CM507" s="207"/>
      <c r="CN507" s="207"/>
      <c r="CO507" s="207"/>
      <c r="CP507" s="207"/>
      <c r="CQ507" s="207"/>
      <c r="CR507" s="207"/>
      <c r="CS507" s="207"/>
      <c r="CT507" s="207"/>
      <c r="CU507" s="207"/>
      <c r="CV507" s="207"/>
      <c r="CW507" s="207"/>
      <c r="CX507" s="207"/>
      <c r="CY507" s="207"/>
      <c r="CZ507" s="207"/>
      <c r="DA507" s="207"/>
      <c r="DB507" s="207"/>
    </row>
    <row r="508" spans="1:106" s="208" customFormat="1" ht="50.25" customHeight="1">
      <c r="A508" s="241" t="s">
        <v>250</v>
      </c>
      <c r="B508" s="241" t="s">
        <v>1147</v>
      </c>
      <c r="C508" s="242" t="s">
        <v>1148</v>
      </c>
      <c r="D508" s="241" t="s">
        <v>96</v>
      </c>
      <c r="E508" s="243">
        <v>46244</v>
      </c>
      <c r="F508" s="243">
        <v>46247</v>
      </c>
      <c r="G508" s="241">
        <v>24</v>
      </c>
      <c r="H508" s="244">
        <v>0</v>
      </c>
      <c r="I508" s="245">
        <f t="shared" si="25"/>
        <v>24</v>
      </c>
      <c r="J508" s="221">
        <f t="shared" si="21"/>
        <v>0</v>
      </c>
      <c r="K508" s="241">
        <v>0</v>
      </c>
      <c r="L508" s="221" t="str">
        <f t="shared" si="22"/>
        <v>Normal</v>
      </c>
      <c r="M508" s="233"/>
      <c r="N508" s="241"/>
      <c r="O508" s="241"/>
      <c r="P508" s="241">
        <v>8</v>
      </c>
      <c r="Q508" s="241">
        <v>4</v>
      </c>
      <c r="R508" s="241"/>
      <c r="S508" s="241">
        <v>8</v>
      </c>
      <c r="T508" s="241">
        <v>4</v>
      </c>
      <c r="U508" s="241"/>
      <c r="V508" s="241"/>
      <c r="W508" s="241"/>
      <c r="X508" s="241"/>
      <c r="Y508" s="241"/>
      <c r="Z508" s="241"/>
      <c r="AA508" s="241"/>
      <c r="AB508" s="241"/>
      <c r="AC508" s="241"/>
      <c r="AD508" s="241"/>
      <c r="AE508" s="241"/>
      <c r="AF508" s="241"/>
      <c r="AG508" s="241"/>
      <c r="AH508" s="241"/>
      <c r="AI508" s="241"/>
      <c r="AJ508" s="241"/>
      <c r="AK508" s="205"/>
      <c r="AL508" s="205"/>
      <c r="AM508" s="205"/>
      <c r="AN508" s="205"/>
      <c r="AO508" s="205"/>
      <c r="AP508" s="205"/>
      <c r="AQ508" s="205"/>
      <c r="AR508" s="205"/>
      <c r="AS508" s="207"/>
      <c r="AT508" s="207"/>
      <c r="AU508" s="207"/>
      <c r="AV508" s="207"/>
      <c r="AW508" s="207"/>
      <c r="AX508" s="207"/>
      <c r="AY508" s="207"/>
      <c r="AZ508" s="207"/>
      <c r="BA508" s="207"/>
      <c r="BB508" s="207"/>
      <c r="BC508" s="207"/>
      <c r="BD508" s="207"/>
      <c r="BE508" s="207"/>
      <c r="BF508" s="207"/>
      <c r="BG508" s="207"/>
      <c r="BH508" s="207"/>
      <c r="BI508" s="207"/>
      <c r="BJ508" s="207"/>
      <c r="BK508" s="207"/>
      <c r="BL508" s="207"/>
      <c r="BM508" s="207"/>
      <c r="BN508" s="207"/>
      <c r="BO508" s="207"/>
      <c r="BP508" s="207"/>
      <c r="BQ508" s="207"/>
      <c r="BR508" s="207"/>
      <c r="BS508" s="207"/>
      <c r="BT508" s="207"/>
      <c r="BU508" s="207"/>
      <c r="BV508" s="207"/>
      <c r="BW508" s="207"/>
      <c r="BX508" s="207"/>
      <c r="BY508" s="207"/>
      <c r="BZ508" s="207"/>
      <c r="CA508" s="207"/>
      <c r="CB508" s="207"/>
      <c r="CC508" s="207"/>
      <c r="CD508" s="207"/>
      <c r="CE508" s="207"/>
      <c r="CF508" s="207"/>
      <c r="CG508" s="207"/>
      <c r="CH508" s="207"/>
      <c r="CI508" s="207"/>
      <c r="CJ508" s="207"/>
      <c r="CK508" s="207"/>
      <c r="CL508" s="207"/>
      <c r="CM508" s="207"/>
      <c r="CN508" s="207"/>
      <c r="CO508" s="207"/>
      <c r="CP508" s="207"/>
      <c r="CQ508" s="207"/>
      <c r="CR508" s="207"/>
      <c r="CS508" s="207"/>
      <c r="CT508" s="207"/>
      <c r="CU508" s="207"/>
      <c r="CV508" s="207"/>
      <c r="CW508" s="207"/>
      <c r="CX508" s="207"/>
      <c r="CY508" s="207"/>
      <c r="CZ508" s="207"/>
      <c r="DA508" s="207"/>
      <c r="DB508" s="207"/>
    </row>
    <row r="509" spans="1:106" s="208" customFormat="1" ht="50.25" customHeight="1">
      <c r="A509" s="241" t="s">
        <v>250</v>
      </c>
      <c r="B509" s="241" t="s">
        <v>1149</v>
      </c>
      <c r="C509" s="242" t="s">
        <v>1150</v>
      </c>
      <c r="D509" s="241" t="s">
        <v>96</v>
      </c>
      <c r="E509" s="243">
        <v>46247</v>
      </c>
      <c r="F509" s="243">
        <v>46247</v>
      </c>
      <c r="G509" s="241">
        <v>4</v>
      </c>
      <c r="H509" s="244">
        <v>0</v>
      </c>
      <c r="I509" s="245">
        <f t="shared" si="25"/>
        <v>4</v>
      </c>
      <c r="J509" s="221">
        <f t="shared" si="21"/>
        <v>0</v>
      </c>
      <c r="K509" s="241">
        <v>0</v>
      </c>
      <c r="L509" s="221" t="str">
        <f t="shared" si="22"/>
        <v>Normal</v>
      </c>
      <c r="M509" s="233"/>
      <c r="N509" s="241"/>
      <c r="O509" s="241"/>
      <c r="P509" s="241"/>
      <c r="Q509" s="241"/>
      <c r="R509" s="241"/>
      <c r="S509" s="241"/>
      <c r="T509" s="241">
        <v>4</v>
      </c>
      <c r="U509" s="241"/>
      <c r="V509" s="241"/>
      <c r="W509" s="241"/>
      <c r="X509" s="241"/>
      <c r="Y509" s="241"/>
      <c r="Z509" s="241"/>
      <c r="AA509" s="241"/>
      <c r="AB509" s="241"/>
      <c r="AC509" s="241"/>
      <c r="AD509" s="241"/>
      <c r="AE509" s="241"/>
      <c r="AF509" s="241"/>
      <c r="AG509" s="241"/>
      <c r="AH509" s="241"/>
      <c r="AI509" s="241"/>
      <c r="AJ509" s="241"/>
      <c r="AK509" s="205"/>
      <c r="AL509" s="205"/>
      <c r="AM509" s="205"/>
      <c r="AN509" s="205"/>
      <c r="AO509" s="205"/>
      <c r="AP509" s="205"/>
      <c r="AQ509" s="205"/>
      <c r="AR509" s="205"/>
      <c r="AS509" s="207"/>
      <c r="AT509" s="207"/>
      <c r="AU509" s="207"/>
      <c r="AV509" s="207"/>
      <c r="AW509" s="207"/>
      <c r="AX509" s="207"/>
      <c r="AY509" s="207"/>
      <c r="AZ509" s="207"/>
      <c r="BA509" s="207"/>
      <c r="BB509" s="207"/>
      <c r="BC509" s="207"/>
      <c r="BD509" s="207"/>
      <c r="BE509" s="207"/>
      <c r="BF509" s="207"/>
      <c r="BG509" s="207"/>
      <c r="BH509" s="207"/>
      <c r="BI509" s="207"/>
      <c r="BJ509" s="207"/>
      <c r="BK509" s="207"/>
      <c r="BL509" s="207"/>
      <c r="BM509" s="207"/>
      <c r="BN509" s="207"/>
      <c r="BO509" s="207"/>
      <c r="BP509" s="207"/>
      <c r="BQ509" s="207"/>
      <c r="BR509" s="207"/>
      <c r="BS509" s="207"/>
      <c r="BT509" s="207"/>
      <c r="BU509" s="207"/>
      <c r="BV509" s="207"/>
      <c r="BW509" s="207"/>
      <c r="BX509" s="207"/>
      <c r="BY509" s="207"/>
      <c r="BZ509" s="207"/>
      <c r="CA509" s="207"/>
      <c r="CB509" s="207"/>
      <c r="CC509" s="207"/>
      <c r="CD509" s="207"/>
      <c r="CE509" s="207"/>
      <c r="CF509" s="207"/>
      <c r="CG509" s="207"/>
      <c r="CH509" s="207"/>
      <c r="CI509" s="207"/>
      <c r="CJ509" s="207"/>
      <c r="CK509" s="207"/>
      <c r="CL509" s="207"/>
      <c r="CM509" s="207"/>
      <c r="CN509" s="207"/>
      <c r="CO509" s="207"/>
      <c r="CP509" s="207"/>
      <c r="CQ509" s="207"/>
      <c r="CR509" s="207"/>
      <c r="CS509" s="207"/>
      <c r="CT509" s="207"/>
      <c r="CU509" s="207"/>
      <c r="CV509" s="207"/>
      <c r="CW509" s="207"/>
      <c r="CX509" s="207"/>
      <c r="CY509" s="207"/>
      <c r="CZ509" s="207"/>
      <c r="DA509" s="207"/>
      <c r="DB509" s="207"/>
    </row>
    <row r="510" spans="1:106" s="208" customFormat="1" ht="50.25" customHeight="1">
      <c r="A510" s="241" t="s">
        <v>250</v>
      </c>
      <c r="B510" s="241" t="s">
        <v>1151</v>
      </c>
      <c r="C510" s="242" t="s">
        <v>1152</v>
      </c>
      <c r="D510" s="241" t="s">
        <v>96</v>
      </c>
      <c r="E510" s="243">
        <v>46251</v>
      </c>
      <c r="F510" s="243">
        <v>46247</v>
      </c>
      <c r="G510" s="241">
        <v>16</v>
      </c>
      <c r="H510" s="244">
        <v>0</v>
      </c>
      <c r="I510" s="245">
        <f t="shared" si="25"/>
        <v>16</v>
      </c>
      <c r="J510" s="221">
        <f t="shared" si="21"/>
        <v>0</v>
      </c>
      <c r="K510" s="241">
        <v>0</v>
      </c>
      <c r="L510" s="221" t="str">
        <f t="shared" si="22"/>
        <v>Normal</v>
      </c>
      <c r="M510" s="233"/>
      <c r="N510" s="241"/>
      <c r="O510" s="241"/>
      <c r="P510" s="241"/>
      <c r="Q510" s="241"/>
      <c r="R510" s="241"/>
      <c r="S510" s="241"/>
      <c r="T510" s="241"/>
      <c r="U510" s="241">
        <v>8</v>
      </c>
      <c r="V510" s="241">
        <v>8</v>
      </c>
      <c r="W510" s="241"/>
      <c r="X510" s="241"/>
      <c r="Y510" s="241"/>
      <c r="Z510" s="241"/>
      <c r="AA510" s="241"/>
      <c r="AB510" s="241"/>
      <c r="AC510" s="241"/>
      <c r="AD510" s="241"/>
      <c r="AE510" s="241"/>
      <c r="AF510" s="241"/>
      <c r="AG510" s="241"/>
      <c r="AH510" s="241"/>
      <c r="AI510" s="241"/>
      <c r="AJ510" s="241"/>
      <c r="AK510" s="205"/>
      <c r="AL510" s="205"/>
      <c r="AM510" s="205"/>
      <c r="AN510" s="205"/>
      <c r="AO510" s="205"/>
      <c r="AP510" s="205"/>
      <c r="AQ510" s="205"/>
      <c r="AR510" s="205"/>
      <c r="AS510" s="207"/>
      <c r="AT510" s="207"/>
      <c r="AU510" s="207"/>
      <c r="AV510" s="207"/>
      <c r="AW510" s="207"/>
      <c r="AX510" s="207"/>
      <c r="AY510" s="207"/>
      <c r="AZ510" s="207"/>
      <c r="BA510" s="207"/>
      <c r="BB510" s="207"/>
      <c r="BC510" s="207"/>
      <c r="BD510" s="207"/>
      <c r="BE510" s="207"/>
      <c r="BF510" s="207"/>
      <c r="BG510" s="207"/>
      <c r="BH510" s="207"/>
      <c r="BI510" s="207"/>
      <c r="BJ510" s="207"/>
      <c r="BK510" s="207"/>
      <c r="BL510" s="207"/>
      <c r="BM510" s="207"/>
      <c r="BN510" s="207"/>
      <c r="BO510" s="207"/>
      <c r="BP510" s="207"/>
      <c r="BQ510" s="207"/>
      <c r="BR510" s="207"/>
      <c r="BS510" s="207"/>
      <c r="BT510" s="207"/>
      <c r="BU510" s="207"/>
      <c r="BV510" s="207"/>
      <c r="BW510" s="207"/>
      <c r="BX510" s="207"/>
      <c r="BY510" s="207"/>
      <c r="BZ510" s="207"/>
      <c r="CA510" s="207"/>
      <c r="CB510" s="207"/>
      <c r="CC510" s="207"/>
      <c r="CD510" s="207"/>
      <c r="CE510" s="207"/>
      <c r="CF510" s="207"/>
      <c r="CG510" s="207"/>
      <c r="CH510" s="207"/>
      <c r="CI510" s="207"/>
      <c r="CJ510" s="207"/>
      <c r="CK510" s="207"/>
      <c r="CL510" s="207"/>
      <c r="CM510" s="207"/>
      <c r="CN510" s="207"/>
      <c r="CO510" s="207"/>
      <c r="CP510" s="207"/>
      <c r="CQ510" s="207"/>
      <c r="CR510" s="207"/>
      <c r="CS510" s="207"/>
      <c r="CT510" s="207"/>
      <c r="CU510" s="207"/>
      <c r="CV510" s="207"/>
      <c r="CW510" s="207"/>
      <c r="CX510" s="207"/>
      <c r="CY510" s="207"/>
      <c r="CZ510" s="207"/>
      <c r="DA510" s="207"/>
      <c r="DB510" s="207"/>
    </row>
    <row r="511" spans="1:106" s="208" customFormat="1" ht="50.25" customHeight="1">
      <c r="A511" s="241" t="s">
        <v>250</v>
      </c>
      <c r="B511" s="241" t="s">
        <v>1153</v>
      </c>
      <c r="C511" s="242" t="s">
        <v>1154</v>
      </c>
      <c r="D511" s="241" t="s">
        <v>96</v>
      </c>
      <c r="E511" s="243">
        <v>46254</v>
      </c>
      <c r="F511" s="243">
        <v>46252</v>
      </c>
      <c r="G511" s="241">
        <v>16</v>
      </c>
      <c r="H511" s="244">
        <v>0</v>
      </c>
      <c r="I511" s="245">
        <f t="shared" si="25"/>
        <v>16</v>
      </c>
      <c r="J511" s="221">
        <f t="shared" si="21"/>
        <v>0</v>
      </c>
      <c r="K511" s="241">
        <v>0</v>
      </c>
      <c r="L511" s="221" t="str">
        <f t="shared" si="22"/>
        <v>Normal</v>
      </c>
      <c r="M511" s="233"/>
      <c r="N511" s="241"/>
      <c r="O511" s="241"/>
      <c r="P511" s="241"/>
      <c r="Q511" s="241"/>
      <c r="R511" s="241"/>
      <c r="S511" s="241"/>
      <c r="T511" s="241"/>
      <c r="U511" s="241"/>
      <c r="V511" s="241"/>
      <c r="W511" s="241"/>
      <c r="X511" s="241">
        <v>8</v>
      </c>
      <c r="Y511" s="241">
        <v>8</v>
      </c>
      <c r="Z511" s="241"/>
      <c r="AA511" s="241"/>
      <c r="AB511" s="241"/>
      <c r="AC511" s="241"/>
      <c r="AD511" s="241"/>
      <c r="AE511" s="241"/>
      <c r="AF511" s="241"/>
      <c r="AG511" s="241"/>
      <c r="AH511" s="241"/>
      <c r="AI511" s="241"/>
      <c r="AJ511" s="241"/>
      <c r="AK511" s="205"/>
      <c r="AL511" s="205"/>
      <c r="AM511" s="205"/>
      <c r="AN511" s="205"/>
      <c r="AO511" s="205"/>
      <c r="AP511" s="205"/>
      <c r="AQ511" s="205"/>
      <c r="AR511" s="205"/>
      <c r="AS511" s="207"/>
      <c r="AT511" s="207"/>
      <c r="AU511" s="207"/>
      <c r="AV511" s="207"/>
      <c r="AW511" s="207"/>
      <c r="AX511" s="207"/>
      <c r="AY511" s="207"/>
      <c r="AZ511" s="207"/>
      <c r="BA511" s="207"/>
      <c r="BB511" s="207"/>
      <c r="BC511" s="207"/>
      <c r="BD511" s="207"/>
      <c r="BE511" s="207"/>
      <c r="BF511" s="207"/>
      <c r="BG511" s="207"/>
      <c r="BH511" s="207"/>
      <c r="BI511" s="207"/>
      <c r="BJ511" s="207"/>
      <c r="BK511" s="207"/>
      <c r="BL511" s="207"/>
      <c r="BM511" s="207"/>
      <c r="BN511" s="207"/>
      <c r="BO511" s="207"/>
      <c r="BP511" s="207"/>
      <c r="BQ511" s="207"/>
      <c r="BR511" s="207"/>
      <c r="BS511" s="207"/>
      <c r="BT511" s="207"/>
      <c r="BU511" s="207"/>
      <c r="BV511" s="207"/>
      <c r="BW511" s="207"/>
      <c r="BX511" s="207"/>
      <c r="BY511" s="207"/>
      <c r="BZ511" s="207"/>
      <c r="CA511" s="207"/>
      <c r="CB511" s="207"/>
      <c r="CC511" s="207"/>
      <c r="CD511" s="207"/>
      <c r="CE511" s="207"/>
      <c r="CF511" s="207"/>
      <c r="CG511" s="207"/>
      <c r="CH511" s="207"/>
      <c r="CI511" s="207"/>
      <c r="CJ511" s="207"/>
      <c r="CK511" s="207"/>
      <c r="CL511" s="207"/>
      <c r="CM511" s="207"/>
      <c r="CN511" s="207"/>
      <c r="CO511" s="207"/>
      <c r="CP511" s="207"/>
      <c r="CQ511" s="207"/>
      <c r="CR511" s="207"/>
      <c r="CS511" s="207"/>
      <c r="CT511" s="207"/>
      <c r="CU511" s="207"/>
      <c r="CV511" s="207"/>
      <c r="CW511" s="207"/>
      <c r="CX511" s="207"/>
      <c r="CY511" s="207"/>
      <c r="CZ511" s="207"/>
      <c r="DA511" s="207"/>
      <c r="DB511" s="207"/>
    </row>
    <row r="512" spans="1:106" s="208" customFormat="1" ht="50.25" customHeight="1">
      <c r="A512" s="241" t="s">
        <v>250</v>
      </c>
      <c r="B512" s="241" t="s">
        <v>1155</v>
      </c>
      <c r="C512" s="242" t="s">
        <v>1156</v>
      </c>
      <c r="D512" s="241" t="s">
        <v>96</v>
      </c>
      <c r="E512" s="243">
        <v>46254</v>
      </c>
      <c r="F512" s="243">
        <v>46254</v>
      </c>
      <c r="G512" s="241">
        <v>16</v>
      </c>
      <c r="H512" s="244">
        <v>0</v>
      </c>
      <c r="I512" s="245">
        <f>SUM(N512:AJ512)</f>
        <v>16</v>
      </c>
      <c r="J512" s="221">
        <f t="shared" si="21"/>
        <v>0</v>
      </c>
      <c r="K512" s="241">
        <v>0</v>
      </c>
      <c r="L512" s="221" t="str">
        <f t="shared" si="22"/>
        <v>Normal</v>
      </c>
      <c r="M512" s="233"/>
      <c r="N512" s="241"/>
      <c r="O512" s="241"/>
      <c r="P512" s="241"/>
      <c r="Q512" s="241"/>
      <c r="R512" s="241"/>
      <c r="S512" s="241"/>
      <c r="T512" s="241"/>
      <c r="U512" s="241"/>
      <c r="V512" s="241"/>
      <c r="W512" s="241"/>
      <c r="X512" s="241"/>
      <c r="Y512" s="241"/>
      <c r="Z512" s="241">
        <v>8</v>
      </c>
      <c r="AA512" s="241">
        <v>8</v>
      </c>
      <c r="AB512" s="241"/>
      <c r="AC512" s="241"/>
      <c r="AD512" s="241"/>
      <c r="AE512" s="241"/>
      <c r="AF512" s="241"/>
      <c r="AG512" s="241"/>
      <c r="AH512" s="241"/>
      <c r="AI512" s="241"/>
      <c r="AJ512" s="241"/>
      <c r="AK512" s="205"/>
      <c r="AL512" s="205"/>
      <c r="AM512" s="205"/>
      <c r="AN512" s="205"/>
      <c r="AO512" s="205"/>
      <c r="AP512" s="205"/>
      <c r="AQ512" s="205"/>
      <c r="AR512" s="205"/>
      <c r="AS512" s="207"/>
      <c r="AT512" s="207"/>
      <c r="AU512" s="207"/>
      <c r="AV512" s="207"/>
      <c r="AW512" s="207"/>
      <c r="AX512" s="207"/>
      <c r="AY512" s="207"/>
      <c r="AZ512" s="207"/>
      <c r="BA512" s="207"/>
      <c r="BB512" s="207"/>
      <c r="BC512" s="207"/>
      <c r="BD512" s="207"/>
      <c r="BE512" s="207"/>
      <c r="BF512" s="207"/>
      <c r="BG512" s="207"/>
      <c r="BH512" s="207"/>
      <c r="BI512" s="207"/>
      <c r="BJ512" s="207"/>
      <c r="BK512" s="207"/>
      <c r="BL512" s="207"/>
      <c r="BM512" s="207"/>
      <c r="BN512" s="207"/>
      <c r="BO512" s="207"/>
      <c r="BP512" s="207"/>
      <c r="BQ512" s="207"/>
      <c r="BR512" s="207"/>
      <c r="BS512" s="207"/>
      <c r="BT512" s="207"/>
      <c r="BU512" s="207"/>
      <c r="BV512" s="207"/>
      <c r="BW512" s="207"/>
      <c r="BX512" s="207"/>
      <c r="BY512" s="207"/>
      <c r="BZ512" s="207"/>
      <c r="CA512" s="207"/>
      <c r="CB512" s="207"/>
      <c r="CC512" s="207"/>
      <c r="CD512" s="207"/>
      <c r="CE512" s="207"/>
      <c r="CF512" s="207"/>
      <c r="CG512" s="207"/>
      <c r="CH512" s="207"/>
      <c r="CI512" s="207"/>
      <c r="CJ512" s="207"/>
      <c r="CK512" s="207"/>
      <c r="CL512" s="207"/>
      <c r="CM512" s="207"/>
      <c r="CN512" s="207"/>
      <c r="CO512" s="207"/>
      <c r="CP512" s="207"/>
      <c r="CQ512" s="207"/>
      <c r="CR512" s="207"/>
      <c r="CS512" s="207"/>
      <c r="CT512" s="207"/>
      <c r="CU512" s="207"/>
      <c r="CV512" s="207"/>
      <c r="CW512" s="207"/>
      <c r="CX512" s="207"/>
      <c r="CY512" s="207"/>
      <c r="CZ512" s="207"/>
      <c r="DA512" s="207"/>
      <c r="DB512" s="207"/>
    </row>
    <row r="513" spans="1:100" s="208" customFormat="1" ht="50.25" customHeight="1">
      <c r="A513" s="241" t="s">
        <v>248</v>
      </c>
      <c r="B513" s="241" t="s">
        <v>1157</v>
      </c>
      <c r="C513" s="242" t="s">
        <v>1158</v>
      </c>
      <c r="D513" s="241" t="s">
        <v>351</v>
      </c>
      <c r="E513" s="243">
        <v>46266</v>
      </c>
      <c r="F513" s="241"/>
      <c r="G513" s="241">
        <v>8</v>
      </c>
      <c r="H513" s="244">
        <v>0</v>
      </c>
      <c r="I513" s="245">
        <f>SUM(N513:AJ513)</f>
        <v>4</v>
      </c>
      <c r="J513" s="221">
        <f t="shared" si="21"/>
        <v>-0.5</v>
      </c>
      <c r="K513" s="241">
        <v>0</v>
      </c>
      <c r="L513" s="221" t="str">
        <f t="shared" si="22"/>
        <v>Normal</v>
      </c>
      <c r="M513" s="233"/>
      <c r="N513" s="241"/>
      <c r="O513" s="241"/>
      <c r="P513" s="241"/>
      <c r="Q513" s="241">
        <v>4</v>
      </c>
      <c r="R513" s="241"/>
      <c r="S513" s="241"/>
      <c r="T513" s="241"/>
      <c r="U513" s="241"/>
      <c r="V513" s="241"/>
      <c r="W513" s="241"/>
      <c r="X513" s="241"/>
      <c r="Y513" s="241"/>
      <c r="Z513" s="241"/>
      <c r="AA513" s="241"/>
      <c r="AB513" s="241"/>
      <c r="AC513" s="241"/>
      <c r="AD513" s="241"/>
      <c r="AE513" s="241"/>
      <c r="AF513" s="241"/>
      <c r="AG513" s="241"/>
      <c r="AH513" s="241"/>
      <c r="AI513" s="241"/>
      <c r="AJ513" s="241"/>
      <c r="AK513" s="205"/>
      <c r="AL513" s="205"/>
      <c r="AM513" s="205"/>
      <c r="AN513" s="205"/>
      <c r="AO513" s="205"/>
      <c r="AP513" s="205"/>
      <c r="AQ513" s="205"/>
      <c r="AR513" s="205"/>
      <c r="BO513" s="207"/>
      <c r="BP513" s="207"/>
      <c r="BQ513" s="207"/>
      <c r="BR513" s="207"/>
      <c r="BS513" s="207"/>
      <c r="BT513" s="207"/>
      <c r="BU513" s="207"/>
      <c r="BV513" s="207"/>
      <c r="BW513" s="207"/>
      <c r="BX513" s="207"/>
      <c r="BY513" s="207"/>
      <c r="BZ513" s="207"/>
      <c r="CA513" s="207"/>
      <c r="CB513" s="207"/>
      <c r="CC513" s="207"/>
      <c r="CD513" s="207"/>
      <c r="CE513" s="207"/>
      <c r="CF513" s="207"/>
      <c r="CG513" s="207"/>
      <c r="CH513" s="207"/>
      <c r="CI513" s="207"/>
      <c r="CJ513" s="207"/>
      <c r="CK513" s="207"/>
      <c r="CL513" s="207"/>
      <c r="CM513" s="207"/>
      <c r="CN513" s="207"/>
      <c r="CO513" s="207"/>
      <c r="CP513" s="207"/>
      <c r="CQ513" s="207"/>
      <c r="CR513" s="207"/>
      <c r="CS513" s="207"/>
      <c r="CT513" s="207"/>
      <c r="CU513" s="207"/>
      <c r="CV513" s="207"/>
    </row>
    <row r="514" spans="1:100" s="208" customFormat="1" ht="15.75" customHeight="1">
      <c r="A514" s="241" t="s">
        <v>240</v>
      </c>
      <c r="B514" s="251" t="s">
        <v>1159</v>
      </c>
      <c r="C514" s="242" t="s">
        <v>1160</v>
      </c>
      <c r="D514" s="241" t="s">
        <v>1161</v>
      </c>
      <c r="E514" s="243"/>
      <c r="F514" s="243"/>
      <c r="G514" s="241"/>
      <c r="H514" s="244">
        <v>0</v>
      </c>
      <c r="I514" s="245">
        <f t="shared" ref="I514:I518" si="26">SUM(N514:AJ514)</f>
        <v>8</v>
      </c>
      <c r="J514" s="221" t="str">
        <f t="shared" si="21"/>
        <v/>
      </c>
      <c r="K514" s="241"/>
      <c r="L514" s="221" t="str">
        <f t="shared" si="22"/>
        <v>Sin estimación</v>
      </c>
      <c r="M514" s="247"/>
      <c r="N514" s="241"/>
      <c r="O514" s="241"/>
      <c r="P514" s="241"/>
      <c r="Q514" s="241"/>
      <c r="R514" s="241"/>
      <c r="S514" s="241"/>
      <c r="T514" s="241"/>
      <c r="U514" s="241"/>
      <c r="V514" s="241"/>
      <c r="W514" s="241"/>
      <c r="X514" s="241"/>
      <c r="Y514" s="241"/>
      <c r="Z514" s="241"/>
      <c r="AA514" s="241"/>
      <c r="AB514" s="241"/>
      <c r="AC514" s="241"/>
      <c r="AD514" s="241"/>
      <c r="AE514" s="241"/>
      <c r="AF514" s="241"/>
      <c r="AG514" s="241"/>
      <c r="AH514" s="241"/>
      <c r="AI514" s="241"/>
      <c r="AJ514" s="241">
        <v>8</v>
      </c>
      <c r="AK514" s="205"/>
      <c r="AL514" s="205"/>
      <c r="AM514" s="205"/>
      <c r="AN514" s="205"/>
      <c r="AO514" s="205"/>
      <c r="AP514" s="205"/>
      <c r="AQ514" s="205"/>
      <c r="AR514" s="205"/>
    </row>
    <row r="515" spans="1:100" s="208" customFormat="1" ht="15.75" customHeight="1">
      <c r="A515" s="241" t="s">
        <v>250</v>
      </c>
      <c r="B515" s="251" t="s">
        <v>1109</v>
      </c>
      <c r="C515" s="242" t="s">
        <v>1110</v>
      </c>
      <c r="D515" s="241" t="s">
        <v>96</v>
      </c>
      <c r="E515" s="243">
        <v>46261</v>
      </c>
      <c r="F515" s="243">
        <v>46261</v>
      </c>
      <c r="G515" s="241">
        <v>16</v>
      </c>
      <c r="H515" s="244">
        <v>0</v>
      </c>
      <c r="I515" s="245">
        <f t="shared" si="26"/>
        <v>8</v>
      </c>
      <c r="J515" s="221">
        <f t="shared" ref="J515:J518" si="27">IFERROR((H515+I515-G515)/G515,"")</f>
        <v>-0.5</v>
      </c>
      <c r="K515" s="241">
        <v>0</v>
      </c>
      <c r="L515" s="221" t="str">
        <f t="shared" ref="L515:L518" si="28">IF(OR(J515="",J515="Sin estimado"),"Sin estimación",IF(J515&gt;=30%,"Desviado","Normal"))</f>
        <v>Normal</v>
      </c>
      <c r="M515" s="247"/>
      <c r="N515" s="241"/>
      <c r="O515" s="241"/>
      <c r="P515" s="241"/>
      <c r="Q515" s="241"/>
      <c r="R515" s="241"/>
      <c r="S515" s="241"/>
      <c r="T515" s="241"/>
      <c r="U515" s="241"/>
      <c r="V515" s="241"/>
      <c r="W515" s="241"/>
      <c r="X515" s="241"/>
      <c r="Y515" s="241"/>
      <c r="Z515" s="241"/>
      <c r="AA515" s="241"/>
      <c r="AB515" s="241"/>
      <c r="AC515" s="241"/>
      <c r="AD515" s="241"/>
      <c r="AE515" s="241"/>
      <c r="AF515" s="241"/>
      <c r="AG515" s="241">
        <v>8</v>
      </c>
      <c r="AH515" s="241"/>
      <c r="AI515" s="241"/>
      <c r="AJ515" s="241"/>
      <c r="AK515" s="205"/>
      <c r="AL515" s="205"/>
      <c r="AM515" s="205"/>
      <c r="AN515" s="205"/>
      <c r="AO515" s="205"/>
      <c r="AP515" s="205"/>
      <c r="AQ515" s="205"/>
      <c r="AR515" s="205"/>
    </row>
    <row r="516" spans="1:100" s="208" customFormat="1" ht="15.75" customHeight="1">
      <c r="A516" s="241" t="s">
        <v>250</v>
      </c>
      <c r="B516" s="251" t="s">
        <v>1162</v>
      </c>
      <c r="C516" s="242" t="s">
        <v>1163</v>
      </c>
      <c r="D516" s="241" t="s">
        <v>96</v>
      </c>
      <c r="E516" s="243">
        <v>46262</v>
      </c>
      <c r="F516" s="243">
        <v>46261</v>
      </c>
      <c r="G516" s="241">
        <v>8</v>
      </c>
      <c r="H516" s="244">
        <v>0</v>
      </c>
      <c r="I516" s="245">
        <f t="shared" si="26"/>
        <v>8</v>
      </c>
      <c r="J516" s="221">
        <f t="shared" si="27"/>
        <v>0</v>
      </c>
      <c r="K516" s="241">
        <v>0</v>
      </c>
      <c r="L516" s="221" t="str">
        <f t="shared" si="28"/>
        <v>Normal</v>
      </c>
      <c r="M516" s="247"/>
      <c r="N516" s="241"/>
      <c r="O516" s="241"/>
      <c r="P516" s="241"/>
      <c r="Q516" s="241"/>
      <c r="R516" s="241"/>
      <c r="S516" s="241"/>
      <c r="T516" s="241"/>
      <c r="U516" s="241"/>
      <c r="V516" s="241"/>
      <c r="W516" s="241"/>
      <c r="X516" s="241"/>
      <c r="Y516" s="241"/>
      <c r="Z516" s="241"/>
      <c r="AA516" s="241"/>
      <c r="AB516" s="241"/>
      <c r="AC516" s="241"/>
      <c r="AD516" s="241"/>
      <c r="AE516" s="241"/>
      <c r="AF516" s="241">
        <v>8</v>
      </c>
      <c r="AG516" s="241"/>
      <c r="AH516" s="241"/>
      <c r="AI516" s="241"/>
      <c r="AJ516" s="241"/>
      <c r="AK516" s="205"/>
      <c r="AL516" s="205"/>
      <c r="AM516" s="205"/>
      <c r="AN516" s="205"/>
      <c r="AO516" s="205"/>
      <c r="AP516" s="205"/>
      <c r="AQ516" s="205"/>
      <c r="AR516" s="205"/>
    </row>
    <row r="517" spans="1:100" s="208" customFormat="1" ht="15.75" customHeight="1">
      <c r="A517" s="241" t="s">
        <v>250</v>
      </c>
      <c r="B517" s="251" t="s">
        <v>1164</v>
      </c>
      <c r="C517" s="242" t="s">
        <v>1165</v>
      </c>
      <c r="D517" s="241" t="s">
        <v>1166</v>
      </c>
      <c r="E517" s="243"/>
      <c r="F517" s="243"/>
      <c r="G517" s="241">
        <v>4</v>
      </c>
      <c r="H517" s="244">
        <v>0</v>
      </c>
      <c r="I517" s="245">
        <f t="shared" si="26"/>
        <v>4</v>
      </c>
      <c r="J517" s="221">
        <f t="shared" si="27"/>
        <v>0</v>
      </c>
      <c r="K517" s="241">
        <v>0</v>
      </c>
      <c r="L517" s="221" t="str">
        <f t="shared" si="28"/>
        <v>Normal</v>
      </c>
      <c r="M517" s="247"/>
      <c r="N517" s="241"/>
      <c r="O517" s="241"/>
      <c r="P517" s="241"/>
      <c r="Q517" s="241"/>
      <c r="R517" s="241"/>
      <c r="S517" s="241"/>
      <c r="T517" s="241"/>
      <c r="U517" s="241"/>
      <c r="V517" s="241"/>
      <c r="W517" s="241"/>
      <c r="X517" s="241"/>
      <c r="Y517" s="241"/>
      <c r="Z517" s="241"/>
      <c r="AA517" s="241"/>
      <c r="AB517" s="241"/>
      <c r="AC517" s="241"/>
      <c r="AD517" s="241"/>
      <c r="AE517" s="241"/>
      <c r="AF517" s="241"/>
      <c r="AG517" s="241"/>
      <c r="AH517" s="241"/>
      <c r="AI517" s="241"/>
      <c r="AJ517" s="241">
        <v>4</v>
      </c>
      <c r="AK517" s="205"/>
      <c r="AL517" s="205"/>
      <c r="AM517" s="205"/>
      <c r="AN517" s="205"/>
      <c r="AO517" s="205"/>
      <c r="AP517" s="205"/>
      <c r="AQ517" s="205"/>
      <c r="AR517" s="205"/>
    </row>
    <row r="518" spans="1:100" s="208" customFormat="1" ht="15.75" customHeight="1">
      <c r="A518" s="241" t="s">
        <v>250</v>
      </c>
      <c r="B518" s="251" t="s">
        <v>1167</v>
      </c>
      <c r="C518" s="242" t="s">
        <v>1168</v>
      </c>
      <c r="D518" s="241" t="s">
        <v>1166</v>
      </c>
      <c r="E518" s="243">
        <v>46267</v>
      </c>
      <c r="F518" s="243"/>
      <c r="G518" s="241">
        <v>20</v>
      </c>
      <c r="H518" s="244">
        <v>0</v>
      </c>
      <c r="I518" s="245">
        <f t="shared" si="26"/>
        <v>4</v>
      </c>
      <c r="J518" s="221">
        <f t="shared" si="27"/>
        <v>-0.8</v>
      </c>
      <c r="K518" s="241">
        <v>0</v>
      </c>
      <c r="L518" s="221" t="str">
        <f t="shared" si="28"/>
        <v>Normal</v>
      </c>
      <c r="M518" s="247"/>
      <c r="N518" s="241"/>
      <c r="O518" s="241"/>
      <c r="P518" s="241"/>
      <c r="Q518" s="241"/>
      <c r="R518" s="241"/>
      <c r="S518" s="241"/>
      <c r="T518" s="241"/>
      <c r="U518" s="241"/>
      <c r="V518" s="241"/>
      <c r="W518" s="241"/>
      <c r="X518" s="241"/>
      <c r="Y518" s="241"/>
      <c r="Z518" s="241"/>
      <c r="AA518" s="241"/>
      <c r="AB518" s="241"/>
      <c r="AC518" s="241"/>
      <c r="AD518" s="241"/>
      <c r="AE518" s="241"/>
      <c r="AF518" s="241"/>
      <c r="AG518" s="241"/>
      <c r="AH518" s="241"/>
      <c r="AI518" s="241"/>
      <c r="AJ518" s="241">
        <v>4</v>
      </c>
      <c r="AK518" s="205"/>
      <c r="AL518" s="205"/>
      <c r="AM518" s="205"/>
      <c r="AN518" s="205"/>
      <c r="AO518" s="205"/>
      <c r="AP518" s="205"/>
      <c r="AQ518" s="205"/>
      <c r="AR518" s="205"/>
    </row>
  </sheetData>
  <autoFilter ref="A1:AJ518" xr:uid="{F274FABB-DF5C-4F9E-B98F-F8DC866DADF5}">
    <filterColumn colId="8">
      <filters>
        <filter val="1,00"/>
        <filter val="10,00"/>
        <filter val="11,00"/>
        <filter val="12,00"/>
        <filter val="15,00"/>
        <filter val="16,00"/>
        <filter val="17,50"/>
        <filter val="18,00"/>
        <filter val="19,00"/>
        <filter val="2,00"/>
        <filter val="20,00"/>
        <filter val="22,00"/>
        <filter val="23,00"/>
        <filter val="24,00"/>
        <filter val="26,00"/>
        <filter val="28,00"/>
        <filter val="32,00"/>
        <filter val="38,00"/>
        <filter val="4,00"/>
        <filter val="40,00"/>
        <filter val="41,00"/>
        <filter val="44,00"/>
        <filter val="48,00"/>
        <filter val="54,00"/>
        <filter val="56,00"/>
        <filter val="6,00"/>
        <filter val="8,00"/>
        <filter val="8,50"/>
        <filter val="9,00"/>
        <filter val="9,50"/>
      </filters>
    </filterColumn>
  </autoFilter>
  <conditionalFormatting sqref="L1:L1048576">
    <cfRule type="cellIs" dxfId="2" priority="3" operator="equal">
      <formula>"Desviado"</formula>
    </cfRule>
  </conditionalFormatting>
  <conditionalFormatting sqref="L1:L1048576">
    <cfRule type="cellIs" dxfId="1" priority="2" operator="equal">
      <formula>"Normal"</formula>
    </cfRule>
  </conditionalFormatting>
  <conditionalFormatting sqref="J2:J1048576">
    <cfRule type="cellIs" dxfId="0" priority="1" operator="greaterThanOrEqual">
      <formula>30%</formula>
    </cfRule>
  </conditionalFormatting>
  <hyperlinks>
    <hyperlink ref="C244" r:id="rId1" display="https://vivaaerobus.atlassian.net/browse/STI-604" xr:uid="{E4274D41-D3B0-443C-986D-3106C9B6C29E}"/>
  </hyperlinks>
  <pageMargins left="0.7" right="0.7" top="0.75" bottom="0.75" header="0.3" footer="0.3"/>
  <pageSetup paperSize="9" orientation="portrait"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0BA84-E177-4966-8780-6C998E6F200E}">
  <dimension ref="C1:R52"/>
  <sheetViews>
    <sheetView workbookViewId="0">
      <selection activeCell="K8" sqref="J1:K8"/>
    </sheetView>
  </sheetViews>
  <sheetFormatPr defaultRowHeight="15"/>
  <cols>
    <col min="4" max="4" width="9.140625" style="148"/>
  </cols>
  <sheetData>
    <row r="1" spans="3:18" ht="19.5" customHeight="1">
      <c r="C1" s="155" t="s">
        <v>971</v>
      </c>
      <c r="D1" s="154" t="s">
        <v>1169</v>
      </c>
      <c r="E1" s="75"/>
      <c r="F1" s="75" t="s">
        <v>937</v>
      </c>
      <c r="G1" t="s">
        <v>1169</v>
      </c>
      <c r="H1" s="75"/>
      <c r="I1" s="75"/>
      <c r="J1" s="157" t="s">
        <v>939</v>
      </c>
      <c r="K1" t="s">
        <v>1169</v>
      </c>
      <c r="L1" s="1"/>
      <c r="N1" s="75"/>
      <c r="Q1" s="44"/>
    </row>
    <row r="2" spans="3:18" ht="15.75">
      <c r="C2" s="4" t="s">
        <v>1077</v>
      </c>
      <c r="D2" s="154" t="s">
        <v>1169</v>
      </c>
      <c r="E2" s="75"/>
      <c r="F2" s="1" t="s">
        <v>1063</v>
      </c>
      <c r="G2" t="s">
        <v>1169</v>
      </c>
      <c r="H2" s="75"/>
      <c r="I2" s="75"/>
      <c r="J2" s="1" t="s">
        <v>1033</v>
      </c>
      <c r="K2" t="s">
        <v>1169</v>
      </c>
      <c r="L2" s="75"/>
      <c r="N2" s="44"/>
      <c r="Q2" s="156"/>
    </row>
    <row r="3" spans="3:18">
      <c r="C3" s="4" t="s">
        <v>1089</v>
      </c>
      <c r="D3" s="154" t="s">
        <v>1169</v>
      </c>
      <c r="E3" s="75"/>
      <c r="F3" s="1" t="s">
        <v>1067</v>
      </c>
      <c r="G3" t="s">
        <v>1169</v>
      </c>
      <c r="H3" s="1"/>
      <c r="I3" s="75"/>
      <c r="J3" s="1" t="s">
        <v>1101</v>
      </c>
      <c r="K3" t="s">
        <v>1169</v>
      </c>
      <c r="L3" s="44"/>
      <c r="N3" s="1"/>
      <c r="Q3" s="44"/>
    </row>
    <row r="4" spans="3:18">
      <c r="C4" s="1" t="s">
        <v>1097</v>
      </c>
      <c r="D4" s="154" t="s">
        <v>1169</v>
      </c>
      <c r="E4" s="75"/>
      <c r="F4" s="1" t="s">
        <v>1069</v>
      </c>
      <c r="G4" t="s">
        <v>1169</v>
      </c>
      <c r="H4" s="44"/>
      <c r="I4" s="75"/>
      <c r="J4" s="1" t="s">
        <v>1103</v>
      </c>
      <c r="K4" t="s">
        <v>1169</v>
      </c>
      <c r="L4" s="1"/>
      <c r="N4" s="1"/>
      <c r="Q4" s="44"/>
    </row>
    <row r="5" spans="3:18">
      <c r="C5" s="1" t="s">
        <v>1099</v>
      </c>
      <c r="D5" s="154" t="s">
        <v>1169</v>
      </c>
      <c r="E5" s="75"/>
      <c r="F5" s="1" t="s">
        <v>1071</v>
      </c>
      <c r="G5" t="s">
        <v>1169</v>
      </c>
      <c r="H5" s="1"/>
      <c r="I5" s="75"/>
      <c r="J5" s="1" t="s">
        <v>1107</v>
      </c>
      <c r="K5" t="s">
        <v>1169</v>
      </c>
      <c r="L5" s="1"/>
      <c r="N5" s="1"/>
      <c r="Q5" s="44"/>
    </row>
    <row r="6" spans="3:18">
      <c r="C6" s="1" t="s">
        <v>1101</v>
      </c>
      <c r="D6" s="154" t="s">
        <v>1169</v>
      </c>
      <c r="E6" s="75"/>
      <c r="F6" s="1" t="s">
        <v>1073</v>
      </c>
      <c r="G6" t="s">
        <v>1169</v>
      </c>
      <c r="H6" s="1"/>
      <c r="I6" s="75"/>
      <c r="J6" s="1" t="s">
        <v>1109</v>
      </c>
      <c r="K6" t="s">
        <v>1169</v>
      </c>
      <c r="L6" s="1"/>
      <c r="N6" s="1"/>
      <c r="Q6" s="44"/>
    </row>
    <row r="7" spans="3:18">
      <c r="C7" s="1" t="s">
        <v>1103</v>
      </c>
      <c r="D7" s="154" t="s">
        <v>1169</v>
      </c>
      <c r="E7" s="75"/>
      <c r="F7" s="1" t="s">
        <v>1075</v>
      </c>
      <c r="G7" t="s">
        <v>1169</v>
      </c>
      <c r="H7" s="1"/>
      <c r="I7" s="75"/>
      <c r="J7" s="1" t="s">
        <v>1115</v>
      </c>
      <c r="K7" t="s">
        <v>1169</v>
      </c>
      <c r="L7" s="1"/>
      <c r="N7" s="1"/>
      <c r="Q7" s="44"/>
    </row>
    <row r="8" spans="3:18">
      <c r="C8" s="1" t="s">
        <v>1109</v>
      </c>
      <c r="D8" s="154" t="s">
        <v>1169</v>
      </c>
      <c r="E8" s="44"/>
      <c r="F8" s="4" t="s">
        <v>1079</v>
      </c>
      <c r="G8" t="s">
        <v>1169</v>
      </c>
      <c r="I8" s="75"/>
      <c r="J8" s="1" t="s">
        <v>1143</v>
      </c>
      <c r="L8" s="1"/>
      <c r="N8" s="1"/>
      <c r="R8" s="1"/>
    </row>
    <row r="9" spans="3:18">
      <c r="C9" s="1" t="s">
        <v>1111</v>
      </c>
      <c r="D9" s="154" t="s">
        <v>1169</v>
      </c>
      <c r="E9" s="44"/>
      <c r="F9" s="1" t="s">
        <v>1083</v>
      </c>
      <c r="G9" t="s">
        <v>1169</v>
      </c>
      <c r="I9" s="75"/>
      <c r="J9" s="75"/>
      <c r="N9" s="44"/>
      <c r="R9" s="1"/>
    </row>
    <row r="10" spans="3:18">
      <c r="C10" s="1" t="s">
        <v>1113</v>
      </c>
      <c r="D10" s="154" t="s">
        <v>1169</v>
      </c>
      <c r="E10" s="44"/>
      <c r="F10" s="4" t="s">
        <v>1085</v>
      </c>
      <c r="G10" t="s">
        <v>1169</v>
      </c>
      <c r="I10" s="75"/>
      <c r="J10" s="44"/>
      <c r="N10" s="44"/>
      <c r="R10" s="1"/>
    </row>
    <row r="11" spans="3:18">
      <c r="C11" s="1" t="s">
        <v>1117</v>
      </c>
      <c r="D11" s="154" t="s">
        <v>1169</v>
      </c>
      <c r="E11" s="44"/>
      <c r="F11" s="4" t="s">
        <v>1087</v>
      </c>
      <c r="G11" t="s">
        <v>1169</v>
      </c>
      <c r="I11" s="75"/>
      <c r="J11" s="75"/>
      <c r="N11" s="1"/>
      <c r="R11" s="1"/>
    </row>
    <row r="12" spans="3:18">
      <c r="C12" s="1" t="s">
        <v>1119</v>
      </c>
      <c r="D12" s="154" t="s">
        <v>1169</v>
      </c>
      <c r="F12" s="4" t="s">
        <v>1089</v>
      </c>
      <c r="G12" t="s">
        <v>1169</v>
      </c>
      <c r="I12" s="75"/>
      <c r="N12" s="1"/>
      <c r="R12" s="1"/>
    </row>
    <row r="13" spans="3:18">
      <c r="C13" s="1" t="s">
        <v>1125</v>
      </c>
      <c r="D13" s="154" t="s">
        <v>1169</v>
      </c>
      <c r="F13" s="1" t="s">
        <v>1091</v>
      </c>
      <c r="G13" t="s">
        <v>1169</v>
      </c>
      <c r="N13" s="1"/>
      <c r="R13" s="1"/>
    </row>
    <row r="14" spans="3:18">
      <c r="C14" s="1" t="s">
        <v>1127</v>
      </c>
      <c r="D14" s="154" t="s">
        <v>1169</v>
      </c>
      <c r="F14" s="1" t="s">
        <v>1093</v>
      </c>
      <c r="G14" t="s">
        <v>1169</v>
      </c>
      <c r="N14" s="1"/>
      <c r="R14" s="1"/>
    </row>
    <row r="15" spans="3:18">
      <c r="C15" s="1" t="s">
        <v>1131</v>
      </c>
      <c r="D15" s="154" t="s">
        <v>1169</v>
      </c>
      <c r="F15" s="1" t="s">
        <v>1125</v>
      </c>
      <c r="G15" t="s">
        <v>1169</v>
      </c>
      <c r="N15" s="1"/>
      <c r="R15" s="1"/>
    </row>
    <row r="16" spans="3:18">
      <c r="C16" s="1" t="s">
        <v>1133</v>
      </c>
      <c r="D16" s="154" t="s">
        <v>1169</v>
      </c>
      <c r="F16" s="1" t="s">
        <v>1129</v>
      </c>
      <c r="N16" s="1"/>
      <c r="R16" s="1"/>
    </row>
    <row r="17" spans="3:18">
      <c r="C17" s="1" t="s">
        <v>1135</v>
      </c>
      <c r="D17" s="154" t="s">
        <v>1169</v>
      </c>
      <c r="N17" s="1"/>
      <c r="R17" s="1"/>
    </row>
    <row r="18" spans="3:18">
      <c r="C18" s="1" t="s">
        <v>1137</v>
      </c>
      <c r="D18" s="154" t="s">
        <v>1169</v>
      </c>
      <c r="N18" s="1"/>
      <c r="R18" s="1"/>
    </row>
    <row r="19" spans="3:18">
      <c r="C19" s="1" t="s">
        <v>1139</v>
      </c>
      <c r="D19" s="154" t="s">
        <v>1169</v>
      </c>
      <c r="N19" s="1"/>
      <c r="R19" s="1"/>
    </row>
    <row r="20" spans="3:18">
      <c r="C20" s="1" t="s">
        <v>1141</v>
      </c>
      <c r="N20" s="1"/>
      <c r="R20" s="1"/>
    </row>
    <row r="21" spans="3:18">
      <c r="N21" s="1"/>
      <c r="R21" s="1"/>
    </row>
    <row r="22" spans="3:18">
      <c r="N22" s="1"/>
      <c r="R22" s="1"/>
    </row>
    <row r="23" spans="3:18">
      <c r="N23" s="1"/>
      <c r="R23" s="1"/>
    </row>
    <row r="24" spans="3:18">
      <c r="N24" s="1"/>
      <c r="R24" s="1"/>
    </row>
    <row r="25" spans="3:18">
      <c r="N25" s="1"/>
      <c r="R25" s="1"/>
    </row>
    <row r="26" spans="3:18">
      <c r="N26" s="1"/>
      <c r="R26" s="1"/>
    </row>
    <row r="27" spans="3:18">
      <c r="N27" s="1"/>
      <c r="R27" s="1"/>
    </row>
    <row r="28" spans="3:18">
      <c r="N28" s="1"/>
      <c r="R28" s="1"/>
    </row>
    <row r="29" spans="3:18">
      <c r="N29" s="1"/>
      <c r="R29" s="1"/>
    </row>
    <row r="30" spans="3:18">
      <c r="N30" s="1"/>
      <c r="R30" s="1"/>
    </row>
    <row r="31" spans="3:18">
      <c r="N31" s="1"/>
      <c r="R31" s="1"/>
    </row>
    <row r="32" spans="3:18">
      <c r="N32" s="1"/>
      <c r="R32" s="1"/>
    </row>
    <row r="33" spans="14:18">
      <c r="N33" s="1"/>
      <c r="R33" s="1"/>
    </row>
    <row r="34" spans="14:18">
      <c r="N34" s="1"/>
      <c r="R34" s="1"/>
    </row>
    <row r="35" spans="14:18">
      <c r="N35" s="1"/>
      <c r="R35" s="1"/>
    </row>
    <row r="36" spans="14:18">
      <c r="N36" s="1"/>
      <c r="R36" s="1"/>
    </row>
    <row r="37" spans="14:18">
      <c r="N37" s="1"/>
      <c r="R37" s="1"/>
    </row>
    <row r="38" spans="14:18">
      <c r="N38" s="1"/>
      <c r="R38" s="1"/>
    </row>
    <row r="39" spans="14:18">
      <c r="N39" s="1"/>
      <c r="R39" s="1"/>
    </row>
    <row r="40" spans="14:18">
      <c r="N40" s="1"/>
      <c r="R40" s="1"/>
    </row>
    <row r="41" spans="14:18">
      <c r="N41" s="1"/>
      <c r="R41" s="1"/>
    </row>
    <row r="42" spans="14:18">
      <c r="N42" s="1"/>
      <c r="R42" s="1"/>
    </row>
    <row r="43" spans="14:18">
      <c r="N43" s="1"/>
    </row>
    <row r="44" spans="14:18">
      <c r="N44" s="1"/>
    </row>
    <row r="45" spans="14:18">
      <c r="N45" s="1"/>
    </row>
    <row r="46" spans="14:18">
      <c r="N46" s="1"/>
    </row>
    <row r="47" spans="14:18">
      <c r="N47" s="1"/>
    </row>
    <row r="48" spans="14:18">
      <c r="N48" s="1"/>
    </row>
    <row r="49" spans="14:14">
      <c r="N49" s="1"/>
    </row>
    <row r="50" spans="14:14">
      <c r="N50" s="1"/>
    </row>
    <row r="51" spans="14:14">
      <c r="N51" s="1"/>
    </row>
    <row r="52" spans="14:14">
      <c r="N52"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D2284-0112-4C58-A289-315EE2694629}">
  <dimension ref="A3:B10"/>
  <sheetViews>
    <sheetView workbookViewId="0">
      <selection activeCell="Q13" sqref="Q13"/>
    </sheetView>
  </sheetViews>
  <sheetFormatPr defaultRowHeight="15"/>
  <cols>
    <col min="1" max="1" width="16.7109375" bestFit="1" customWidth="1"/>
    <col min="2" max="2" width="28" bestFit="1" customWidth="1"/>
  </cols>
  <sheetData>
    <row r="3" spans="1:2">
      <c r="A3" s="149" t="s">
        <v>77</v>
      </c>
      <c r="B3" t="s">
        <v>1170</v>
      </c>
    </row>
    <row r="4" spans="1:2">
      <c r="A4" t="s">
        <v>515</v>
      </c>
      <c r="B4" s="160">
        <v>168</v>
      </c>
    </row>
    <row r="5" spans="1:2">
      <c r="A5" t="s">
        <v>248</v>
      </c>
      <c r="B5" s="160">
        <v>161.5</v>
      </c>
    </row>
    <row r="6" spans="1:2">
      <c r="A6" t="s">
        <v>581</v>
      </c>
      <c r="B6" s="160">
        <v>168</v>
      </c>
    </row>
    <row r="7" spans="1:2">
      <c r="A7" t="s">
        <v>240</v>
      </c>
      <c r="B7" s="160">
        <v>170</v>
      </c>
    </row>
    <row r="8" spans="1:2">
      <c r="A8" t="s">
        <v>163</v>
      </c>
      <c r="B8" s="160">
        <v>152</v>
      </c>
    </row>
    <row r="9" spans="1:2">
      <c r="A9" t="s">
        <v>250</v>
      </c>
      <c r="B9" s="160">
        <v>170</v>
      </c>
    </row>
    <row r="10" spans="1:2">
      <c r="A10" t="s">
        <v>252</v>
      </c>
      <c r="B10" s="160">
        <v>989.5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4A50C58C19CD146B4788960854AB696" ma:contentTypeVersion="18" ma:contentTypeDescription="Crear nuevo documento." ma:contentTypeScope="" ma:versionID="a81c0f48fabc2fe9d506ca6783ca93fa">
  <xsd:schema xmlns:xsd="http://www.w3.org/2001/XMLSchema" xmlns:xs="http://www.w3.org/2001/XMLSchema" xmlns:p="http://schemas.microsoft.com/office/2006/metadata/properties" xmlns:ns2="56059407-1d4b-4458-b35c-e51c2b263201" xmlns:ns3="201526a0-0bda-4777-9a7e-e6472f771791" targetNamespace="http://schemas.microsoft.com/office/2006/metadata/properties" ma:root="true" ma:fieldsID="045003ea3fca12e06d1b816542fa5509" ns2:_="" ns3:_="">
    <xsd:import namespace="56059407-1d4b-4458-b35c-e51c2b263201"/>
    <xsd:import namespace="201526a0-0bda-4777-9a7e-e6472f77179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059407-1d4b-4458-b35c-e51c2b2632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f9e2c03e-86b9-47e9-beca-7f7f51d57a8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1526a0-0bda-4777-9a7e-e6472f77179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9301de16-94e8-4116-93f4-f011616d179e}" ma:internalName="TaxCatchAll" ma:showField="CatchAllData" ma:web="201526a0-0bda-4777-9a7e-e6472f7717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059407-1d4b-4458-b35c-e51c2b263201">
      <Terms xmlns="http://schemas.microsoft.com/office/infopath/2007/PartnerControls"/>
    </lcf76f155ced4ddcb4097134ff3c332f>
    <TaxCatchAll xmlns="201526a0-0bda-4777-9a7e-e6472f771791" xsi:nil="true"/>
    <SharedWithUsers xmlns="201526a0-0bda-4777-9a7e-e6472f771791">
      <UserInfo>
        <DisplayName/>
        <AccountId xsi:nil="true"/>
        <AccountType/>
      </UserInfo>
    </SharedWithUsers>
  </documentManagement>
</p:properties>
</file>

<file path=customXml/itemProps1.xml><?xml version="1.0" encoding="utf-8"?>
<ds:datastoreItem xmlns:ds="http://schemas.openxmlformats.org/officeDocument/2006/customXml" ds:itemID="{9F85D6E9-EEAB-4A16-A48B-196F530DDD15}"/>
</file>

<file path=customXml/itemProps2.xml><?xml version="1.0" encoding="utf-8"?>
<ds:datastoreItem xmlns:ds="http://schemas.openxmlformats.org/officeDocument/2006/customXml" ds:itemID="{5281E795-4DD0-4657-95EA-520DCC61DF17}"/>
</file>

<file path=customXml/itemProps3.xml><?xml version="1.0" encoding="utf-8"?>
<ds:datastoreItem xmlns:ds="http://schemas.openxmlformats.org/officeDocument/2006/customXml" ds:itemID="{E0EBF5A3-6203-4FAF-B02A-80588191C3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2025-09-12T03:35:19Z</dcterms:created>
  <dcterms:modified xsi:type="dcterms:W3CDTF">2026-09-22T13:36:56Z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0x010100D4A50C58C19CD146B4788960854AB696</vt:lpwstr>
  </property>
  <property fmtid="{D5CDD505-2E9C-101B-9397-08002B2CF9AE}" pid="3" name="MediaServiceImageTags">
    <vt:lpwstr/>
  </property>
  <property fmtid="{D5CDD505-2E9C-101B-9397-08002B2CF9AE}" pid="4" name="Order">
    <vt:r8>17500</vt:r8>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_ExtendedDescription">
    <vt:lpwstr/>
  </property>
</Properties>
</file>